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Logistics\4_BSA\9_Scripts_Reports\Daily_Production_IT\"/>
    </mc:Choice>
  </mc:AlternateContent>
  <xr:revisionPtr revIDLastSave="0" documentId="13_ncr:1_{29CF1D13-22B4-45EF-AD60-278FA60843D8}" xr6:coauthVersionLast="47" xr6:coauthVersionMax="47" xr10:uidLastSave="{00000000-0000-0000-0000-000000000000}"/>
  <bookViews>
    <workbookView xWindow="-120" yWindow="-120" windowWidth="29040" windowHeight="17520" xr2:uid="{15C97E5A-C30A-4BFD-8C1B-8A1268B1176E}"/>
  </bookViews>
  <sheets>
    <sheet name="LTP_Formulas" sheetId="1" r:id="rId1"/>
    <sheet name="LTP_Aggregated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D2" i="2" s="1" a="1"/>
  <c r="D2" i="2" s="1"/>
  <c r="E2" i="2" s="1" a="1"/>
  <c r="E2" i="2" s="1"/>
  <c r="F2" i="2" s="1" a="1"/>
  <c r="F2" i="2" s="1"/>
  <c r="G2" i="2" s="1" a="1"/>
  <c r="G2" i="2" s="1"/>
  <c r="H2" i="2" s="1" a="1"/>
  <c r="H2" i="2" s="1"/>
  <c r="I2" i="2" s="1" a="1"/>
  <c r="I2" i="2" s="1"/>
  <c r="J2" i="2" s="1" a="1"/>
  <c r="J2" i="2" s="1"/>
  <c r="K2" i="2" s="1" a="1"/>
  <c r="K2" i="2" s="1"/>
  <c r="L2" i="2" s="1" a="1"/>
  <c r="L2" i="2" s="1"/>
  <c r="M2" i="2" s="1" a="1"/>
  <c r="M2" i="2" s="1"/>
  <c r="N2" i="2" s="1" a="1"/>
  <c r="N2" i="2" s="1"/>
  <c r="O2" i="2" s="1" a="1"/>
  <c r="O2" i="2" s="1"/>
  <c r="P2" i="2" s="1" a="1"/>
  <c r="P2" i="2" s="1"/>
  <c r="Q2" i="2" s="1" a="1"/>
  <c r="Q2" i="2" s="1"/>
  <c r="R2" i="2" s="1" a="1"/>
  <c r="R2" i="2" s="1"/>
  <c r="S2" i="2" s="1" a="1"/>
  <c r="S2" i="2" s="1"/>
  <c r="T2" i="2" s="1" a="1"/>
  <c r="T2" i="2" s="1"/>
  <c r="U2" i="2" s="1" a="1"/>
  <c r="U2" i="2" s="1"/>
  <c r="V2" i="2" s="1" a="1"/>
  <c r="V2" i="2" s="1"/>
  <c r="W2" i="2" s="1" a="1"/>
  <c r="W2" i="2" s="1"/>
  <c r="X2" i="2" s="1" a="1"/>
  <c r="X2" i="2" s="1"/>
  <c r="Y2" i="2" s="1" a="1"/>
  <c r="Y2" i="2" s="1"/>
  <c r="Z2" i="2" s="1" a="1"/>
  <c r="Z2" i="2" s="1"/>
  <c r="AA2" i="2" s="1" a="1"/>
  <c r="AA2" i="2" s="1"/>
  <c r="AB2" i="2" s="1" a="1"/>
  <c r="AB2" i="2" s="1"/>
  <c r="AC2" i="2" s="1" a="1"/>
  <c r="AC2" i="2" s="1"/>
  <c r="AD2" i="2" s="1" a="1"/>
  <c r="AD2" i="2" s="1"/>
  <c r="AE2" i="2" s="1" a="1"/>
  <c r="AE2" i="2" s="1"/>
  <c r="AF2" i="2" s="1" a="1"/>
  <c r="AF2" i="2" s="1"/>
  <c r="AG2" i="2" s="1" a="1"/>
  <c r="AG2" i="2" s="1"/>
  <c r="AH2" i="2" s="1" a="1"/>
  <c r="AH2" i="2" s="1"/>
  <c r="AI2" i="2" s="1" a="1"/>
  <c r="AI2" i="2" s="1"/>
  <c r="AJ2" i="2" s="1" a="1"/>
  <c r="AJ2" i="2" s="1"/>
  <c r="AK2" i="2" s="1" a="1"/>
  <c r="AK2" i="2" s="1"/>
  <c r="AL2" i="2" s="1" a="1"/>
  <c r="AL2" i="2" s="1"/>
  <c r="AM2" i="2" s="1" a="1"/>
  <c r="AM2" i="2" s="1"/>
  <c r="AN2" i="2" s="1" a="1"/>
  <c r="AN2" i="2" s="1"/>
  <c r="AO2" i="2" s="1" a="1"/>
  <c r="AO2" i="2" s="1"/>
  <c r="AP2" i="2" s="1" a="1"/>
  <c r="AP2" i="2" s="1"/>
  <c r="AQ2" i="2" s="1" a="1"/>
  <c r="AQ2" i="2" s="1"/>
  <c r="AR2" i="2" s="1" a="1"/>
  <c r="AR2" i="2" s="1"/>
  <c r="AS2" i="2" s="1" a="1"/>
  <c r="AS2" i="2" s="1"/>
  <c r="AT2" i="2" s="1" a="1"/>
  <c r="AT2" i="2" s="1"/>
  <c r="AU2" i="2" s="1" a="1"/>
  <c r="AU2" i="2" s="1"/>
  <c r="AV2" i="2" s="1" a="1"/>
  <c r="AV2" i="2" s="1"/>
  <c r="AW2" i="2" s="1" a="1"/>
  <c r="AW2" i="2" s="1"/>
  <c r="AX2" i="2" s="1" a="1"/>
  <c r="AX2" i="2" s="1"/>
  <c r="C3" i="2" a="1"/>
  <c r="C3" i="2" s="1"/>
  <c r="D3" i="2" s="1" a="1"/>
  <c r="D3" i="2" s="1"/>
  <c r="E3" i="2" s="1" a="1"/>
  <c r="E3" i="2" s="1"/>
  <c r="F3" i="2" s="1" a="1"/>
  <c r="F3" i="2" s="1"/>
  <c r="G3" i="2" s="1" a="1"/>
  <c r="G3" i="2" s="1"/>
  <c r="H3" i="2" s="1" a="1"/>
  <c r="H3" i="2" s="1"/>
  <c r="I3" i="2" s="1" a="1"/>
  <c r="I3" i="2" s="1"/>
  <c r="J3" i="2" s="1" a="1"/>
  <c r="J3" i="2" s="1"/>
  <c r="K3" i="2" s="1" a="1"/>
  <c r="K3" i="2" s="1"/>
  <c r="L3" i="2" s="1" a="1"/>
  <c r="L3" i="2" s="1"/>
  <c r="M3" i="2" s="1" a="1"/>
  <c r="M3" i="2" s="1"/>
  <c r="N3" i="2" s="1" a="1"/>
  <c r="N3" i="2" s="1"/>
  <c r="O3" i="2" s="1" a="1"/>
  <c r="O3" i="2" s="1"/>
  <c r="P3" i="2" s="1" a="1"/>
  <c r="P3" i="2" s="1"/>
  <c r="Q3" i="2" s="1" a="1"/>
  <c r="Q3" i="2" s="1"/>
  <c r="R3" i="2" s="1" a="1"/>
  <c r="R3" i="2" s="1"/>
  <c r="S3" i="2" s="1" a="1"/>
  <c r="S3" i="2" s="1"/>
  <c r="T3" i="2" s="1" a="1"/>
  <c r="T3" i="2" s="1"/>
  <c r="U3" i="2" s="1" a="1"/>
  <c r="U3" i="2" s="1"/>
  <c r="V3" i="2" s="1" a="1"/>
  <c r="V3" i="2" s="1"/>
  <c r="W3" i="2" s="1" a="1"/>
  <c r="W3" i="2" s="1"/>
  <c r="X3" i="2" s="1" a="1"/>
  <c r="X3" i="2" s="1"/>
  <c r="Y3" i="2" s="1" a="1"/>
  <c r="Y3" i="2" s="1"/>
  <c r="Z3" i="2" s="1" a="1"/>
  <c r="Z3" i="2" s="1"/>
  <c r="AA3" i="2" s="1" a="1"/>
  <c r="AA3" i="2" s="1"/>
  <c r="AB3" i="2" s="1" a="1"/>
  <c r="AB3" i="2" s="1"/>
  <c r="AC3" i="2" s="1" a="1"/>
  <c r="AC3" i="2" s="1"/>
  <c r="AD3" i="2" s="1" a="1"/>
  <c r="AD3" i="2" s="1"/>
  <c r="AE3" i="2" s="1" a="1"/>
  <c r="AE3" i="2" s="1"/>
  <c r="AF3" i="2" s="1" a="1"/>
  <c r="AF3" i="2" s="1"/>
  <c r="AG3" i="2" s="1" a="1"/>
  <c r="AG3" i="2" s="1"/>
  <c r="AH3" i="2" s="1" a="1"/>
  <c r="AH3" i="2" s="1"/>
  <c r="AI3" i="2" s="1" a="1"/>
  <c r="AI3" i="2" s="1"/>
  <c r="AJ3" i="2" s="1" a="1"/>
  <c r="AJ3" i="2" s="1"/>
  <c r="AK3" i="2" s="1" a="1"/>
  <c r="AK3" i="2" s="1"/>
  <c r="AL3" i="2" s="1" a="1"/>
  <c r="AL3" i="2" s="1"/>
  <c r="AM3" i="2" s="1" a="1"/>
  <c r="AM3" i="2" s="1"/>
  <c r="AN3" i="2" s="1" a="1"/>
  <c r="AN3" i="2" s="1"/>
  <c r="AO3" i="2" s="1" a="1"/>
  <c r="AO3" i="2" s="1"/>
  <c r="AP3" i="2" s="1" a="1"/>
  <c r="AP3" i="2" s="1"/>
  <c r="AQ3" i="2" s="1" a="1"/>
  <c r="AQ3" i="2" s="1"/>
  <c r="AR3" i="2" s="1" a="1"/>
  <c r="AR3" i="2" s="1"/>
  <c r="AS3" i="2" s="1" a="1"/>
  <c r="AS3" i="2" s="1"/>
  <c r="AT3" i="2" s="1" a="1"/>
  <c r="AT3" i="2" s="1"/>
  <c r="AU3" i="2" s="1" a="1"/>
  <c r="AU3" i="2" s="1"/>
  <c r="AV3" i="2" s="1" a="1"/>
  <c r="AV3" i="2" s="1"/>
  <c r="AW3" i="2" s="1" a="1"/>
  <c r="AW3" i="2" s="1"/>
  <c r="AX3" i="2" s="1" a="1"/>
  <c r="AX3" i="2" s="1"/>
  <c r="C4" i="2" a="1"/>
  <c r="C4" i="2" s="1"/>
  <c r="D4" i="2" s="1" a="1"/>
  <c r="D4" i="2" s="1"/>
  <c r="E4" i="2" s="1" a="1"/>
  <c r="E4" i="2" s="1"/>
  <c r="F4" i="2" s="1" a="1"/>
  <c r="F4" i="2" s="1"/>
  <c r="G4" i="2" s="1" a="1"/>
  <c r="G4" i="2" s="1"/>
  <c r="H4" i="2" s="1" a="1"/>
  <c r="H4" i="2" s="1"/>
  <c r="I4" i="2" s="1" a="1"/>
  <c r="I4" i="2" s="1"/>
  <c r="J4" i="2" s="1" a="1"/>
  <c r="J4" i="2" s="1"/>
  <c r="K4" i="2" s="1" a="1"/>
  <c r="K4" i="2" s="1"/>
  <c r="L4" i="2" s="1" a="1"/>
  <c r="L4" i="2" s="1"/>
  <c r="M4" i="2" s="1" a="1"/>
  <c r="M4" i="2" s="1"/>
  <c r="N4" i="2" s="1" a="1"/>
  <c r="N4" i="2" s="1"/>
  <c r="O4" i="2" s="1" a="1"/>
  <c r="O4" i="2" s="1"/>
  <c r="P4" i="2" s="1" a="1"/>
  <c r="P4" i="2" s="1"/>
  <c r="Q4" i="2" s="1" a="1"/>
  <c r="Q4" i="2" s="1"/>
  <c r="R4" i="2" s="1" a="1"/>
  <c r="R4" i="2" s="1"/>
  <c r="S4" i="2" s="1" a="1"/>
  <c r="S4" i="2" s="1"/>
  <c r="T4" i="2" s="1" a="1"/>
  <c r="T4" i="2" s="1"/>
  <c r="U4" i="2" s="1" a="1"/>
  <c r="U4" i="2" s="1"/>
  <c r="V4" i="2" s="1" a="1"/>
  <c r="V4" i="2" s="1"/>
  <c r="W4" i="2" s="1" a="1"/>
  <c r="W4" i="2" s="1"/>
  <c r="X4" i="2" s="1" a="1"/>
  <c r="X4" i="2" s="1"/>
  <c r="Y4" i="2" s="1" a="1"/>
  <c r="Y4" i="2" s="1"/>
  <c r="Z4" i="2" s="1" a="1"/>
  <c r="Z4" i="2" s="1"/>
  <c r="AA4" i="2" s="1" a="1"/>
  <c r="AA4" i="2" s="1"/>
  <c r="AB4" i="2" s="1" a="1"/>
  <c r="AB4" i="2" s="1"/>
  <c r="AC4" i="2" s="1" a="1"/>
  <c r="AC4" i="2" s="1"/>
  <c r="AD4" i="2" s="1" a="1"/>
  <c r="AD4" i="2" s="1"/>
  <c r="AE4" i="2" s="1" a="1"/>
  <c r="AE4" i="2" s="1"/>
  <c r="AF4" i="2" s="1" a="1"/>
  <c r="AF4" i="2" s="1"/>
  <c r="AG4" i="2" s="1" a="1"/>
  <c r="AG4" i="2" s="1"/>
  <c r="AH4" i="2" s="1" a="1"/>
  <c r="AH4" i="2" s="1"/>
  <c r="AI4" i="2" s="1" a="1"/>
  <c r="AI4" i="2" s="1"/>
  <c r="AJ4" i="2" s="1" a="1"/>
  <c r="AJ4" i="2" s="1"/>
  <c r="AK4" i="2" s="1" a="1"/>
  <c r="AK4" i="2" s="1"/>
  <c r="AL4" i="2" s="1" a="1"/>
  <c r="AL4" i="2" s="1"/>
  <c r="AM4" i="2" s="1" a="1"/>
  <c r="AM4" i="2" s="1"/>
  <c r="AN4" i="2" s="1" a="1"/>
  <c r="AN4" i="2" s="1"/>
  <c r="AO4" i="2" s="1" a="1"/>
  <c r="AO4" i="2" s="1"/>
  <c r="AP4" i="2" s="1" a="1"/>
  <c r="AP4" i="2" s="1"/>
  <c r="AQ4" i="2" s="1" a="1"/>
  <c r="AQ4" i="2" s="1"/>
  <c r="AR4" i="2" s="1" a="1"/>
  <c r="AR4" i="2" s="1"/>
  <c r="AS4" i="2" s="1" a="1"/>
  <c r="AS4" i="2" s="1"/>
  <c r="AT4" i="2" s="1" a="1"/>
  <c r="AT4" i="2" s="1"/>
  <c r="AU4" i="2" s="1" a="1"/>
  <c r="AU4" i="2" s="1"/>
  <c r="AV4" i="2" s="1" a="1"/>
  <c r="AV4" i="2" s="1"/>
  <c r="AW4" i="2" s="1" a="1"/>
  <c r="AW4" i="2" s="1"/>
  <c r="AX4" i="2" s="1" a="1"/>
  <c r="AX4" i="2" s="1"/>
  <c r="C5" i="2" a="1"/>
  <c r="C5" i="2" s="1"/>
  <c r="D5" i="2" s="1" a="1"/>
  <c r="D5" i="2" s="1"/>
  <c r="E5" i="2" s="1" a="1"/>
  <c r="E5" i="2" s="1"/>
  <c r="F5" i="2" s="1" a="1"/>
  <c r="F5" i="2" s="1"/>
  <c r="G5" i="2" s="1" a="1"/>
  <c r="G5" i="2" s="1"/>
  <c r="H5" i="2" s="1" a="1"/>
  <c r="H5" i="2" s="1"/>
  <c r="I5" i="2" s="1" a="1"/>
  <c r="I5" i="2" s="1"/>
  <c r="J5" i="2" s="1" a="1"/>
  <c r="J5" i="2" s="1"/>
  <c r="K5" i="2" s="1" a="1"/>
  <c r="K5" i="2" s="1"/>
  <c r="L5" i="2" s="1" a="1"/>
  <c r="L5" i="2" s="1"/>
  <c r="M5" i="2" s="1" a="1"/>
  <c r="M5" i="2" s="1"/>
  <c r="N5" i="2" s="1" a="1"/>
  <c r="N5" i="2" s="1"/>
  <c r="O5" i="2" s="1" a="1"/>
  <c r="O5" i="2" s="1"/>
  <c r="P5" i="2" s="1" a="1"/>
  <c r="P5" i="2" s="1"/>
  <c r="Q5" i="2" s="1" a="1"/>
  <c r="Q5" i="2" s="1"/>
  <c r="R5" i="2" s="1" a="1"/>
  <c r="R5" i="2" s="1"/>
  <c r="S5" i="2" s="1" a="1"/>
  <c r="S5" i="2" s="1"/>
  <c r="T5" i="2" s="1" a="1"/>
  <c r="T5" i="2" s="1"/>
  <c r="U5" i="2" s="1" a="1"/>
  <c r="U5" i="2" s="1"/>
  <c r="V5" i="2" s="1" a="1"/>
  <c r="V5" i="2" s="1"/>
  <c r="W5" i="2" s="1" a="1"/>
  <c r="W5" i="2" s="1"/>
  <c r="X5" i="2" s="1" a="1"/>
  <c r="X5" i="2" s="1"/>
  <c r="Y5" i="2" s="1" a="1"/>
  <c r="Y5" i="2" s="1"/>
  <c r="Z5" i="2" s="1" a="1"/>
  <c r="Z5" i="2" s="1"/>
  <c r="AA5" i="2" s="1" a="1"/>
  <c r="AA5" i="2" s="1"/>
  <c r="AB5" i="2" s="1" a="1"/>
  <c r="AB5" i="2" s="1"/>
  <c r="AC5" i="2" s="1" a="1"/>
  <c r="AC5" i="2" s="1"/>
  <c r="AD5" i="2" s="1" a="1"/>
  <c r="AD5" i="2" s="1"/>
  <c r="AE5" i="2" s="1" a="1"/>
  <c r="AE5" i="2" s="1"/>
  <c r="AF5" i="2" s="1" a="1"/>
  <c r="AF5" i="2" s="1"/>
  <c r="AG5" i="2" s="1" a="1"/>
  <c r="AG5" i="2" s="1"/>
  <c r="AH5" i="2" s="1" a="1"/>
  <c r="AH5" i="2" s="1"/>
  <c r="AI5" i="2" s="1" a="1"/>
  <c r="AI5" i="2" s="1"/>
  <c r="AJ5" i="2" s="1" a="1"/>
  <c r="AJ5" i="2" s="1"/>
  <c r="AK5" i="2" s="1" a="1"/>
  <c r="AK5" i="2" s="1"/>
  <c r="AL5" i="2" s="1" a="1"/>
  <c r="AL5" i="2" s="1"/>
  <c r="AM5" i="2" s="1" a="1"/>
  <c r="AM5" i="2" s="1"/>
  <c r="AN5" i="2" s="1" a="1"/>
  <c r="AN5" i="2" s="1"/>
  <c r="AO5" i="2" s="1" a="1"/>
  <c r="AO5" i="2" s="1"/>
  <c r="AP5" i="2" s="1" a="1"/>
  <c r="AP5" i="2" s="1"/>
  <c r="AQ5" i="2" s="1" a="1"/>
  <c r="AQ5" i="2" s="1"/>
  <c r="AR5" i="2" s="1" a="1"/>
  <c r="AR5" i="2" s="1"/>
  <c r="AS5" i="2" s="1" a="1"/>
  <c r="AS5" i="2" s="1"/>
  <c r="AT5" i="2" s="1" a="1"/>
  <c r="AT5" i="2" s="1"/>
  <c r="AU5" i="2" s="1" a="1"/>
  <c r="AU5" i="2" s="1"/>
  <c r="AV5" i="2" s="1" a="1"/>
  <c r="AV5" i="2" s="1"/>
  <c r="AW5" i="2" s="1" a="1"/>
  <c r="AW5" i="2" s="1"/>
  <c r="AX5" i="2" s="1" a="1"/>
  <c r="AX5" i="2" s="1"/>
  <c r="C6" i="2" a="1"/>
  <c r="C6" i="2" s="1"/>
  <c r="D6" i="2" s="1" a="1"/>
  <c r="D6" i="2" s="1"/>
  <c r="E6" i="2" s="1" a="1"/>
  <c r="E6" i="2" s="1"/>
  <c r="F6" i="2" a="1"/>
  <c r="F6" i="2" s="1"/>
  <c r="G6" i="2" s="1" a="1"/>
  <c r="G6" i="2" s="1"/>
  <c r="H6" i="2" s="1" a="1"/>
  <c r="H6" i="2" s="1"/>
  <c r="I6" i="2" s="1" a="1"/>
  <c r="I6" i="2" s="1"/>
  <c r="J6" i="2" s="1" a="1"/>
  <c r="J6" i="2" s="1"/>
  <c r="K6" i="2" s="1" a="1"/>
  <c r="K6" i="2" s="1"/>
  <c r="L6" i="2" s="1" a="1"/>
  <c r="L6" i="2" s="1"/>
  <c r="M6" i="2" s="1" a="1"/>
  <c r="M6" i="2" s="1"/>
  <c r="N6" i="2" s="1" a="1"/>
  <c r="N6" i="2" s="1"/>
  <c r="O6" i="2" s="1" a="1"/>
  <c r="O6" i="2" s="1"/>
  <c r="P6" i="2" s="1" a="1"/>
  <c r="P6" i="2" s="1"/>
  <c r="Q6" i="2" s="1" a="1"/>
  <c r="Q6" i="2" s="1"/>
  <c r="R6" i="2" s="1" a="1"/>
  <c r="R6" i="2" s="1"/>
  <c r="S6" i="2" s="1" a="1"/>
  <c r="S6" i="2" s="1"/>
  <c r="T6" i="2" s="1" a="1"/>
  <c r="T6" i="2" s="1"/>
  <c r="U6" i="2" s="1" a="1"/>
  <c r="U6" i="2" s="1"/>
  <c r="V6" i="2" s="1" a="1"/>
  <c r="V6" i="2" s="1"/>
  <c r="W6" i="2" s="1" a="1"/>
  <c r="W6" i="2" s="1"/>
  <c r="X6" i="2" s="1" a="1"/>
  <c r="X6" i="2" s="1"/>
  <c r="Y6" i="2" s="1" a="1"/>
  <c r="Y6" i="2" s="1"/>
  <c r="Z6" i="2" s="1" a="1"/>
  <c r="Z6" i="2" s="1"/>
  <c r="AA6" i="2" s="1" a="1"/>
  <c r="AA6" i="2" s="1"/>
  <c r="AB6" i="2" s="1" a="1"/>
  <c r="AB6" i="2" s="1"/>
  <c r="AC6" i="2" s="1" a="1"/>
  <c r="AC6" i="2" s="1"/>
  <c r="AD6" i="2" s="1" a="1"/>
  <c r="AD6" i="2" s="1"/>
  <c r="AE6" i="2" s="1" a="1"/>
  <c r="AE6" i="2" s="1"/>
  <c r="AF6" i="2" s="1" a="1"/>
  <c r="AF6" i="2" s="1"/>
  <c r="AG6" i="2" s="1" a="1"/>
  <c r="AG6" i="2" s="1"/>
  <c r="AH6" i="2" s="1" a="1"/>
  <c r="AH6" i="2" s="1"/>
  <c r="AI6" i="2" s="1" a="1"/>
  <c r="AI6" i="2" s="1"/>
  <c r="AJ6" i="2" s="1" a="1"/>
  <c r="AJ6" i="2" s="1"/>
  <c r="AK6" i="2" s="1" a="1"/>
  <c r="AK6" i="2" s="1"/>
  <c r="AL6" i="2" s="1" a="1"/>
  <c r="AL6" i="2" s="1"/>
  <c r="AM6" i="2" s="1" a="1"/>
  <c r="AM6" i="2" s="1"/>
  <c r="AN6" i="2" s="1" a="1"/>
  <c r="AN6" i="2" s="1"/>
  <c r="AO6" i="2" s="1" a="1"/>
  <c r="AO6" i="2" s="1"/>
  <c r="AP6" i="2" s="1" a="1"/>
  <c r="AP6" i="2" s="1"/>
  <c r="AQ6" i="2" s="1" a="1"/>
  <c r="AQ6" i="2" s="1"/>
  <c r="AR6" i="2" s="1" a="1"/>
  <c r="AR6" i="2" s="1"/>
  <c r="AS6" i="2" s="1" a="1"/>
  <c r="AS6" i="2" s="1"/>
  <c r="AT6" i="2" s="1" a="1"/>
  <c r="AT6" i="2" s="1"/>
  <c r="AU6" i="2" s="1" a="1"/>
  <c r="AU6" i="2" s="1"/>
  <c r="AV6" i="2" s="1" a="1"/>
  <c r="AV6" i="2" s="1"/>
  <c r="AW6" i="2" s="1" a="1"/>
  <c r="AW6" i="2" s="1"/>
  <c r="AX6" i="2" s="1" a="1"/>
  <c r="AX6" i="2" s="1"/>
  <c r="C7" i="2" a="1"/>
  <c r="C7" i="2" s="1"/>
  <c r="D7" i="2" s="1" a="1"/>
  <c r="D7" i="2" s="1"/>
  <c r="E7" i="2" s="1" a="1"/>
  <c r="E7" i="2" s="1"/>
  <c r="F7" i="2" s="1" a="1"/>
  <c r="F7" i="2" s="1"/>
  <c r="G7" i="2" s="1" a="1"/>
  <c r="G7" i="2" s="1"/>
  <c r="H7" i="2" s="1" a="1"/>
  <c r="H7" i="2" s="1"/>
  <c r="I7" i="2" s="1" a="1"/>
  <c r="I7" i="2" s="1"/>
  <c r="J7" i="2" s="1" a="1"/>
  <c r="J7" i="2" s="1"/>
  <c r="K7" i="2" s="1" a="1"/>
  <c r="K7" i="2" s="1"/>
  <c r="L7" i="2" s="1" a="1"/>
  <c r="L7" i="2" s="1"/>
  <c r="M7" i="2" s="1" a="1"/>
  <c r="M7" i="2" s="1"/>
  <c r="N7" i="2" s="1" a="1"/>
  <c r="N7" i="2" s="1"/>
  <c r="O7" i="2" s="1" a="1"/>
  <c r="O7" i="2" s="1"/>
  <c r="P7" i="2" s="1" a="1"/>
  <c r="P7" i="2" s="1"/>
  <c r="Q7" i="2" s="1" a="1"/>
  <c r="Q7" i="2" s="1"/>
  <c r="R7" i="2" s="1" a="1"/>
  <c r="R7" i="2" s="1"/>
  <c r="S7" i="2" s="1" a="1"/>
  <c r="S7" i="2" s="1"/>
  <c r="T7" i="2" s="1" a="1"/>
  <c r="T7" i="2" s="1"/>
  <c r="U7" i="2" s="1" a="1"/>
  <c r="U7" i="2" s="1"/>
  <c r="V7" i="2" s="1" a="1"/>
  <c r="V7" i="2" s="1"/>
  <c r="W7" i="2" s="1" a="1"/>
  <c r="W7" i="2" s="1"/>
  <c r="X7" i="2" s="1" a="1"/>
  <c r="X7" i="2" s="1"/>
  <c r="Y7" i="2" s="1" a="1"/>
  <c r="Y7" i="2" s="1"/>
  <c r="Z7" i="2" s="1" a="1"/>
  <c r="Z7" i="2" s="1"/>
  <c r="AA7" i="2" s="1" a="1"/>
  <c r="AA7" i="2" s="1"/>
  <c r="AB7" i="2" s="1" a="1"/>
  <c r="AB7" i="2" s="1"/>
  <c r="AC7" i="2" s="1" a="1"/>
  <c r="AC7" i="2" s="1"/>
  <c r="AD7" i="2" s="1" a="1"/>
  <c r="AD7" i="2" s="1"/>
  <c r="AE7" i="2" s="1" a="1"/>
  <c r="AE7" i="2" s="1"/>
  <c r="AF7" i="2" s="1" a="1"/>
  <c r="AF7" i="2" s="1"/>
  <c r="AG7" i="2" s="1" a="1"/>
  <c r="AG7" i="2" s="1"/>
  <c r="AH7" i="2" s="1" a="1"/>
  <c r="AH7" i="2" s="1"/>
  <c r="AI7" i="2" s="1" a="1"/>
  <c r="AI7" i="2" s="1"/>
  <c r="AJ7" i="2" s="1" a="1"/>
  <c r="AJ7" i="2" s="1"/>
  <c r="AK7" i="2" s="1" a="1"/>
  <c r="AK7" i="2" s="1"/>
  <c r="AL7" i="2" s="1" a="1"/>
  <c r="AL7" i="2" s="1"/>
  <c r="AM7" i="2" s="1" a="1"/>
  <c r="AM7" i="2" s="1"/>
  <c r="AN7" i="2" s="1" a="1"/>
  <c r="AN7" i="2" s="1"/>
  <c r="AO7" i="2" s="1" a="1"/>
  <c r="AO7" i="2" s="1"/>
  <c r="AP7" i="2" s="1" a="1"/>
  <c r="AP7" i="2" s="1"/>
  <c r="AQ7" i="2" s="1" a="1"/>
  <c r="AQ7" i="2" s="1"/>
  <c r="AR7" i="2" s="1" a="1"/>
  <c r="AR7" i="2" s="1"/>
  <c r="AS7" i="2" s="1" a="1"/>
  <c r="AS7" i="2" s="1"/>
  <c r="AT7" i="2" s="1" a="1"/>
  <c r="AT7" i="2" s="1"/>
  <c r="AU7" i="2" s="1" a="1"/>
  <c r="AU7" i="2" s="1"/>
  <c r="AV7" i="2" s="1" a="1"/>
  <c r="AV7" i="2" s="1"/>
  <c r="AW7" i="2" s="1" a="1"/>
  <c r="AW7" i="2" s="1"/>
  <c r="AX7" i="2" s="1" a="1"/>
  <c r="AX7" i="2" s="1"/>
  <c r="C8" i="2" a="1"/>
  <c r="C8" i="2" s="1"/>
  <c r="D8" i="2" s="1" a="1"/>
  <c r="D8" i="2" s="1"/>
  <c r="E8" i="2" s="1" a="1"/>
  <c r="E8" i="2" s="1"/>
  <c r="F8" i="2" a="1"/>
  <c r="F8" i="2" s="1"/>
  <c r="G8" i="2" s="1" a="1"/>
  <c r="G8" i="2" s="1"/>
  <c r="H8" i="2" s="1" a="1"/>
  <c r="H8" i="2" s="1"/>
  <c r="I8" i="2" s="1" a="1"/>
  <c r="I8" i="2" s="1"/>
  <c r="J8" i="2" a="1"/>
  <c r="J8" i="2" s="1"/>
  <c r="K8" i="2" s="1" a="1"/>
  <c r="K8" i="2" s="1"/>
  <c r="L8" i="2" s="1" a="1"/>
  <c r="L8" i="2" s="1"/>
  <c r="M8" i="2" s="1" a="1"/>
  <c r="M8" i="2" s="1"/>
  <c r="N8" i="2" s="1" a="1"/>
  <c r="N8" i="2" s="1"/>
  <c r="O8" i="2" s="1" a="1"/>
  <c r="O8" i="2" s="1"/>
  <c r="P8" i="2" s="1" a="1"/>
  <c r="P8" i="2" s="1"/>
  <c r="Q8" i="2" s="1" a="1"/>
  <c r="Q8" i="2" s="1"/>
  <c r="R8" i="2" s="1" a="1"/>
  <c r="R8" i="2" s="1"/>
  <c r="S8" i="2" s="1" a="1"/>
  <c r="S8" i="2" s="1"/>
  <c r="T8" i="2" s="1" a="1"/>
  <c r="T8" i="2" s="1"/>
  <c r="U8" i="2" s="1" a="1"/>
  <c r="U8" i="2" s="1"/>
  <c r="V8" i="2" s="1" a="1"/>
  <c r="V8" i="2" s="1"/>
  <c r="W8" i="2" s="1" a="1"/>
  <c r="W8" i="2" s="1"/>
  <c r="X8" i="2" s="1" a="1"/>
  <c r="X8" i="2" s="1"/>
  <c r="Y8" i="2" s="1" a="1"/>
  <c r="Y8" i="2" s="1"/>
  <c r="Z8" i="2" s="1" a="1"/>
  <c r="Z8" i="2" s="1"/>
  <c r="AA8" i="2" s="1" a="1"/>
  <c r="AA8" i="2" s="1"/>
  <c r="AB8" i="2" s="1" a="1"/>
  <c r="AB8" i="2" s="1"/>
  <c r="AC8" i="2" s="1" a="1"/>
  <c r="AC8" i="2" s="1"/>
  <c r="AD8" i="2" s="1" a="1"/>
  <c r="AD8" i="2" s="1"/>
  <c r="AE8" i="2" s="1" a="1"/>
  <c r="AE8" i="2" s="1"/>
  <c r="AF8" i="2" s="1" a="1"/>
  <c r="AF8" i="2" s="1"/>
  <c r="AG8" i="2" s="1" a="1"/>
  <c r="AG8" i="2" s="1"/>
  <c r="AH8" i="2" s="1" a="1"/>
  <c r="AH8" i="2" s="1"/>
  <c r="AI8" i="2" s="1" a="1"/>
  <c r="AI8" i="2" s="1"/>
  <c r="AJ8" i="2" s="1" a="1"/>
  <c r="AJ8" i="2" s="1"/>
  <c r="AK8" i="2" s="1" a="1"/>
  <c r="AK8" i="2" s="1"/>
  <c r="AL8" i="2" s="1" a="1"/>
  <c r="AL8" i="2" s="1"/>
  <c r="AM8" i="2" s="1" a="1"/>
  <c r="AM8" i="2" s="1"/>
  <c r="AN8" i="2" s="1" a="1"/>
  <c r="AN8" i="2" s="1"/>
  <c r="AO8" i="2" s="1" a="1"/>
  <c r="AO8" i="2" s="1"/>
  <c r="AP8" i="2" s="1" a="1"/>
  <c r="AP8" i="2" s="1"/>
  <c r="AQ8" i="2" s="1" a="1"/>
  <c r="AQ8" i="2" s="1"/>
  <c r="AR8" i="2" s="1" a="1"/>
  <c r="AR8" i="2" s="1"/>
  <c r="AS8" i="2" s="1" a="1"/>
  <c r="AS8" i="2" s="1"/>
  <c r="AT8" i="2" s="1" a="1"/>
  <c r="AT8" i="2" s="1"/>
  <c r="AU8" i="2" s="1" a="1"/>
  <c r="AU8" i="2" s="1"/>
  <c r="AV8" i="2" s="1" a="1"/>
  <c r="AV8" i="2" s="1"/>
  <c r="AW8" i="2" s="1" a="1"/>
  <c r="AW8" i="2" s="1"/>
  <c r="AX8" i="2" s="1" a="1"/>
  <c r="AX8" i="2" s="1"/>
  <c r="C9" i="2" a="1"/>
  <c r="C9" i="2" s="1"/>
  <c r="D9" i="2" s="1" a="1"/>
  <c r="D9" i="2" s="1"/>
  <c r="E9" i="2" a="1"/>
  <c r="E9" i="2" s="1"/>
  <c r="F9" i="2" s="1" a="1"/>
  <c r="F9" i="2" s="1"/>
  <c r="G9" i="2" s="1" a="1"/>
  <c r="G9" i="2" s="1"/>
  <c r="H9" i="2" s="1" a="1"/>
  <c r="H9" i="2" s="1"/>
  <c r="I9" i="2" a="1"/>
  <c r="I9" i="2" s="1"/>
  <c r="J9" i="2" s="1" a="1"/>
  <c r="J9" i="2" s="1"/>
  <c r="K9" i="2" s="1" a="1"/>
  <c r="K9" i="2" s="1"/>
  <c r="L9" i="2" s="1" a="1"/>
  <c r="L9" i="2" s="1"/>
  <c r="M9" i="2" s="1" a="1"/>
  <c r="M9" i="2" s="1"/>
  <c r="N9" i="2" a="1"/>
  <c r="N9" i="2" s="1"/>
  <c r="O9" i="2" s="1" a="1"/>
  <c r="O9" i="2" s="1"/>
  <c r="P9" i="2" s="1" a="1"/>
  <c r="P9" i="2" s="1"/>
  <c r="Q9" i="2" s="1" a="1"/>
  <c r="Q9" i="2" s="1"/>
  <c r="R9" i="2" s="1" a="1"/>
  <c r="R9" i="2" s="1"/>
  <c r="S9" i="2" s="1" a="1"/>
  <c r="S9" i="2" s="1"/>
  <c r="T9" i="2" s="1" a="1"/>
  <c r="T9" i="2" s="1"/>
  <c r="U9" i="2" s="1" a="1"/>
  <c r="U9" i="2" s="1"/>
  <c r="V9" i="2" s="1" a="1"/>
  <c r="V9" i="2" s="1"/>
  <c r="W9" i="2" a="1"/>
  <c r="W9" i="2" s="1"/>
  <c r="X9" i="2" s="1" a="1"/>
  <c r="X9" i="2" s="1"/>
  <c r="Y9" i="2" s="1" a="1"/>
  <c r="Y9" i="2" s="1"/>
  <c r="Z9" i="2" s="1" a="1"/>
  <c r="Z9" i="2" s="1"/>
  <c r="AA9" i="2" s="1" a="1"/>
  <c r="AA9" i="2" s="1"/>
  <c r="AB9" i="2" s="1" a="1"/>
  <c r="AB9" i="2" s="1"/>
  <c r="AC9" i="2" s="1" a="1"/>
  <c r="AC9" i="2" s="1"/>
  <c r="AD9" i="2" s="1" a="1"/>
  <c r="AD9" i="2" s="1"/>
  <c r="AE9" i="2" s="1" a="1"/>
  <c r="AE9" i="2" s="1"/>
  <c r="AF9" i="2" s="1" a="1"/>
  <c r="AF9" i="2" s="1"/>
  <c r="AG9" i="2" s="1" a="1"/>
  <c r="AG9" i="2" s="1"/>
  <c r="AH9" i="2" s="1" a="1"/>
  <c r="AH9" i="2" s="1"/>
  <c r="AI9" i="2" s="1" a="1"/>
  <c r="AI9" i="2" s="1"/>
  <c r="AJ9" i="2" s="1" a="1"/>
  <c r="AJ9" i="2" s="1"/>
  <c r="AK9" i="2" s="1" a="1"/>
  <c r="AK9" i="2" s="1"/>
  <c r="AL9" i="2" s="1" a="1"/>
  <c r="AL9" i="2" s="1"/>
  <c r="AM9" i="2" s="1" a="1"/>
  <c r="AM9" i="2" s="1"/>
  <c r="AN9" i="2" s="1" a="1"/>
  <c r="AN9" i="2" s="1"/>
  <c r="AO9" i="2" s="1" a="1"/>
  <c r="AO9" i="2" s="1"/>
  <c r="AP9" i="2" s="1" a="1"/>
  <c r="AP9" i="2" s="1"/>
  <c r="AQ9" i="2" s="1" a="1"/>
  <c r="AQ9" i="2" s="1"/>
  <c r="AR9" i="2" s="1" a="1"/>
  <c r="AR9" i="2" s="1"/>
  <c r="AS9" i="2" s="1" a="1"/>
  <c r="AS9" i="2" s="1"/>
  <c r="AT9" i="2" s="1" a="1"/>
  <c r="AT9" i="2" s="1"/>
  <c r="AU9" i="2" s="1" a="1"/>
  <c r="AU9" i="2" s="1"/>
  <c r="AV9" i="2" s="1" a="1"/>
  <c r="AV9" i="2" s="1"/>
  <c r="AW9" i="2" s="1" a="1"/>
  <c r="AW9" i="2" s="1"/>
  <c r="AX9" i="2" s="1" a="1"/>
  <c r="AX9" i="2" s="1"/>
  <c r="C10" i="2" a="1"/>
  <c r="C10" i="2" s="1"/>
  <c r="D10" i="2" s="1" a="1"/>
  <c r="D10" i="2" s="1"/>
  <c r="E10" i="2" s="1" a="1"/>
  <c r="E10" i="2" s="1"/>
  <c r="F10" i="2" s="1" a="1"/>
  <c r="F10" i="2" s="1"/>
  <c r="G10" i="2" s="1" a="1"/>
  <c r="G10" i="2" s="1"/>
  <c r="H10" i="2" s="1" a="1"/>
  <c r="H10" i="2" s="1"/>
  <c r="I10" i="2" s="1" a="1"/>
  <c r="I10" i="2" s="1"/>
  <c r="J10" i="2" s="1" a="1"/>
  <c r="J10" i="2" s="1"/>
  <c r="K10" i="2" s="1" a="1"/>
  <c r="K10" i="2" s="1"/>
  <c r="L10" i="2" s="1" a="1"/>
  <c r="L10" i="2" s="1"/>
  <c r="M10" i="2" s="1" a="1"/>
  <c r="M10" i="2" s="1"/>
  <c r="N10" i="2" s="1" a="1"/>
  <c r="N10" i="2" s="1"/>
  <c r="O10" i="2" s="1" a="1"/>
  <c r="O10" i="2" s="1"/>
  <c r="P10" i="2" s="1" a="1"/>
  <c r="P10" i="2" s="1"/>
  <c r="Q10" i="2" s="1" a="1"/>
  <c r="Q10" i="2" s="1"/>
  <c r="R10" i="2" s="1" a="1"/>
  <c r="R10" i="2" s="1"/>
  <c r="S10" i="2" s="1" a="1"/>
  <c r="S10" i="2" s="1"/>
  <c r="T10" i="2" s="1" a="1"/>
  <c r="T10" i="2" s="1"/>
  <c r="U10" i="2" s="1" a="1"/>
  <c r="U10" i="2" s="1"/>
  <c r="V10" i="2" s="1" a="1"/>
  <c r="V10" i="2" s="1"/>
  <c r="W10" i="2" s="1" a="1"/>
  <c r="W10" i="2" s="1"/>
  <c r="X10" i="2" s="1" a="1"/>
  <c r="X10" i="2" s="1"/>
  <c r="Y10" i="2" s="1" a="1"/>
  <c r="Y10" i="2" s="1"/>
  <c r="Z10" i="2" s="1" a="1"/>
  <c r="Z10" i="2" s="1"/>
  <c r="AA10" i="2" s="1" a="1"/>
  <c r="AA10" i="2" s="1"/>
  <c r="AB10" i="2" s="1" a="1"/>
  <c r="AB10" i="2" s="1"/>
  <c r="AC10" i="2" s="1" a="1"/>
  <c r="AC10" i="2" s="1"/>
  <c r="AD10" i="2" s="1" a="1"/>
  <c r="AD10" i="2" s="1"/>
  <c r="AE10" i="2" s="1" a="1"/>
  <c r="AE10" i="2" s="1"/>
  <c r="AF10" i="2" s="1" a="1"/>
  <c r="AF10" i="2" s="1"/>
  <c r="AG10" i="2" s="1" a="1"/>
  <c r="AG10" i="2" s="1"/>
  <c r="AH10" i="2" s="1" a="1"/>
  <c r="AH10" i="2" s="1"/>
  <c r="AI10" i="2" s="1" a="1"/>
  <c r="AI10" i="2" s="1"/>
  <c r="AJ10" i="2" s="1" a="1"/>
  <c r="AJ10" i="2" s="1"/>
  <c r="AK10" i="2" s="1" a="1"/>
  <c r="AK10" i="2" s="1"/>
  <c r="AL10" i="2" s="1" a="1"/>
  <c r="AL10" i="2" s="1"/>
  <c r="AM10" i="2" s="1" a="1"/>
  <c r="AM10" i="2" s="1"/>
  <c r="AN10" i="2" s="1" a="1"/>
  <c r="AN10" i="2" s="1"/>
  <c r="AO10" i="2" s="1" a="1"/>
  <c r="AO10" i="2" s="1"/>
  <c r="AP10" i="2" s="1" a="1"/>
  <c r="AP10" i="2" s="1"/>
  <c r="AQ10" i="2" s="1" a="1"/>
  <c r="AQ10" i="2" s="1"/>
  <c r="AR10" i="2" s="1" a="1"/>
  <c r="AR10" i="2" s="1"/>
  <c r="AS10" i="2" s="1" a="1"/>
  <c r="AS10" i="2" s="1"/>
  <c r="AT10" i="2" s="1" a="1"/>
  <c r="AT10" i="2" s="1"/>
  <c r="AU10" i="2" s="1" a="1"/>
  <c r="AU10" i="2" s="1"/>
  <c r="AV10" i="2" s="1" a="1"/>
  <c r="AV10" i="2" s="1"/>
  <c r="AW10" i="2" s="1" a="1"/>
  <c r="AW10" i="2" s="1"/>
  <c r="AX10" i="2" s="1" a="1"/>
  <c r="AX10" i="2" s="1"/>
  <c r="C11" i="2" a="1"/>
  <c r="C11" i="2"/>
  <c r="D11" i="2" a="1"/>
  <c r="D11" i="2"/>
  <c r="E11" i="2" a="1"/>
  <c r="E11" i="2" s="1"/>
  <c r="F11" i="2" a="1"/>
  <c r="F11" i="2"/>
  <c r="G11" i="2" s="1" a="1"/>
  <c r="G11" i="2" s="1"/>
  <c r="H11" i="2" s="1" a="1"/>
  <c r="H11" i="2" s="1"/>
  <c r="I11" i="2" s="1" a="1"/>
  <c r="I11" i="2" s="1"/>
  <c r="J11" i="2" s="1" a="1"/>
  <c r="J11" i="2" s="1"/>
  <c r="K11" i="2" s="1" a="1"/>
  <c r="K11" i="2" s="1"/>
  <c r="L11" i="2" s="1" a="1"/>
  <c r="L11" i="2" s="1"/>
  <c r="M11" i="2" s="1" a="1"/>
  <c r="M11" i="2" s="1"/>
  <c r="N11" i="2" s="1" a="1"/>
  <c r="N11" i="2" s="1"/>
  <c r="O11" i="2" s="1" a="1"/>
  <c r="O11" i="2" s="1"/>
  <c r="P11" i="2" s="1" a="1"/>
  <c r="P11" i="2" s="1"/>
  <c r="Q11" i="2" s="1" a="1"/>
  <c r="Q11" i="2" s="1"/>
  <c r="R11" i="2" s="1" a="1"/>
  <c r="R11" i="2" s="1"/>
  <c r="S11" i="2" s="1" a="1"/>
  <c r="S11" i="2" s="1"/>
  <c r="T11" i="2" s="1" a="1"/>
  <c r="T11" i="2" s="1"/>
  <c r="U11" i="2" s="1" a="1"/>
  <c r="U11" i="2" s="1"/>
  <c r="V11" i="2" s="1" a="1"/>
  <c r="V11" i="2" s="1"/>
  <c r="W11" i="2" s="1" a="1"/>
  <c r="W11" i="2" s="1"/>
  <c r="X11" i="2" s="1" a="1"/>
  <c r="X11" i="2" s="1"/>
  <c r="Y11" i="2" s="1" a="1"/>
  <c r="Y11" i="2" s="1"/>
  <c r="Z11" i="2" s="1" a="1"/>
  <c r="Z11" i="2" s="1"/>
  <c r="AA11" i="2" s="1" a="1"/>
  <c r="AA11" i="2" s="1"/>
  <c r="AB11" i="2" s="1" a="1"/>
  <c r="AB11" i="2" s="1"/>
  <c r="AC11" i="2" s="1" a="1"/>
  <c r="AC11" i="2" s="1"/>
  <c r="AD11" i="2" s="1" a="1"/>
  <c r="AD11" i="2" s="1"/>
  <c r="AE11" i="2" s="1" a="1"/>
  <c r="AE11" i="2" s="1"/>
  <c r="AF11" i="2" s="1" a="1"/>
  <c r="AF11" i="2" s="1"/>
  <c r="AG11" i="2" s="1" a="1"/>
  <c r="AG11" i="2" s="1"/>
  <c r="AH11" i="2" s="1" a="1"/>
  <c r="AH11" i="2" s="1"/>
  <c r="AI11" i="2" s="1" a="1"/>
  <c r="AI11" i="2" s="1"/>
  <c r="AJ11" i="2" s="1" a="1"/>
  <c r="AJ11" i="2" s="1"/>
  <c r="AK11" i="2" s="1" a="1"/>
  <c r="AK11" i="2" s="1"/>
  <c r="AL11" i="2" s="1" a="1"/>
  <c r="AL11" i="2" s="1"/>
  <c r="AM11" i="2" s="1" a="1"/>
  <c r="AM11" i="2" s="1"/>
  <c r="AN11" i="2" s="1" a="1"/>
  <c r="AN11" i="2" s="1"/>
  <c r="AO11" i="2" s="1" a="1"/>
  <c r="AO11" i="2" s="1"/>
  <c r="AP11" i="2" s="1" a="1"/>
  <c r="AP11" i="2" s="1"/>
  <c r="AQ11" i="2" s="1" a="1"/>
  <c r="AQ11" i="2" s="1"/>
  <c r="AR11" i="2" s="1" a="1"/>
  <c r="AR11" i="2" s="1"/>
  <c r="AS11" i="2" s="1" a="1"/>
  <c r="AS11" i="2" s="1"/>
  <c r="AT11" i="2" s="1" a="1"/>
  <c r="AT11" i="2" s="1"/>
  <c r="AU11" i="2" s="1" a="1"/>
  <c r="AU11" i="2" s="1"/>
  <c r="AV11" i="2" s="1" a="1"/>
  <c r="AV11" i="2" s="1"/>
  <c r="AW11" i="2" s="1" a="1"/>
  <c r="AW11" i="2" s="1"/>
  <c r="AX11" i="2" s="1" a="1"/>
  <c r="AX11" i="2" s="1"/>
  <c r="C12" i="2" a="1"/>
  <c r="C12" i="2" s="1"/>
  <c r="D12" i="2" a="1"/>
  <c r="D12" i="2" s="1"/>
  <c r="E12" i="2" s="1" a="1"/>
  <c r="E12" i="2" s="1"/>
  <c r="F12" i="2" s="1" a="1"/>
  <c r="F12" i="2" s="1"/>
  <c r="G12" i="2" s="1" a="1"/>
  <c r="G12" i="2" s="1"/>
  <c r="H12" i="2" s="1" a="1"/>
  <c r="H12" i="2" s="1"/>
  <c r="I12" i="2" s="1" a="1"/>
  <c r="I12" i="2" s="1"/>
  <c r="J12" i="2" s="1" a="1"/>
  <c r="J12" i="2" s="1"/>
  <c r="K12" i="2" s="1" a="1"/>
  <c r="K12" i="2" s="1"/>
  <c r="L12" i="2" s="1" a="1"/>
  <c r="L12" i="2" s="1"/>
  <c r="M12" i="2" s="1" a="1"/>
  <c r="M12" i="2" s="1"/>
  <c r="N12" i="2" s="1" a="1"/>
  <c r="N12" i="2" s="1"/>
  <c r="O12" i="2" s="1" a="1"/>
  <c r="O12" i="2" s="1"/>
  <c r="P12" i="2" s="1" a="1"/>
  <c r="P12" i="2" s="1"/>
  <c r="Q12" i="2" s="1" a="1"/>
  <c r="Q12" i="2" s="1"/>
  <c r="R12" i="2" s="1" a="1"/>
  <c r="R12" i="2" s="1"/>
  <c r="S12" i="2" s="1" a="1"/>
  <c r="S12" i="2" s="1"/>
  <c r="T12" i="2" s="1" a="1"/>
  <c r="T12" i="2" s="1"/>
  <c r="U12" i="2" s="1" a="1"/>
  <c r="U12" i="2" s="1"/>
  <c r="V12" i="2" s="1" a="1"/>
  <c r="V12" i="2" s="1"/>
  <c r="W12" i="2" s="1" a="1"/>
  <c r="W12" i="2" s="1"/>
  <c r="X12" i="2" s="1" a="1"/>
  <c r="X12" i="2" s="1"/>
  <c r="Y12" i="2" s="1" a="1"/>
  <c r="Y12" i="2" s="1"/>
  <c r="Z12" i="2" s="1" a="1"/>
  <c r="Z12" i="2" s="1"/>
  <c r="AA12" i="2" s="1" a="1"/>
  <c r="AA12" i="2" s="1"/>
  <c r="AB12" i="2" s="1" a="1"/>
  <c r="AB12" i="2" s="1"/>
  <c r="AC12" i="2" s="1" a="1"/>
  <c r="AC12" i="2" s="1"/>
  <c r="AD12" i="2" s="1" a="1"/>
  <c r="AD12" i="2" s="1"/>
  <c r="AE12" i="2" s="1" a="1"/>
  <c r="AE12" i="2" s="1"/>
  <c r="AF12" i="2" s="1" a="1"/>
  <c r="AF12" i="2" s="1"/>
  <c r="AG12" i="2" s="1" a="1"/>
  <c r="AG12" i="2" s="1"/>
  <c r="AH12" i="2" s="1" a="1"/>
  <c r="AH12" i="2" s="1"/>
  <c r="AI12" i="2" s="1" a="1"/>
  <c r="AI12" i="2" s="1"/>
  <c r="AJ12" i="2" s="1" a="1"/>
  <c r="AJ12" i="2" s="1"/>
  <c r="AK12" i="2" s="1" a="1"/>
  <c r="AK12" i="2" s="1"/>
  <c r="AL12" i="2" s="1" a="1"/>
  <c r="AL12" i="2" s="1"/>
  <c r="AM12" i="2" s="1" a="1"/>
  <c r="AM12" i="2" s="1"/>
  <c r="AN12" i="2" s="1" a="1"/>
  <c r="AN12" i="2" s="1"/>
  <c r="AO12" i="2" s="1" a="1"/>
  <c r="AO12" i="2" s="1"/>
  <c r="AP12" i="2" s="1" a="1"/>
  <c r="AP12" i="2" s="1"/>
  <c r="AQ12" i="2" s="1" a="1"/>
  <c r="AQ12" i="2" s="1"/>
  <c r="AR12" i="2" s="1" a="1"/>
  <c r="AR12" i="2" s="1"/>
  <c r="AS12" i="2" s="1" a="1"/>
  <c r="AS12" i="2" s="1"/>
  <c r="AT12" i="2" s="1" a="1"/>
  <c r="AT12" i="2" s="1"/>
  <c r="AU12" i="2" s="1" a="1"/>
  <c r="AU12" i="2" s="1"/>
  <c r="AV12" i="2" s="1" a="1"/>
  <c r="AV12" i="2" s="1"/>
  <c r="AW12" i="2" s="1" a="1"/>
  <c r="AW12" i="2" s="1"/>
  <c r="AX12" i="2" s="1" a="1"/>
  <c r="AX12" i="2" s="1"/>
  <c r="C13" i="2" a="1"/>
  <c r="C13" i="2"/>
  <c r="D13" i="2" a="1"/>
  <c r="D13" i="2" s="1"/>
  <c r="E13" i="2" a="1"/>
  <c r="E13" i="2" s="1"/>
  <c r="F13" i="2" s="1" a="1"/>
  <c r="F13" i="2"/>
  <c r="G13" i="2" s="1" a="1"/>
  <c r="G13" i="2" s="1"/>
  <c r="H13" i="2" s="1" a="1"/>
  <c r="H13" i="2"/>
  <c r="I13" i="2" s="1" a="1"/>
  <c r="I13" i="2" s="1"/>
  <c r="J13" i="2" s="1" a="1"/>
  <c r="J13" i="2" s="1"/>
  <c r="K13" i="2" s="1" a="1"/>
  <c r="K13" i="2" s="1"/>
  <c r="L13" i="2" s="1" a="1"/>
  <c r="L13" i="2" s="1"/>
  <c r="M13" i="2" s="1" a="1"/>
  <c r="M13" i="2" s="1"/>
  <c r="N13" i="2" s="1" a="1"/>
  <c r="N13" i="2" s="1"/>
  <c r="O13" i="2" s="1" a="1"/>
  <c r="O13" i="2" s="1"/>
  <c r="P13" i="2" s="1" a="1"/>
  <c r="P13" i="2" s="1"/>
  <c r="Q13" i="2" s="1" a="1"/>
  <c r="Q13" i="2" s="1"/>
  <c r="R13" i="2" s="1" a="1"/>
  <c r="R13" i="2" s="1"/>
  <c r="S13" i="2" s="1" a="1"/>
  <c r="S13" i="2" s="1"/>
  <c r="T13" i="2" s="1" a="1"/>
  <c r="T13" i="2" s="1"/>
  <c r="U13" i="2" s="1" a="1"/>
  <c r="U13" i="2" s="1"/>
  <c r="V13" i="2" s="1" a="1"/>
  <c r="V13" i="2" s="1"/>
  <c r="W13" i="2" s="1" a="1"/>
  <c r="W13" i="2" s="1"/>
  <c r="X13" i="2" s="1" a="1"/>
  <c r="X13" i="2" s="1"/>
  <c r="Y13" i="2" s="1" a="1"/>
  <c r="Y13" i="2" s="1"/>
  <c r="Z13" i="2" s="1" a="1"/>
  <c r="Z13" i="2" s="1"/>
  <c r="AA13" i="2" s="1" a="1"/>
  <c r="AA13" i="2" s="1"/>
  <c r="AB13" i="2" s="1" a="1"/>
  <c r="AB13" i="2" s="1"/>
  <c r="AC13" i="2" s="1" a="1"/>
  <c r="AC13" i="2" s="1"/>
  <c r="AD13" i="2" s="1" a="1"/>
  <c r="AD13" i="2" s="1"/>
  <c r="AE13" i="2" s="1" a="1"/>
  <c r="AE13" i="2" s="1"/>
  <c r="AF13" i="2" s="1" a="1"/>
  <c r="AF13" i="2" s="1"/>
  <c r="AG13" i="2" s="1" a="1"/>
  <c r="AG13" i="2" s="1"/>
  <c r="AH13" i="2" s="1" a="1"/>
  <c r="AH13" i="2" s="1"/>
  <c r="AI13" i="2" s="1" a="1"/>
  <c r="AI13" i="2" s="1"/>
  <c r="AJ13" i="2" s="1" a="1"/>
  <c r="AJ13" i="2" s="1"/>
  <c r="AK13" i="2" s="1" a="1"/>
  <c r="AK13" i="2" s="1"/>
  <c r="AL13" i="2" s="1" a="1"/>
  <c r="AL13" i="2" s="1"/>
  <c r="AM13" i="2" s="1" a="1"/>
  <c r="AM13" i="2" s="1"/>
  <c r="AN13" i="2" s="1" a="1"/>
  <c r="AN13" i="2" s="1"/>
  <c r="AO13" i="2" s="1" a="1"/>
  <c r="AO13" i="2" s="1"/>
  <c r="AP13" i="2" s="1" a="1"/>
  <c r="AP13" i="2" s="1"/>
  <c r="AQ13" i="2" s="1" a="1"/>
  <c r="AQ13" i="2" s="1"/>
  <c r="AR13" i="2" s="1" a="1"/>
  <c r="AR13" i="2" s="1"/>
  <c r="AS13" i="2" s="1" a="1"/>
  <c r="AS13" i="2" s="1"/>
  <c r="AT13" i="2" s="1" a="1"/>
  <c r="AT13" i="2" s="1"/>
  <c r="AU13" i="2" s="1" a="1"/>
  <c r="AU13" i="2" s="1"/>
  <c r="AV13" i="2" s="1" a="1"/>
  <c r="AV13" i="2" s="1"/>
  <c r="AW13" i="2" s="1" a="1"/>
  <c r="AW13" i="2" s="1"/>
  <c r="AX13" i="2" s="1" a="1"/>
  <c r="AX13" i="2" s="1"/>
  <c r="C14" i="2" a="1"/>
  <c r="C14" i="2" s="1"/>
  <c r="D14" i="2" a="1"/>
  <c r="D14" i="2" s="1"/>
  <c r="E14" i="2" s="1" a="1"/>
  <c r="E14" i="2" s="1"/>
  <c r="F14" i="2" s="1" a="1"/>
  <c r="F14" i="2" s="1"/>
  <c r="G14" i="2" a="1"/>
  <c r="G14" i="2" s="1"/>
  <c r="H14" i="2" s="1" a="1"/>
  <c r="H14" i="2" s="1"/>
  <c r="I14" i="2" s="1" a="1"/>
  <c r="I14" i="2" s="1"/>
  <c r="J14" i="2" s="1" a="1"/>
  <c r="J14" i="2" s="1"/>
  <c r="K14" i="2" s="1" a="1"/>
  <c r="K14" i="2" s="1"/>
  <c r="L14" i="2" s="1" a="1"/>
  <c r="L14" i="2" s="1"/>
  <c r="M14" i="2" s="1" a="1"/>
  <c r="M14" i="2" s="1"/>
  <c r="N14" i="2" s="1" a="1"/>
  <c r="N14" i="2" s="1"/>
  <c r="O14" i="2" s="1" a="1"/>
  <c r="O14" i="2" s="1"/>
  <c r="P14" i="2" s="1" a="1"/>
  <c r="P14" i="2" s="1"/>
  <c r="Q14" i="2" s="1" a="1"/>
  <c r="Q14" i="2" s="1"/>
  <c r="R14" i="2" s="1" a="1"/>
  <c r="R14" i="2" s="1"/>
  <c r="S14" i="2" s="1" a="1"/>
  <c r="S14" i="2" s="1"/>
  <c r="T14" i="2" s="1" a="1"/>
  <c r="T14" i="2" s="1"/>
  <c r="U14" i="2" s="1" a="1"/>
  <c r="U14" i="2" s="1"/>
  <c r="V14" i="2" s="1" a="1"/>
  <c r="V14" i="2" s="1"/>
  <c r="W14" i="2" s="1" a="1"/>
  <c r="W14" i="2" s="1"/>
  <c r="X14" i="2" s="1" a="1"/>
  <c r="X14" i="2" s="1"/>
  <c r="Y14" i="2" s="1" a="1"/>
  <c r="Y14" i="2" s="1"/>
  <c r="Z14" i="2" s="1" a="1"/>
  <c r="Z14" i="2" s="1"/>
  <c r="AA14" i="2" s="1" a="1"/>
  <c r="AA14" i="2" s="1"/>
  <c r="AB14" i="2" s="1" a="1"/>
  <c r="AB14" i="2" s="1"/>
  <c r="AC14" i="2" s="1" a="1"/>
  <c r="AC14" i="2" s="1"/>
  <c r="AD14" i="2" s="1" a="1"/>
  <c r="AD14" i="2" s="1"/>
  <c r="AE14" i="2" s="1" a="1"/>
  <c r="AE14" i="2" s="1"/>
  <c r="AF14" i="2" s="1" a="1"/>
  <c r="AF14" i="2" s="1"/>
  <c r="AG14" i="2" s="1" a="1"/>
  <c r="AG14" i="2" s="1"/>
  <c r="AH14" i="2" s="1" a="1"/>
  <c r="AH14" i="2" s="1"/>
  <c r="AI14" i="2" s="1" a="1"/>
  <c r="AI14" i="2" s="1"/>
  <c r="AJ14" i="2" s="1" a="1"/>
  <c r="AJ14" i="2" s="1"/>
  <c r="AK14" i="2" s="1" a="1"/>
  <c r="AK14" i="2" s="1"/>
  <c r="AL14" i="2" s="1" a="1"/>
  <c r="AL14" i="2" s="1"/>
  <c r="AM14" i="2" s="1" a="1"/>
  <c r="AM14" i="2" s="1"/>
  <c r="AN14" i="2" s="1" a="1"/>
  <c r="AN14" i="2" s="1"/>
  <c r="AO14" i="2" s="1" a="1"/>
  <c r="AO14" i="2" s="1"/>
  <c r="AP14" i="2" s="1" a="1"/>
  <c r="AP14" i="2" s="1"/>
  <c r="AQ14" i="2" s="1" a="1"/>
  <c r="AQ14" i="2" s="1"/>
  <c r="AR14" i="2" s="1" a="1"/>
  <c r="AR14" i="2" s="1"/>
  <c r="AS14" i="2" s="1" a="1"/>
  <c r="AS14" i="2" s="1"/>
  <c r="AT14" i="2" s="1" a="1"/>
  <c r="AT14" i="2" s="1"/>
  <c r="AU14" i="2" s="1" a="1"/>
  <c r="AU14" i="2" s="1"/>
  <c r="AV14" i="2" s="1" a="1"/>
  <c r="AV14" i="2" s="1"/>
  <c r="AW14" i="2" s="1" a="1"/>
  <c r="AW14" i="2" s="1"/>
  <c r="AX14" i="2" s="1" a="1"/>
  <c r="AX14" i="2" s="1"/>
  <c r="C15" i="2" a="1"/>
  <c r="C15" i="2"/>
  <c r="D15" i="2" a="1"/>
  <c r="D15" i="2" s="1"/>
  <c r="E15" i="2" s="1" a="1"/>
  <c r="E15" i="2" s="1"/>
  <c r="F15" i="2" s="1" a="1"/>
  <c r="F15" i="2" s="1"/>
  <c r="G15" i="2" s="1" a="1"/>
  <c r="G15" i="2" s="1"/>
  <c r="H15" i="2" s="1" a="1"/>
  <c r="H15" i="2" s="1"/>
  <c r="I15" i="2" s="1" a="1"/>
  <c r="I15" i="2" s="1"/>
  <c r="J15" i="2" s="1" a="1"/>
  <c r="J15" i="2" s="1"/>
  <c r="K15" i="2" s="1" a="1"/>
  <c r="K15" i="2" s="1"/>
  <c r="L15" i="2" s="1" a="1"/>
  <c r="L15" i="2" s="1"/>
  <c r="M15" i="2" s="1" a="1"/>
  <c r="M15" i="2" s="1"/>
  <c r="N15" i="2" s="1" a="1"/>
  <c r="N15" i="2" s="1"/>
  <c r="O15" i="2" s="1" a="1"/>
  <c r="O15" i="2" s="1"/>
  <c r="P15" i="2" s="1" a="1"/>
  <c r="P15" i="2" s="1"/>
  <c r="Q15" i="2" s="1" a="1"/>
  <c r="Q15" i="2" s="1"/>
  <c r="R15" i="2" s="1" a="1"/>
  <c r="R15" i="2" s="1"/>
  <c r="S15" i="2" s="1" a="1"/>
  <c r="S15" i="2" s="1"/>
  <c r="T15" i="2" s="1" a="1"/>
  <c r="T15" i="2" s="1"/>
  <c r="U15" i="2" s="1" a="1"/>
  <c r="U15" i="2" s="1"/>
  <c r="V15" i="2" s="1" a="1"/>
  <c r="V15" i="2" s="1"/>
  <c r="W15" i="2" s="1" a="1"/>
  <c r="W15" i="2" s="1"/>
  <c r="X15" i="2" s="1" a="1"/>
  <c r="X15" i="2" s="1"/>
  <c r="Y15" i="2" s="1" a="1"/>
  <c r="Y15" i="2" s="1"/>
  <c r="Z15" i="2" s="1" a="1"/>
  <c r="Z15" i="2" s="1"/>
  <c r="AA15" i="2" s="1" a="1"/>
  <c r="AA15" i="2" s="1"/>
  <c r="AB15" i="2" s="1" a="1"/>
  <c r="AB15" i="2" s="1"/>
  <c r="AC15" i="2" s="1" a="1"/>
  <c r="AC15" i="2" s="1"/>
  <c r="AD15" i="2" s="1" a="1"/>
  <c r="AD15" i="2" s="1"/>
  <c r="AE15" i="2" s="1" a="1"/>
  <c r="AE15" i="2" s="1"/>
  <c r="AF15" i="2" s="1" a="1"/>
  <c r="AF15" i="2" s="1"/>
  <c r="AG15" i="2" s="1" a="1"/>
  <c r="AG15" i="2" s="1"/>
  <c r="AH15" i="2" s="1" a="1"/>
  <c r="AH15" i="2" s="1"/>
  <c r="AI15" i="2" s="1" a="1"/>
  <c r="AI15" i="2" s="1"/>
  <c r="AJ15" i="2" s="1" a="1"/>
  <c r="AJ15" i="2" s="1"/>
  <c r="AK15" i="2" s="1" a="1"/>
  <c r="AK15" i="2" s="1"/>
  <c r="AL15" i="2" s="1" a="1"/>
  <c r="AL15" i="2" s="1"/>
  <c r="AM15" i="2" s="1" a="1"/>
  <c r="AM15" i="2" s="1"/>
  <c r="AN15" i="2" s="1" a="1"/>
  <c r="AN15" i="2" s="1"/>
  <c r="AO15" i="2" s="1" a="1"/>
  <c r="AO15" i="2" s="1"/>
  <c r="AP15" i="2" s="1" a="1"/>
  <c r="AP15" i="2" s="1"/>
  <c r="AQ15" i="2" s="1" a="1"/>
  <c r="AQ15" i="2" s="1"/>
  <c r="AR15" i="2" s="1" a="1"/>
  <c r="AR15" i="2" s="1"/>
  <c r="AS15" i="2" s="1" a="1"/>
  <c r="AS15" i="2" s="1"/>
  <c r="AT15" i="2" s="1" a="1"/>
  <c r="AT15" i="2" s="1"/>
  <c r="AU15" i="2" s="1" a="1"/>
  <c r="AU15" i="2" s="1"/>
  <c r="AV15" i="2" s="1" a="1"/>
  <c r="AV15" i="2" s="1"/>
  <c r="AW15" i="2" s="1" a="1"/>
  <c r="AW15" i="2" s="1"/>
  <c r="AX15" i="2" s="1" a="1"/>
  <c r="AX15" i="2" s="1"/>
  <c r="C16" i="2" a="1"/>
  <c r="C16" i="2" s="1"/>
  <c r="D16" i="2" s="1" a="1"/>
  <c r="D16" i="2" s="1"/>
  <c r="E16" i="2" s="1" a="1"/>
  <c r="E16" i="2" s="1"/>
  <c r="F16" i="2" s="1" a="1"/>
  <c r="F16" i="2" s="1"/>
  <c r="G16" i="2" s="1" a="1"/>
  <c r="G16" i="2" s="1"/>
  <c r="H16" i="2" s="1" a="1"/>
  <c r="H16" i="2" s="1"/>
  <c r="I16" i="2" s="1" a="1"/>
  <c r="I16" i="2" s="1"/>
  <c r="J16" i="2" s="1" a="1"/>
  <c r="J16" i="2" s="1"/>
  <c r="K16" i="2" s="1" a="1"/>
  <c r="K16" i="2" s="1"/>
  <c r="L16" i="2" s="1" a="1"/>
  <c r="L16" i="2" s="1"/>
  <c r="M16" i="2" s="1" a="1"/>
  <c r="M16" i="2" s="1"/>
  <c r="N16" i="2" s="1" a="1"/>
  <c r="N16" i="2" s="1"/>
  <c r="O16" i="2" s="1" a="1"/>
  <c r="O16" i="2" s="1"/>
  <c r="P16" i="2" s="1" a="1"/>
  <c r="P16" i="2" s="1"/>
  <c r="Q16" i="2" s="1" a="1"/>
  <c r="Q16" i="2" s="1"/>
  <c r="R16" i="2" s="1" a="1"/>
  <c r="R16" i="2" s="1"/>
  <c r="S16" i="2" s="1" a="1"/>
  <c r="S16" i="2" s="1"/>
  <c r="T16" i="2" s="1" a="1"/>
  <c r="T16" i="2" s="1"/>
  <c r="U16" i="2" s="1" a="1"/>
  <c r="U16" i="2" s="1"/>
  <c r="V16" i="2" s="1" a="1"/>
  <c r="V16" i="2" s="1"/>
  <c r="W16" i="2" s="1" a="1"/>
  <c r="W16" i="2" s="1"/>
  <c r="X16" i="2" s="1" a="1"/>
  <c r="X16" i="2" s="1"/>
  <c r="Y16" i="2" s="1" a="1"/>
  <c r="Y16" i="2" s="1"/>
  <c r="Z16" i="2" s="1" a="1"/>
  <c r="Z16" i="2" s="1"/>
  <c r="AA16" i="2" s="1" a="1"/>
  <c r="AA16" i="2" s="1"/>
  <c r="AB16" i="2" s="1" a="1"/>
  <c r="AB16" i="2" s="1"/>
  <c r="AC16" i="2" s="1" a="1"/>
  <c r="AC16" i="2" s="1"/>
  <c r="AD16" i="2" s="1" a="1"/>
  <c r="AD16" i="2" s="1"/>
  <c r="AE16" i="2" s="1" a="1"/>
  <c r="AE16" i="2" s="1"/>
  <c r="AF16" i="2" s="1" a="1"/>
  <c r="AF16" i="2" s="1"/>
  <c r="AG16" i="2" s="1" a="1"/>
  <c r="AG16" i="2" s="1"/>
  <c r="AH16" i="2" s="1" a="1"/>
  <c r="AH16" i="2" s="1"/>
  <c r="AI16" i="2" s="1" a="1"/>
  <c r="AI16" i="2" s="1"/>
  <c r="AJ16" i="2" s="1" a="1"/>
  <c r="AJ16" i="2" s="1"/>
  <c r="AK16" i="2" s="1" a="1"/>
  <c r="AK16" i="2" s="1"/>
  <c r="AL16" i="2" s="1" a="1"/>
  <c r="AL16" i="2" s="1"/>
  <c r="AM16" i="2" s="1" a="1"/>
  <c r="AM16" i="2" s="1"/>
  <c r="AN16" i="2" s="1" a="1"/>
  <c r="AN16" i="2" s="1"/>
  <c r="AO16" i="2" s="1" a="1"/>
  <c r="AO16" i="2" s="1"/>
  <c r="AP16" i="2" s="1" a="1"/>
  <c r="AP16" i="2" s="1"/>
  <c r="AQ16" i="2" s="1" a="1"/>
  <c r="AQ16" i="2" s="1"/>
  <c r="AR16" i="2" s="1" a="1"/>
  <c r="AR16" i="2" s="1"/>
  <c r="AS16" i="2" s="1" a="1"/>
  <c r="AS16" i="2" s="1"/>
  <c r="AT16" i="2" s="1" a="1"/>
  <c r="AT16" i="2" s="1"/>
  <c r="AU16" i="2" s="1" a="1"/>
  <c r="AU16" i="2" s="1"/>
  <c r="AV16" i="2" s="1" a="1"/>
  <c r="AV16" i="2" s="1"/>
  <c r="AW16" i="2" s="1" a="1"/>
  <c r="AW16" i="2" s="1"/>
  <c r="AX16" i="2" s="1" a="1"/>
  <c r="AX16" i="2" s="1"/>
  <c r="C17" i="2" a="1"/>
  <c r="C17" i="2" s="1"/>
  <c r="D17" i="2" a="1"/>
  <c r="D17" i="2"/>
  <c r="E17" i="2" s="1" a="1"/>
  <c r="E17" i="2" s="1"/>
  <c r="F17" i="2" s="1" a="1"/>
  <c r="F17" i="2" s="1"/>
  <c r="G17" i="2" s="1" a="1"/>
  <c r="G17" i="2" s="1"/>
  <c r="H17" i="2" s="1" a="1"/>
  <c r="H17" i="2" s="1"/>
  <c r="I17" i="2" s="1" a="1"/>
  <c r="I17" i="2" s="1"/>
  <c r="J17" i="2" s="1" a="1"/>
  <c r="J17" i="2" s="1"/>
  <c r="K17" i="2" s="1" a="1"/>
  <c r="K17" i="2" s="1"/>
  <c r="L17" i="2" s="1" a="1"/>
  <c r="L17" i="2" s="1"/>
  <c r="M17" i="2" s="1" a="1"/>
  <c r="M17" i="2" s="1"/>
  <c r="N17" i="2" s="1" a="1"/>
  <c r="N17" i="2" s="1"/>
  <c r="O17" i="2" s="1" a="1"/>
  <c r="O17" i="2" s="1"/>
  <c r="P17" i="2" s="1" a="1"/>
  <c r="P17" i="2" s="1"/>
  <c r="Q17" i="2" s="1" a="1"/>
  <c r="Q17" i="2" s="1"/>
  <c r="R17" i="2" s="1" a="1"/>
  <c r="R17" i="2" s="1"/>
  <c r="S17" i="2" s="1" a="1"/>
  <c r="S17" i="2" s="1"/>
  <c r="T17" i="2" s="1" a="1"/>
  <c r="T17" i="2" s="1"/>
  <c r="U17" i="2" s="1" a="1"/>
  <c r="U17" i="2" s="1"/>
  <c r="V17" i="2" s="1" a="1"/>
  <c r="V17" i="2" s="1"/>
  <c r="W17" i="2" s="1" a="1"/>
  <c r="W17" i="2" s="1"/>
  <c r="X17" i="2" s="1" a="1"/>
  <c r="X17" i="2" s="1"/>
  <c r="Y17" i="2" s="1" a="1"/>
  <c r="Y17" i="2" s="1"/>
  <c r="Z17" i="2" s="1" a="1"/>
  <c r="Z17" i="2" s="1"/>
  <c r="AA17" i="2" s="1" a="1"/>
  <c r="AA17" i="2" s="1"/>
  <c r="AB17" i="2" s="1" a="1"/>
  <c r="AB17" i="2" s="1"/>
  <c r="AC17" i="2" s="1" a="1"/>
  <c r="AC17" i="2" s="1"/>
  <c r="AD17" i="2" s="1" a="1"/>
  <c r="AD17" i="2" s="1"/>
  <c r="AE17" i="2" s="1" a="1"/>
  <c r="AE17" i="2" s="1"/>
  <c r="AF17" i="2" s="1" a="1"/>
  <c r="AF17" i="2" s="1"/>
  <c r="AG17" i="2" s="1" a="1"/>
  <c r="AG17" i="2" s="1"/>
  <c r="AH17" i="2" s="1" a="1"/>
  <c r="AH17" i="2" s="1"/>
  <c r="AI17" i="2" s="1" a="1"/>
  <c r="AI17" i="2" s="1"/>
  <c r="AJ17" i="2" s="1" a="1"/>
  <c r="AJ17" i="2" s="1"/>
  <c r="AK17" i="2" s="1" a="1"/>
  <c r="AK17" i="2" s="1"/>
  <c r="AL17" i="2" s="1" a="1"/>
  <c r="AL17" i="2" s="1"/>
  <c r="AM17" i="2" s="1" a="1"/>
  <c r="AM17" i="2" s="1"/>
  <c r="AN17" i="2" s="1" a="1"/>
  <c r="AN17" i="2" s="1"/>
  <c r="AO17" i="2" s="1" a="1"/>
  <c r="AO17" i="2" s="1"/>
  <c r="AP17" i="2" s="1" a="1"/>
  <c r="AP17" i="2" s="1"/>
  <c r="AQ17" i="2" s="1" a="1"/>
  <c r="AQ17" i="2" s="1"/>
  <c r="AR17" i="2" s="1" a="1"/>
  <c r="AR17" i="2" s="1"/>
  <c r="AS17" i="2" s="1" a="1"/>
  <c r="AS17" i="2" s="1"/>
  <c r="AT17" i="2" s="1" a="1"/>
  <c r="AT17" i="2" s="1"/>
  <c r="AU17" i="2" s="1" a="1"/>
  <c r="AU17" i="2" s="1"/>
  <c r="AV17" i="2" s="1" a="1"/>
  <c r="AV17" i="2" s="1"/>
  <c r="AW17" i="2" s="1" a="1"/>
  <c r="AW17" i="2" s="1"/>
  <c r="AX17" i="2" s="1" a="1"/>
  <c r="AX17" i="2" s="1"/>
  <c r="C18" i="2" a="1"/>
  <c r="C18" i="2"/>
  <c r="D18" i="2" s="1" a="1"/>
  <c r="D18" i="2" s="1"/>
  <c r="E18" i="2" s="1" a="1"/>
  <c r="E18" i="2" s="1"/>
  <c r="F18" i="2" s="1" a="1"/>
  <c r="F18" i="2"/>
  <c r="G18" i="2" s="1" a="1"/>
  <c r="G18" i="2" s="1"/>
  <c r="H18" i="2" s="1" a="1"/>
  <c r="H18" i="2" s="1"/>
  <c r="I18" i="2" s="1" a="1"/>
  <c r="I18" i="2" s="1"/>
  <c r="J18" i="2" s="1" a="1"/>
  <c r="J18" i="2" s="1"/>
  <c r="K18" i="2" s="1" a="1"/>
  <c r="K18" i="2" s="1"/>
  <c r="L18" i="2" s="1" a="1"/>
  <c r="L18" i="2" s="1"/>
  <c r="M18" i="2" s="1" a="1"/>
  <c r="M18" i="2" s="1"/>
  <c r="N18" i="2" s="1" a="1"/>
  <c r="N18" i="2" s="1"/>
  <c r="O18" i="2" s="1" a="1"/>
  <c r="O18" i="2" s="1"/>
  <c r="P18" i="2" s="1" a="1"/>
  <c r="P18" i="2" s="1"/>
  <c r="Q18" i="2" s="1" a="1"/>
  <c r="Q18" i="2" s="1"/>
  <c r="R18" i="2" s="1" a="1"/>
  <c r="R18" i="2" s="1"/>
  <c r="S18" i="2" s="1" a="1"/>
  <c r="S18" i="2" s="1"/>
  <c r="T18" i="2" s="1" a="1"/>
  <c r="T18" i="2" s="1"/>
  <c r="U18" i="2" s="1" a="1"/>
  <c r="U18" i="2" s="1"/>
  <c r="V18" i="2" s="1" a="1"/>
  <c r="V18" i="2" s="1"/>
  <c r="W18" i="2" s="1" a="1"/>
  <c r="W18" i="2" s="1"/>
  <c r="X18" i="2" s="1" a="1"/>
  <c r="X18" i="2" s="1"/>
  <c r="Y18" i="2" s="1" a="1"/>
  <c r="Y18" i="2" s="1"/>
  <c r="Z18" i="2" s="1" a="1"/>
  <c r="Z18" i="2" s="1"/>
  <c r="AA18" i="2" s="1" a="1"/>
  <c r="AA18" i="2" s="1"/>
  <c r="AB18" i="2" s="1" a="1"/>
  <c r="AB18" i="2" s="1"/>
  <c r="AC18" i="2" s="1" a="1"/>
  <c r="AC18" i="2" s="1"/>
  <c r="AD18" i="2" s="1" a="1"/>
  <c r="AD18" i="2" s="1"/>
  <c r="AE18" i="2" s="1" a="1"/>
  <c r="AE18" i="2" s="1"/>
  <c r="AF18" i="2" s="1" a="1"/>
  <c r="AF18" i="2" s="1"/>
  <c r="AG18" i="2" s="1" a="1"/>
  <c r="AG18" i="2" s="1"/>
  <c r="AH18" i="2" s="1" a="1"/>
  <c r="AH18" i="2" s="1"/>
  <c r="AI18" i="2" s="1" a="1"/>
  <c r="AI18" i="2" s="1"/>
  <c r="AJ18" i="2" s="1" a="1"/>
  <c r="AJ18" i="2" s="1"/>
  <c r="AK18" i="2" s="1" a="1"/>
  <c r="AK18" i="2" s="1"/>
  <c r="AL18" i="2" s="1" a="1"/>
  <c r="AL18" i="2" s="1"/>
  <c r="AM18" i="2" s="1" a="1"/>
  <c r="AM18" i="2" s="1"/>
  <c r="AN18" i="2" s="1" a="1"/>
  <c r="AN18" i="2" s="1"/>
  <c r="AO18" i="2" s="1" a="1"/>
  <c r="AO18" i="2" s="1"/>
  <c r="AP18" i="2" s="1" a="1"/>
  <c r="AP18" i="2" s="1"/>
  <c r="AQ18" i="2" s="1" a="1"/>
  <c r="AQ18" i="2" s="1"/>
  <c r="AR18" i="2" s="1" a="1"/>
  <c r="AR18" i="2" s="1"/>
  <c r="AS18" i="2" s="1" a="1"/>
  <c r="AS18" i="2" s="1"/>
  <c r="AT18" i="2" s="1" a="1"/>
  <c r="AT18" i="2" s="1"/>
  <c r="AU18" i="2" s="1" a="1"/>
  <c r="AU18" i="2" s="1"/>
  <c r="AV18" i="2" s="1" a="1"/>
  <c r="AV18" i="2" s="1"/>
  <c r="AW18" i="2" s="1" a="1"/>
  <c r="AW18" i="2" s="1"/>
  <c r="AX18" i="2" s="1" a="1"/>
  <c r="AX18" i="2" s="1"/>
  <c r="C19" i="2" a="1"/>
  <c r="C19" i="2" s="1"/>
  <c r="D19" i="2" s="1" a="1"/>
  <c r="D19" i="2" s="1"/>
  <c r="E19" i="2" s="1" a="1"/>
  <c r="E19" i="2" s="1"/>
  <c r="F19" i="2" s="1" a="1"/>
  <c r="F19" i="2" s="1"/>
  <c r="G19" i="2" s="1" a="1"/>
  <c r="G19" i="2" s="1"/>
  <c r="H19" i="2" s="1" a="1"/>
  <c r="H19" i="2" s="1"/>
  <c r="I19" i="2" s="1" a="1"/>
  <c r="I19" i="2" s="1"/>
  <c r="J19" i="2" s="1" a="1"/>
  <c r="J19" i="2" s="1"/>
  <c r="K19" i="2" s="1" a="1"/>
  <c r="K19" i="2" s="1"/>
  <c r="L19" i="2" s="1" a="1"/>
  <c r="L19" i="2" s="1"/>
  <c r="M19" i="2" s="1" a="1"/>
  <c r="M19" i="2" s="1"/>
  <c r="N19" i="2" s="1" a="1"/>
  <c r="N19" i="2" s="1"/>
  <c r="O19" i="2" s="1" a="1"/>
  <c r="O19" i="2" s="1"/>
  <c r="P19" i="2" s="1" a="1"/>
  <c r="P19" i="2" s="1"/>
  <c r="Q19" i="2" s="1" a="1"/>
  <c r="Q19" i="2" s="1"/>
  <c r="R19" i="2" s="1" a="1"/>
  <c r="R19" i="2" s="1"/>
  <c r="S19" i="2" s="1" a="1"/>
  <c r="S19" i="2" s="1"/>
  <c r="T19" i="2" s="1" a="1"/>
  <c r="T19" i="2" s="1"/>
  <c r="U19" i="2" s="1" a="1"/>
  <c r="U19" i="2" s="1"/>
  <c r="V19" i="2" s="1" a="1"/>
  <c r="V19" i="2" s="1"/>
  <c r="W19" i="2" s="1" a="1"/>
  <c r="W19" i="2" s="1"/>
  <c r="X19" i="2" s="1" a="1"/>
  <c r="X19" i="2" s="1"/>
  <c r="Y19" i="2" s="1" a="1"/>
  <c r="Y19" i="2" s="1"/>
  <c r="Z19" i="2" s="1" a="1"/>
  <c r="Z19" i="2" s="1"/>
  <c r="AA19" i="2" s="1" a="1"/>
  <c r="AA19" i="2" s="1"/>
  <c r="AB19" i="2" s="1" a="1"/>
  <c r="AB19" i="2" s="1"/>
  <c r="AC19" i="2" s="1" a="1"/>
  <c r="AC19" i="2" s="1"/>
  <c r="AD19" i="2" s="1" a="1"/>
  <c r="AD19" i="2" s="1"/>
  <c r="AE19" i="2" s="1" a="1"/>
  <c r="AE19" i="2" s="1"/>
  <c r="AF19" i="2" s="1" a="1"/>
  <c r="AF19" i="2" s="1"/>
  <c r="AG19" i="2" s="1" a="1"/>
  <c r="AG19" i="2" s="1"/>
  <c r="AH19" i="2" s="1" a="1"/>
  <c r="AH19" i="2" s="1"/>
  <c r="AI19" i="2" s="1" a="1"/>
  <c r="AI19" i="2" s="1"/>
  <c r="AJ19" i="2" s="1" a="1"/>
  <c r="AJ19" i="2" s="1"/>
  <c r="AK19" i="2" s="1" a="1"/>
  <c r="AK19" i="2" s="1"/>
  <c r="AL19" i="2" s="1" a="1"/>
  <c r="AL19" i="2" s="1"/>
  <c r="AM19" i="2" s="1" a="1"/>
  <c r="AM19" i="2" s="1"/>
  <c r="AN19" i="2" s="1" a="1"/>
  <c r="AN19" i="2" s="1"/>
  <c r="AO19" i="2" s="1" a="1"/>
  <c r="AO19" i="2" s="1"/>
  <c r="AP19" i="2" s="1" a="1"/>
  <c r="AP19" i="2" s="1"/>
  <c r="AQ19" i="2" s="1" a="1"/>
  <c r="AQ19" i="2" s="1"/>
  <c r="AR19" i="2" s="1" a="1"/>
  <c r="AR19" i="2" s="1"/>
  <c r="AS19" i="2" s="1" a="1"/>
  <c r="AS19" i="2" s="1"/>
  <c r="AT19" i="2" s="1" a="1"/>
  <c r="AT19" i="2" s="1"/>
  <c r="AU19" i="2" s="1" a="1"/>
  <c r="AU19" i="2" s="1"/>
  <c r="AV19" i="2" s="1" a="1"/>
  <c r="AV19" i="2" s="1"/>
  <c r="AW19" i="2" s="1" a="1"/>
  <c r="AW19" i="2" s="1"/>
  <c r="AX19" i="2" s="1" a="1"/>
  <c r="AX19" i="2" s="1"/>
  <c r="C20" i="2" a="1"/>
  <c r="C20" i="2" s="1"/>
  <c r="D20" i="2" a="1"/>
  <c r="D20" i="2" s="1"/>
  <c r="E20" i="2" a="1"/>
  <c r="E20" i="2" s="1"/>
  <c r="F20" i="2" s="1" a="1"/>
  <c r="F20" i="2" s="1"/>
  <c r="G20" i="2" s="1" a="1"/>
  <c r="G20" i="2" s="1"/>
  <c r="H20" i="2" s="1" a="1"/>
  <c r="H20" i="2" s="1"/>
  <c r="I20" i="2" s="1" a="1"/>
  <c r="I20" i="2" s="1"/>
  <c r="J20" i="2" a="1"/>
  <c r="J20" i="2" s="1"/>
  <c r="K20" i="2" s="1" a="1"/>
  <c r="K20" i="2" s="1"/>
  <c r="L20" i="2" s="1" a="1"/>
  <c r="L20" i="2" s="1"/>
  <c r="M20" i="2" s="1" a="1"/>
  <c r="M20" i="2" s="1"/>
  <c r="N20" i="2" s="1" a="1"/>
  <c r="N20" i="2" s="1"/>
  <c r="O20" i="2" a="1"/>
  <c r="O20" i="2" s="1"/>
  <c r="P20" i="2" s="1" a="1"/>
  <c r="P20" i="2" s="1"/>
  <c r="Q20" i="2" s="1" a="1"/>
  <c r="Q20" i="2" s="1"/>
  <c r="R20" i="2" s="1" a="1"/>
  <c r="R20" i="2" s="1"/>
  <c r="S20" i="2" s="1" a="1"/>
  <c r="S20" i="2" s="1"/>
  <c r="T20" i="2" s="1" a="1"/>
  <c r="T20" i="2" s="1"/>
  <c r="U20" i="2" s="1" a="1"/>
  <c r="U20" i="2" s="1"/>
  <c r="V20" i="2" s="1" a="1"/>
  <c r="V20" i="2" s="1"/>
  <c r="W20" i="2" s="1" a="1"/>
  <c r="W20" i="2" s="1"/>
  <c r="X20" i="2" s="1" a="1"/>
  <c r="X20" i="2" s="1"/>
  <c r="Y20" i="2" s="1" a="1"/>
  <c r="Y20" i="2" s="1"/>
  <c r="Z20" i="2" s="1" a="1"/>
  <c r="Z20" i="2" s="1"/>
  <c r="AA20" i="2" s="1" a="1"/>
  <c r="AA20" i="2" s="1"/>
  <c r="AB20" i="2" s="1" a="1"/>
  <c r="AB20" i="2" s="1"/>
  <c r="AC20" i="2" s="1" a="1"/>
  <c r="AC20" i="2" s="1"/>
  <c r="AD20" i="2" s="1" a="1"/>
  <c r="AD20" i="2" s="1"/>
  <c r="AE20" i="2" s="1" a="1"/>
  <c r="AE20" i="2" s="1"/>
  <c r="AF20" i="2" s="1" a="1"/>
  <c r="AF20" i="2" s="1"/>
  <c r="AG20" i="2" s="1" a="1"/>
  <c r="AG20" i="2" s="1"/>
  <c r="AH20" i="2" s="1" a="1"/>
  <c r="AH20" i="2" s="1"/>
  <c r="AI20" i="2" s="1" a="1"/>
  <c r="AI20" i="2" s="1"/>
  <c r="AJ20" i="2" s="1" a="1"/>
  <c r="AJ20" i="2" s="1"/>
  <c r="AK20" i="2" s="1" a="1"/>
  <c r="AK20" i="2" s="1"/>
  <c r="AL20" i="2" s="1" a="1"/>
  <c r="AL20" i="2" s="1"/>
  <c r="AM20" i="2" s="1" a="1"/>
  <c r="AM20" i="2" s="1"/>
  <c r="AN20" i="2" s="1" a="1"/>
  <c r="AN20" i="2" s="1"/>
  <c r="AO20" i="2" s="1" a="1"/>
  <c r="AO20" i="2" s="1"/>
  <c r="AP20" i="2" s="1" a="1"/>
  <c r="AP20" i="2" s="1"/>
  <c r="AQ20" i="2" s="1" a="1"/>
  <c r="AQ20" i="2" s="1"/>
  <c r="AR20" i="2" s="1" a="1"/>
  <c r="AR20" i="2" s="1"/>
  <c r="AS20" i="2" s="1" a="1"/>
  <c r="AS20" i="2" s="1"/>
  <c r="AT20" i="2" s="1" a="1"/>
  <c r="AT20" i="2" s="1"/>
  <c r="AU20" i="2" s="1" a="1"/>
  <c r="AU20" i="2" s="1"/>
  <c r="AV20" i="2" s="1" a="1"/>
  <c r="AV20" i="2" s="1"/>
  <c r="AW20" i="2" s="1" a="1"/>
  <c r="AW20" i="2" s="1"/>
  <c r="AX20" i="2" s="1" a="1"/>
  <c r="AX20" i="2" s="1"/>
  <c r="C21" i="2" a="1"/>
  <c r="C21" i="2" s="1"/>
  <c r="D21" i="2" s="1" a="1"/>
  <c r="D21" i="2" s="1"/>
  <c r="E21" i="2" a="1"/>
  <c r="E21" i="2" s="1"/>
  <c r="F21" i="2" s="1" a="1"/>
  <c r="F21" i="2" s="1"/>
  <c r="G21" i="2" s="1" a="1"/>
  <c r="G21" i="2" s="1"/>
  <c r="H21" i="2" s="1" a="1"/>
  <c r="H21" i="2" s="1"/>
  <c r="I21" i="2" s="1" a="1"/>
  <c r="I21" i="2" s="1"/>
  <c r="J21" i="2" s="1" a="1"/>
  <c r="J21" i="2" s="1"/>
  <c r="K21" i="2" s="1" a="1"/>
  <c r="K21" i="2" s="1"/>
  <c r="L21" i="2" s="1" a="1"/>
  <c r="L21" i="2" s="1"/>
  <c r="M21" i="2" s="1" a="1"/>
  <c r="M21" i="2" s="1"/>
  <c r="N21" i="2" s="1" a="1"/>
  <c r="N21" i="2" s="1"/>
  <c r="O21" i="2" s="1" a="1"/>
  <c r="O21" i="2" s="1"/>
  <c r="P21" i="2" s="1" a="1"/>
  <c r="P21" i="2" s="1"/>
  <c r="Q21" i="2" s="1" a="1"/>
  <c r="Q21" i="2" s="1"/>
  <c r="R21" i="2" s="1" a="1"/>
  <c r="R21" i="2" s="1"/>
  <c r="S21" i="2" s="1" a="1"/>
  <c r="S21" i="2" s="1"/>
  <c r="T21" i="2" s="1" a="1"/>
  <c r="T21" i="2" s="1"/>
  <c r="U21" i="2" s="1" a="1"/>
  <c r="U21" i="2" s="1"/>
  <c r="V21" i="2" s="1" a="1"/>
  <c r="V21" i="2" s="1"/>
  <c r="W21" i="2" s="1" a="1"/>
  <c r="W21" i="2" s="1"/>
  <c r="X21" i="2" s="1" a="1"/>
  <c r="X21" i="2" s="1"/>
  <c r="Y21" i="2" s="1" a="1"/>
  <c r="Y21" i="2" s="1"/>
  <c r="Z21" i="2" s="1" a="1"/>
  <c r="Z21" i="2" s="1"/>
  <c r="AA21" i="2" s="1" a="1"/>
  <c r="AA21" i="2" s="1"/>
  <c r="AB21" i="2" s="1" a="1"/>
  <c r="AB21" i="2" s="1"/>
  <c r="AC21" i="2" s="1" a="1"/>
  <c r="AC21" i="2" s="1"/>
  <c r="AD21" i="2" s="1" a="1"/>
  <c r="AD21" i="2" s="1"/>
  <c r="AE21" i="2" s="1" a="1"/>
  <c r="AE21" i="2" s="1"/>
  <c r="AF21" i="2" s="1" a="1"/>
  <c r="AF21" i="2" s="1"/>
  <c r="AG21" i="2" s="1" a="1"/>
  <c r="AG21" i="2" s="1"/>
  <c r="AH21" i="2" s="1" a="1"/>
  <c r="AH21" i="2" s="1"/>
  <c r="AI21" i="2" s="1" a="1"/>
  <c r="AI21" i="2" s="1"/>
  <c r="AJ21" i="2" s="1" a="1"/>
  <c r="AJ21" i="2" s="1"/>
  <c r="AK21" i="2" s="1" a="1"/>
  <c r="AK21" i="2" s="1"/>
  <c r="AL21" i="2" s="1" a="1"/>
  <c r="AL21" i="2" s="1"/>
  <c r="AM21" i="2" s="1" a="1"/>
  <c r="AM21" i="2" s="1"/>
  <c r="AN21" i="2" s="1" a="1"/>
  <c r="AN21" i="2" s="1"/>
  <c r="AO21" i="2" s="1" a="1"/>
  <c r="AO21" i="2" s="1"/>
  <c r="AP21" i="2" s="1" a="1"/>
  <c r="AP21" i="2" s="1"/>
  <c r="AQ21" i="2" s="1" a="1"/>
  <c r="AQ21" i="2" s="1"/>
  <c r="AR21" i="2" s="1" a="1"/>
  <c r="AR21" i="2" s="1"/>
  <c r="AS21" i="2" s="1" a="1"/>
  <c r="AS21" i="2" s="1"/>
  <c r="AT21" i="2" s="1" a="1"/>
  <c r="AT21" i="2" s="1"/>
  <c r="AU21" i="2" s="1" a="1"/>
  <c r="AU21" i="2" s="1"/>
  <c r="AV21" i="2" s="1" a="1"/>
  <c r="AV21" i="2" s="1"/>
  <c r="AW21" i="2" s="1" a="1"/>
  <c r="AW21" i="2" s="1"/>
  <c r="AX21" i="2" s="1" a="1"/>
  <c r="AX21" i="2" s="1"/>
  <c r="C22" i="2" a="1"/>
  <c r="C22" i="2" s="1"/>
  <c r="D22" i="2" s="1" a="1"/>
  <c r="D22" i="2" s="1"/>
  <c r="E22" i="2" a="1"/>
  <c r="E22" i="2" s="1"/>
  <c r="F22" i="2" s="1" a="1"/>
  <c r="F22" i="2" s="1"/>
  <c r="G22" i="2" s="1" a="1"/>
  <c r="G22" i="2" s="1"/>
  <c r="H22" i="2" s="1" a="1"/>
  <c r="H22" i="2" s="1"/>
  <c r="I22" i="2" s="1" a="1"/>
  <c r="I22" i="2" s="1"/>
  <c r="J22" i="2" s="1" a="1"/>
  <c r="J22" i="2" s="1"/>
  <c r="K22" i="2" s="1" a="1"/>
  <c r="K22" i="2" s="1"/>
  <c r="L22" i="2" s="1" a="1"/>
  <c r="L22" i="2" s="1"/>
  <c r="M22" i="2" s="1" a="1"/>
  <c r="M22" i="2" s="1"/>
  <c r="N22" i="2" s="1" a="1"/>
  <c r="N22" i="2" s="1"/>
  <c r="O22" i="2" s="1" a="1"/>
  <c r="O22" i="2" s="1"/>
  <c r="P22" i="2" s="1" a="1"/>
  <c r="P22" i="2" s="1"/>
  <c r="Q22" i="2" s="1" a="1"/>
  <c r="Q22" i="2" s="1"/>
  <c r="R22" i="2" s="1" a="1"/>
  <c r="R22" i="2" s="1"/>
  <c r="S22" i="2" s="1" a="1"/>
  <c r="S22" i="2" s="1"/>
  <c r="T22" i="2" s="1" a="1"/>
  <c r="T22" i="2" s="1"/>
  <c r="U22" i="2" s="1" a="1"/>
  <c r="U22" i="2" s="1"/>
  <c r="V22" i="2" s="1" a="1"/>
  <c r="V22" i="2" s="1"/>
  <c r="W22" i="2" s="1" a="1"/>
  <c r="W22" i="2" s="1"/>
  <c r="X22" i="2" s="1" a="1"/>
  <c r="X22" i="2" s="1"/>
  <c r="Y22" i="2" s="1" a="1"/>
  <c r="Y22" i="2" s="1"/>
  <c r="Z22" i="2" s="1" a="1"/>
  <c r="Z22" i="2" s="1"/>
  <c r="AA22" i="2" s="1" a="1"/>
  <c r="AA22" i="2" s="1"/>
  <c r="AB22" i="2" s="1" a="1"/>
  <c r="AB22" i="2" s="1"/>
  <c r="AC22" i="2" s="1" a="1"/>
  <c r="AC22" i="2" s="1"/>
  <c r="AD22" i="2" s="1" a="1"/>
  <c r="AD22" i="2" s="1"/>
  <c r="AE22" i="2" s="1" a="1"/>
  <c r="AE22" i="2" s="1"/>
  <c r="AF22" i="2" s="1" a="1"/>
  <c r="AF22" i="2" s="1"/>
  <c r="AG22" i="2" s="1" a="1"/>
  <c r="AG22" i="2" s="1"/>
  <c r="AH22" i="2" s="1" a="1"/>
  <c r="AH22" i="2" s="1"/>
  <c r="AI22" i="2" s="1" a="1"/>
  <c r="AI22" i="2" s="1"/>
  <c r="AJ22" i="2" s="1" a="1"/>
  <c r="AJ22" i="2" s="1"/>
  <c r="AK22" i="2" s="1" a="1"/>
  <c r="AK22" i="2" s="1"/>
  <c r="AL22" i="2" s="1" a="1"/>
  <c r="AL22" i="2" s="1"/>
  <c r="AM22" i="2" s="1" a="1"/>
  <c r="AM22" i="2" s="1"/>
  <c r="AN22" i="2" s="1" a="1"/>
  <c r="AN22" i="2" s="1"/>
  <c r="AO22" i="2" s="1" a="1"/>
  <c r="AO22" i="2" s="1"/>
  <c r="AP22" i="2" s="1" a="1"/>
  <c r="AP22" i="2" s="1"/>
  <c r="AQ22" i="2" s="1" a="1"/>
  <c r="AQ22" i="2" s="1"/>
  <c r="AR22" i="2" s="1" a="1"/>
  <c r="AR22" i="2" s="1"/>
  <c r="AS22" i="2" s="1" a="1"/>
  <c r="AS22" i="2" s="1"/>
  <c r="AT22" i="2" s="1" a="1"/>
  <c r="AT22" i="2" s="1"/>
  <c r="AU22" i="2" s="1" a="1"/>
  <c r="AU22" i="2" s="1"/>
  <c r="AV22" i="2" s="1" a="1"/>
  <c r="AV22" i="2" s="1"/>
  <c r="AW22" i="2" s="1" a="1"/>
  <c r="AW22" i="2" s="1"/>
  <c r="AX22" i="2" s="1" a="1"/>
  <c r="AX2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" i="2" a="1"/>
  <c r="B2" i="2" s="1"/>
  <c r="B1" i="2" a="1"/>
  <c r="B1" i="2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2" i="1"/>
  <c r="E2" i="1" a="1"/>
  <c r="E2" i="1" s="1"/>
  <c r="E1" i="1" a="1"/>
  <c r="E1" i="1" s="1"/>
  <c r="A64" i="1" l="1"/>
  <c r="D2" i="1" a="1"/>
  <c r="D2" i="1" s="1"/>
  <c r="B2" i="1" a="1"/>
  <c r="B2" i="1" l="1"/>
  <c r="A1" i="2" l="1" a="1"/>
  <c r="A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<sst xmlns="http://schemas.openxmlformats.org/spreadsheetml/2006/main" count="4" uniqueCount="4">
  <si>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Prod Line</t>
  </si>
  <si>
    <t>SEW/ASSY</t>
  </si>
  <si>
    <t>Project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</si>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</sst>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ll\Long-term%20planning\FY26%20CW06%20LTP.xlsm" TargetMode="External"/><Relationship Id="rId1" Type="http://schemas.openxmlformats.org/officeDocument/2006/relationships/externalLinkPath" Target="/All/Long-term%20planning/FY26%20CW06%20LTP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Logistics\4_BSA\9_Scripts_Reports\Daily_Production_IT\ref.csv" TargetMode="External"/><Relationship Id="rId1" Type="http://schemas.openxmlformats.org/officeDocument/2006/relationships/externalLinkPath" Target="ref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NG"/>
      <sheetName val="HRS&amp;HC per week"/>
      <sheetName val="HRS per month"/>
      <sheetName val="% per platform"/>
      <sheetName val="Demands"/>
      <sheetName val="Charts new"/>
      <sheetName val="STDlearning curve new hired ope"/>
      <sheetName val="SDTLearning curve exper ope"/>
      <sheetName val="VOLUME PPL26 Details final"/>
      <sheetName val="small parts"/>
      <sheetName val="LOZ Strat"/>
    </sheetNames>
    <sheetDataSet>
      <sheetData sheetId="0">
        <row r="1">
          <cell r="A1"/>
          <cell r="D1" t="str">
            <v>Week</v>
          </cell>
          <cell r="Z1">
            <v>4</v>
          </cell>
          <cell r="AA1">
            <v>5</v>
          </cell>
          <cell r="AB1">
            <v>6</v>
          </cell>
          <cell r="AC1">
            <v>7</v>
          </cell>
          <cell r="AD1">
            <v>8</v>
          </cell>
          <cell r="AE1">
            <v>9</v>
          </cell>
          <cell r="AF1">
            <v>10</v>
          </cell>
          <cell r="AG1">
            <v>11</v>
          </cell>
          <cell r="AH1">
            <v>12</v>
          </cell>
          <cell r="AI1">
            <v>13</v>
          </cell>
          <cell r="AJ1">
            <v>14</v>
          </cell>
          <cell r="AK1">
            <v>15</v>
          </cell>
          <cell r="AL1">
            <v>16</v>
          </cell>
          <cell r="AM1">
            <v>17</v>
          </cell>
          <cell r="AN1">
            <v>18</v>
          </cell>
          <cell r="AO1">
            <v>19</v>
          </cell>
          <cell r="AP1">
            <v>20</v>
          </cell>
          <cell r="AQ1">
            <v>21</v>
          </cell>
          <cell r="AR1">
            <v>22</v>
          </cell>
          <cell r="AS1">
            <v>23</v>
          </cell>
          <cell r="AT1">
            <v>24</v>
          </cell>
          <cell r="AU1">
            <v>25</v>
          </cell>
          <cell r="AV1">
            <v>26</v>
          </cell>
          <cell r="AW1">
            <v>27</v>
          </cell>
          <cell r="AX1">
            <v>28</v>
          </cell>
          <cell r="AY1">
            <v>29</v>
          </cell>
          <cell r="AZ1">
            <v>30</v>
          </cell>
          <cell r="BA1">
            <v>31</v>
          </cell>
          <cell r="BB1">
            <v>32</v>
          </cell>
          <cell r="BC1">
            <v>33</v>
          </cell>
          <cell r="BD1">
            <v>34</v>
          </cell>
          <cell r="BE1">
            <v>35</v>
          </cell>
          <cell r="BF1">
            <v>36</v>
          </cell>
          <cell r="BG1">
            <v>37</v>
          </cell>
          <cell r="BH1">
            <v>38</v>
          </cell>
          <cell r="BI1">
            <v>39</v>
          </cell>
          <cell r="BJ1">
            <v>40</v>
          </cell>
          <cell r="BK1">
            <v>41</v>
          </cell>
          <cell r="BL1">
            <v>42</v>
          </cell>
          <cell r="BM1">
            <v>43</v>
          </cell>
          <cell r="BN1">
            <v>44</v>
          </cell>
          <cell r="BO1">
            <v>44</v>
          </cell>
          <cell r="BP1">
            <v>45</v>
          </cell>
          <cell r="BQ1">
            <v>45</v>
          </cell>
          <cell r="BR1">
            <v>46</v>
          </cell>
          <cell r="BS1">
            <v>46</v>
          </cell>
          <cell r="BT1">
            <v>47</v>
          </cell>
          <cell r="BU1">
            <v>47</v>
          </cell>
          <cell r="BV1">
            <v>48</v>
          </cell>
        </row>
        <row r="2">
          <cell r="A2"/>
          <cell r="D2" t="str">
            <v>TRIM HC W/O LTM</v>
          </cell>
          <cell r="Z2">
            <v>319</v>
          </cell>
          <cell r="AA2">
            <v>331</v>
          </cell>
          <cell r="AB2">
            <v>335</v>
          </cell>
          <cell r="AC2">
            <v>359</v>
          </cell>
          <cell r="AD2">
            <v>354</v>
          </cell>
          <cell r="AE2">
            <v>358</v>
          </cell>
          <cell r="AF2">
            <v>358</v>
          </cell>
          <cell r="AG2">
            <v>356</v>
          </cell>
          <cell r="AH2">
            <v>368</v>
          </cell>
          <cell r="AI2">
            <v>369</v>
          </cell>
          <cell r="AJ2">
            <v>375</v>
          </cell>
          <cell r="AK2">
            <v>375</v>
          </cell>
          <cell r="AL2">
            <v>375</v>
          </cell>
          <cell r="AM2">
            <v>367</v>
          </cell>
          <cell r="AN2">
            <v>369</v>
          </cell>
          <cell r="AO2">
            <v>367</v>
          </cell>
          <cell r="AP2">
            <v>369</v>
          </cell>
          <cell r="AQ2">
            <v>367</v>
          </cell>
          <cell r="AR2">
            <v>368</v>
          </cell>
          <cell r="AS2">
            <v>368</v>
          </cell>
          <cell r="AT2">
            <v>370</v>
          </cell>
          <cell r="AU2">
            <v>372</v>
          </cell>
          <cell r="AV2">
            <v>373</v>
          </cell>
          <cell r="AW2">
            <v>373</v>
          </cell>
          <cell r="AX2">
            <v>332</v>
          </cell>
          <cell r="AY2">
            <v>333</v>
          </cell>
          <cell r="AZ2">
            <v>336</v>
          </cell>
          <cell r="BA2">
            <v>336</v>
          </cell>
          <cell r="BB2">
            <v>343</v>
          </cell>
          <cell r="BC2">
            <v>345</v>
          </cell>
          <cell r="BD2">
            <v>346</v>
          </cell>
          <cell r="BE2">
            <v>344</v>
          </cell>
          <cell r="BF2">
            <v>344</v>
          </cell>
          <cell r="BG2">
            <v>343</v>
          </cell>
          <cell r="BH2">
            <v>344</v>
          </cell>
          <cell r="BI2">
            <v>341</v>
          </cell>
          <cell r="BJ2">
            <v>342</v>
          </cell>
          <cell r="BK2">
            <v>131</v>
          </cell>
          <cell r="BL2">
            <v>131</v>
          </cell>
          <cell r="BM2">
            <v>131</v>
          </cell>
          <cell r="BN2">
            <v>131</v>
          </cell>
          <cell r="BO2">
            <v>131</v>
          </cell>
          <cell r="BP2">
            <v>131</v>
          </cell>
          <cell r="BQ2">
            <v>131</v>
          </cell>
          <cell r="BR2">
            <v>131</v>
          </cell>
          <cell r="BS2">
            <v>131</v>
          </cell>
          <cell r="BT2">
            <v>131</v>
          </cell>
          <cell r="BU2">
            <v>131</v>
          </cell>
          <cell r="BV2">
            <v>131</v>
          </cell>
        </row>
        <row r="3">
          <cell r="A3"/>
          <cell r="D3" t="str">
            <v>TRIM CUT&amp;SUB</v>
          </cell>
          <cell r="Z3">
            <v>16</v>
          </cell>
          <cell r="AA3">
            <v>16</v>
          </cell>
          <cell r="AB3">
            <v>16</v>
          </cell>
          <cell r="AC3">
            <v>16</v>
          </cell>
          <cell r="AD3">
            <v>16</v>
          </cell>
          <cell r="AE3">
            <v>16</v>
          </cell>
          <cell r="AF3">
            <v>16</v>
          </cell>
          <cell r="AG3">
            <v>16</v>
          </cell>
          <cell r="AH3">
            <v>16</v>
          </cell>
          <cell r="AI3">
            <v>16</v>
          </cell>
          <cell r="AJ3">
            <v>16</v>
          </cell>
          <cell r="AK3">
            <v>16</v>
          </cell>
          <cell r="AL3">
            <v>16</v>
          </cell>
          <cell r="AM3">
            <v>16</v>
          </cell>
          <cell r="AN3">
            <v>16</v>
          </cell>
          <cell r="AO3">
            <v>16</v>
          </cell>
          <cell r="AP3">
            <v>16</v>
          </cell>
          <cell r="AQ3">
            <v>16</v>
          </cell>
          <cell r="AR3">
            <v>16</v>
          </cell>
          <cell r="AS3">
            <v>16</v>
          </cell>
          <cell r="AT3">
            <v>16</v>
          </cell>
          <cell r="AU3">
            <v>16</v>
          </cell>
          <cell r="AV3">
            <v>16</v>
          </cell>
          <cell r="AW3">
            <v>16</v>
          </cell>
          <cell r="AX3">
            <v>16</v>
          </cell>
          <cell r="AY3">
            <v>16</v>
          </cell>
          <cell r="AZ3">
            <v>16</v>
          </cell>
          <cell r="BA3">
            <v>16</v>
          </cell>
          <cell r="BB3">
            <v>16</v>
          </cell>
          <cell r="BC3">
            <v>16</v>
          </cell>
          <cell r="BD3">
            <v>16</v>
          </cell>
          <cell r="BE3">
            <v>16</v>
          </cell>
          <cell r="BF3">
            <v>16</v>
          </cell>
          <cell r="BG3">
            <v>16</v>
          </cell>
          <cell r="BH3">
            <v>16</v>
          </cell>
          <cell r="BI3">
            <v>16</v>
          </cell>
          <cell r="BJ3">
            <v>16</v>
          </cell>
          <cell r="BK3">
            <v>26</v>
          </cell>
          <cell r="BL3">
            <v>26</v>
          </cell>
          <cell r="BM3">
            <v>26</v>
          </cell>
          <cell r="BN3">
            <v>26</v>
          </cell>
          <cell r="BO3">
            <v>26</v>
          </cell>
          <cell r="BP3">
            <v>26</v>
          </cell>
          <cell r="BQ3">
            <v>26</v>
          </cell>
          <cell r="BR3">
            <v>26</v>
          </cell>
          <cell r="BS3">
            <v>26</v>
          </cell>
          <cell r="BT3">
            <v>26</v>
          </cell>
          <cell r="BU3">
            <v>26</v>
          </cell>
          <cell r="BV3">
            <v>26</v>
          </cell>
        </row>
        <row r="4">
          <cell r="A4"/>
          <cell r="D4" t="str">
            <v>TRIM ELI</v>
          </cell>
          <cell r="Z4">
            <v>33</v>
          </cell>
          <cell r="AA4">
            <v>33</v>
          </cell>
          <cell r="AB4">
            <v>33</v>
          </cell>
          <cell r="AC4">
            <v>33</v>
          </cell>
          <cell r="AD4">
            <v>33</v>
          </cell>
          <cell r="AE4">
            <v>33</v>
          </cell>
          <cell r="AF4">
            <v>33</v>
          </cell>
          <cell r="AG4">
            <v>33</v>
          </cell>
          <cell r="AH4">
            <v>33</v>
          </cell>
          <cell r="AI4">
            <v>33</v>
          </cell>
          <cell r="AJ4">
            <v>33</v>
          </cell>
          <cell r="AK4">
            <v>33</v>
          </cell>
          <cell r="AL4">
            <v>33</v>
          </cell>
          <cell r="AM4">
            <v>33</v>
          </cell>
          <cell r="AN4">
            <v>33</v>
          </cell>
          <cell r="AO4">
            <v>33</v>
          </cell>
          <cell r="AP4">
            <v>33</v>
          </cell>
          <cell r="AQ4">
            <v>33</v>
          </cell>
          <cell r="AR4">
            <v>33</v>
          </cell>
          <cell r="AS4">
            <v>33</v>
          </cell>
          <cell r="AT4">
            <v>33</v>
          </cell>
          <cell r="AU4">
            <v>33</v>
          </cell>
          <cell r="AV4">
            <v>33</v>
          </cell>
          <cell r="AW4">
            <v>33</v>
          </cell>
          <cell r="AX4">
            <v>33</v>
          </cell>
          <cell r="AY4">
            <v>33</v>
          </cell>
          <cell r="AZ4">
            <v>33</v>
          </cell>
          <cell r="BA4">
            <v>33</v>
          </cell>
          <cell r="BB4">
            <v>33</v>
          </cell>
          <cell r="BC4">
            <v>33</v>
          </cell>
          <cell r="BD4">
            <v>33</v>
          </cell>
          <cell r="BE4">
            <v>33</v>
          </cell>
          <cell r="BF4">
            <v>33</v>
          </cell>
          <cell r="BG4">
            <v>33</v>
          </cell>
          <cell r="BH4">
            <v>33</v>
          </cell>
          <cell r="BI4">
            <v>33</v>
          </cell>
          <cell r="BJ4">
            <v>33</v>
          </cell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</row>
        <row r="5">
          <cell r="A5"/>
          <cell r="D5" t="str">
            <v>Total TRIM DIR W/O ABS</v>
          </cell>
          <cell r="Z5">
            <v>368</v>
          </cell>
          <cell r="AA5">
            <v>380</v>
          </cell>
          <cell r="AB5">
            <v>384</v>
          </cell>
          <cell r="AC5">
            <v>408</v>
          </cell>
          <cell r="AD5">
            <v>403</v>
          </cell>
          <cell r="AE5">
            <v>407</v>
          </cell>
          <cell r="AF5">
            <v>407</v>
          </cell>
          <cell r="AG5">
            <v>405</v>
          </cell>
          <cell r="AH5">
            <v>417</v>
          </cell>
          <cell r="AI5">
            <v>418</v>
          </cell>
          <cell r="AJ5">
            <v>424</v>
          </cell>
          <cell r="AK5">
            <v>424</v>
          </cell>
          <cell r="AL5">
            <v>424</v>
          </cell>
          <cell r="AM5">
            <v>416</v>
          </cell>
          <cell r="AN5">
            <v>418</v>
          </cell>
          <cell r="AO5">
            <v>416</v>
          </cell>
          <cell r="AP5">
            <v>418</v>
          </cell>
          <cell r="AQ5">
            <v>416</v>
          </cell>
          <cell r="AR5">
            <v>417</v>
          </cell>
          <cell r="AS5">
            <v>417</v>
          </cell>
          <cell r="AT5">
            <v>419</v>
          </cell>
          <cell r="AU5">
            <v>421</v>
          </cell>
          <cell r="AV5">
            <v>422</v>
          </cell>
          <cell r="AW5">
            <v>422</v>
          </cell>
          <cell r="AX5">
            <v>381</v>
          </cell>
          <cell r="AY5">
            <v>382</v>
          </cell>
          <cell r="AZ5">
            <v>385</v>
          </cell>
          <cell r="BA5">
            <v>385</v>
          </cell>
          <cell r="BB5">
            <v>392</v>
          </cell>
          <cell r="BC5">
            <v>394</v>
          </cell>
          <cell r="BD5">
            <v>395</v>
          </cell>
          <cell r="BE5">
            <v>393</v>
          </cell>
          <cell r="BF5">
            <v>393</v>
          </cell>
          <cell r="BG5">
            <v>392</v>
          </cell>
          <cell r="BH5">
            <v>393</v>
          </cell>
          <cell r="BI5">
            <v>390</v>
          </cell>
          <cell r="BJ5">
            <v>391</v>
          </cell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</row>
        <row r="6">
          <cell r="A6" t="str">
            <v>STOCK TAKE</v>
          </cell>
          <cell r="D6" t="str">
            <v>TRIM ABS %</v>
          </cell>
          <cell r="Z6">
            <v>0.06</v>
          </cell>
          <cell r="AA6">
            <v>0.06</v>
          </cell>
          <cell r="AB6">
            <v>0.06</v>
          </cell>
          <cell r="AC6">
            <v>0.06</v>
          </cell>
          <cell r="AD6">
            <v>0.06</v>
          </cell>
          <cell r="AE6">
            <v>0.06</v>
          </cell>
          <cell r="AF6">
            <v>0.06</v>
          </cell>
          <cell r="AG6">
            <v>0.06</v>
          </cell>
          <cell r="AH6">
            <v>0.06</v>
          </cell>
          <cell r="AI6">
            <v>0.06</v>
          </cell>
          <cell r="AJ6">
            <v>0.06</v>
          </cell>
          <cell r="AK6">
            <v>0.06</v>
          </cell>
          <cell r="AL6">
            <v>0.06</v>
          </cell>
          <cell r="AM6">
            <v>0.06</v>
          </cell>
          <cell r="AN6">
            <v>0.06</v>
          </cell>
          <cell r="AO6">
            <v>0.06</v>
          </cell>
          <cell r="AP6">
            <v>0.06</v>
          </cell>
          <cell r="AQ6">
            <v>0.06</v>
          </cell>
          <cell r="AR6">
            <v>0.06</v>
          </cell>
          <cell r="AS6">
            <v>0.06</v>
          </cell>
          <cell r="AT6">
            <v>0.06</v>
          </cell>
          <cell r="AU6">
            <v>0.06</v>
          </cell>
          <cell r="AV6">
            <v>0.06</v>
          </cell>
          <cell r="AW6">
            <v>0.06</v>
          </cell>
          <cell r="AX6">
            <v>0.06</v>
          </cell>
          <cell r="AY6">
            <v>0.06</v>
          </cell>
          <cell r="AZ6">
            <v>0.06</v>
          </cell>
          <cell r="BA6">
            <v>0.06</v>
          </cell>
          <cell r="BB6">
            <v>0.06</v>
          </cell>
          <cell r="BC6">
            <v>0.06</v>
          </cell>
          <cell r="BD6">
            <v>0.06</v>
          </cell>
          <cell r="BE6">
            <v>0.06</v>
          </cell>
          <cell r="BF6">
            <v>0.06</v>
          </cell>
          <cell r="BG6">
            <v>0.06</v>
          </cell>
          <cell r="BH6">
            <v>0.06</v>
          </cell>
          <cell r="BI6">
            <v>0.06</v>
          </cell>
          <cell r="BJ6">
            <v>0.06</v>
          </cell>
          <cell r="BK6">
            <v>53.09</v>
          </cell>
          <cell r="BL6">
            <v>53.09</v>
          </cell>
          <cell r="BM6">
            <v>53.09</v>
          </cell>
          <cell r="BN6">
            <v>54.09</v>
          </cell>
          <cell r="BO6">
            <v>55.09</v>
          </cell>
          <cell r="BP6">
            <v>56.09</v>
          </cell>
          <cell r="BQ6">
            <v>57.09</v>
          </cell>
          <cell r="BR6">
            <v>58.09</v>
          </cell>
          <cell r="BS6">
            <v>59.09</v>
          </cell>
          <cell r="BT6">
            <v>60.09</v>
          </cell>
          <cell r="BU6">
            <v>61.09</v>
          </cell>
          <cell r="BV6">
            <v>62.09</v>
          </cell>
        </row>
        <row r="7">
          <cell r="A7"/>
          <cell r="D7" t="str">
            <v>Total TRIM DIR WITH ABS</v>
          </cell>
          <cell r="Z7">
            <v>390.08</v>
          </cell>
          <cell r="AA7">
            <v>402.8</v>
          </cell>
          <cell r="AB7">
            <v>407.04</v>
          </cell>
          <cell r="AC7">
            <v>432.48</v>
          </cell>
          <cell r="AD7">
            <v>427.18</v>
          </cell>
          <cell r="AE7">
            <v>431.42</v>
          </cell>
          <cell r="AF7">
            <v>431.42</v>
          </cell>
          <cell r="AG7">
            <v>429.3</v>
          </cell>
          <cell r="AH7">
            <v>442.02</v>
          </cell>
          <cell r="AI7">
            <v>443.08</v>
          </cell>
          <cell r="AJ7">
            <v>449.44</v>
          </cell>
          <cell r="AK7">
            <v>449.44</v>
          </cell>
          <cell r="AL7">
            <v>449.44</v>
          </cell>
          <cell r="AM7">
            <v>440.96</v>
          </cell>
          <cell r="AN7">
            <v>443.08</v>
          </cell>
          <cell r="AO7">
            <v>440.96</v>
          </cell>
          <cell r="AP7">
            <v>443.08</v>
          </cell>
          <cell r="AQ7">
            <v>440.96</v>
          </cell>
          <cell r="AR7">
            <v>442.02</v>
          </cell>
          <cell r="AS7">
            <v>442.02</v>
          </cell>
          <cell r="AT7">
            <v>444.14</v>
          </cell>
          <cell r="AU7">
            <v>446.26</v>
          </cell>
          <cell r="AV7">
            <v>447.32</v>
          </cell>
          <cell r="AW7">
            <v>447.32</v>
          </cell>
          <cell r="AX7">
            <v>403.86</v>
          </cell>
          <cell r="AY7">
            <v>404.92</v>
          </cell>
          <cell r="AZ7">
            <v>408.1</v>
          </cell>
          <cell r="BA7">
            <v>408.1</v>
          </cell>
          <cell r="BB7">
            <v>415.52</v>
          </cell>
          <cell r="BC7">
            <v>417.64</v>
          </cell>
          <cell r="BD7">
            <v>418.7</v>
          </cell>
          <cell r="BE7">
            <v>416.58</v>
          </cell>
          <cell r="BF7">
            <v>416.58</v>
          </cell>
          <cell r="BG7">
            <v>415.52</v>
          </cell>
          <cell r="BH7">
            <v>416.58</v>
          </cell>
          <cell r="BI7">
            <v>413.4</v>
          </cell>
          <cell r="BJ7">
            <v>414.46</v>
          </cell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</row>
        <row r="8">
          <cell r="A8" t="str">
            <v>VACATION</v>
          </cell>
          <cell r="D8" t="str">
            <v>TRIM Available HC FORMULA TO CORRECT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  <cell r="BK8">
            <v>-5469.4500000000007</v>
          </cell>
          <cell r="BL8">
            <v>-5469.4500000000007</v>
          </cell>
          <cell r="BM8">
            <v>-5469.4500000000007</v>
          </cell>
          <cell r="BN8">
            <v>-5574.4500000000007</v>
          </cell>
          <cell r="BO8">
            <v>-5679.4500000000007</v>
          </cell>
          <cell r="BP8">
            <v>-5784.4500000000007</v>
          </cell>
          <cell r="BQ8">
            <v>-5889.4500000000007</v>
          </cell>
          <cell r="BR8">
            <v>-5994.4500000000007</v>
          </cell>
          <cell r="BS8">
            <v>-6099.4500000000007</v>
          </cell>
          <cell r="BT8">
            <v>-6204.4500000000007</v>
          </cell>
          <cell r="BU8">
            <v>-6309.4500000000007</v>
          </cell>
          <cell r="BV8">
            <v>-6414.4500000000007</v>
          </cell>
        </row>
        <row r="9">
          <cell r="A9"/>
          <cell r="D9" t="str">
            <v>TRIM DIFF</v>
          </cell>
          <cell r="Z9">
            <v>-390.08</v>
          </cell>
          <cell r="AA9">
            <v>-402.8</v>
          </cell>
          <cell r="AB9">
            <v>-407.04</v>
          </cell>
          <cell r="AC9">
            <v>-432.48</v>
          </cell>
          <cell r="AD9">
            <v>-427.18</v>
          </cell>
          <cell r="AE9">
            <v>-431.42</v>
          </cell>
          <cell r="AF9">
            <v>-431.42</v>
          </cell>
          <cell r="AG9">
            <v>-429.3</v>
          </cell>
          <cell r="AH9">
            <v>-442.02</v>
          </cell>
          <cell r="AI9">
            <v>-443.08</v>
          </cell>
          <cell r="AJ9">
            <v>-449.44</v>
          </cell>
          <cell r="AK9">
            <v>-449.44</v>
          </cell>
          <cell r="AL9">
            <v>-449.44</v>
          </cell>
          <cell r="AM9">
            <v>-440.96</v>
          </cell>
          <cell r="AN9">
            <v>-443.08</v>
          </cell>
          <cell r="AO9">
            <v>-440.96</v>
          </cell>
          <cell r="AP9">
            <v>-443.08</v>
          </cell>
          <cell r="AQ9">
            <v>-440.96</v>
          </cell>
          <cell r="AR9">
            <v>-442.02</v>
          </cell>
          <cell r="AS9">
            <v>-442.02</v>
          </cell>
          <cell r="AT9">
            <v>-444.14</v>
          </cell>
          <cell r="AU9">
            <v>-446.26</v>
          </cell>
          <cell r="AV9">
            <v>-447.32</v>
          </cell>
          <cell r="AW9">
            <v>-447.32</v>
          </cell>
          <cell r="AX9">
            <v>-403.86</v>
          </cell>
          <cell r="AY9">
            <v>-404.92</v>
          </cell>
          <cell r="AZ9">
            <v>-408.1</v>
          </cell>
          <cell r="BA9">
            <v>-408.1</v>
          </cell>
          <cell r="BB9">
            <v>-415.52</v>
          </cell>
          <cell r="BC9">
            <v>-417.64</v>
          </cell>
          <cell r="BD9">
            <v>-418.7</v>
          </cell>
          <cell r="BE9">
            <v>-416.58</v>
          </cell>
          <cell r="BF9">
            <v>-416.58</v>
          </cell>
          <cell r="BG9">
            <v>-415.52</v>
          </cell>
          <cell r="BH9">
            <v>-416.58</v>
          </cell>
          <cell r="BI9">
            <v>-413.4</v>
          </cell>
          <cell r="BJ9">
            <v>-414.46</v>
          </cell>
          <cell r="BK9">
            <v>313</v>
          </cell>
          <cell r="BL9">
            <v>304</v>
          </cell>
          <cell r="BM9">
            <v>306</v>
          </cell>
          <cell r="BN9">
            <v>309</v>
          </cell>
          <cell r="BO9">
            <v>294</v>
          </cell>
          <cell r="BP9">
            <v>296</v>
          </cell>
          <cell r="BQ9">
            <v>286</v>
          </cell>
          <cell r="BR9">
            <v>288</v>
          </cell>
          <cell r="BS9">
            <v>274</v>
          </cell>
          <cell r="BT9">
            <v>255</v>
          </cell>
          <cell r="BU9">
            <v>253</v>
          </cell>
          <cell r="BV9">
            <v>253</v>
          </cell>
        </row>
        <row r="10">
          <cell r="A10"/>
          <cell r="D10" t="str">
            <v>BR223</v>
          </cell>
          <cell r="Z10">
            <v>11</v>
          </cell>
          <cell r="AA10">
            <v>9</v>
          </cell>
          <cell r="AB10">
            <v>9</v>
          </cell>
          <cell r="AC10">
            <v>8</v>
          </cell>
          <cell r="AD10">
            <v>9</v>
          </cell>
          <cell r="AE10">
            <v>14</v>
          </cell>
          <cell r="AF10">
            <v>15</v>
          </cell>
          <cell r="AG10">
            <v>15</v>
          </cell>
          <cell r="AH10">
            <v>15</v>
          </cell>
          <cell r="AI10">
            <v>15</v>
          </cell>
          <cell r="AJ10">
            <v>16</v>
          </cell>
          <cell r="AK10">
            <v>16</v>
          </cell>
          <cell r="AL10">
            <v>17</v>
          </cell>
          <cell r="AM10">
            <v>17</v>
          </cell>
          <cell r="AN10">
            <v>17</v>
          </cell>
          <cell r="AO10">
            <v>17</v>
          </cell>
          <cell r="AP10">
            <v>17</v>
          </cell>
          <cell r="AQ10">
            <v>17</v>
          </cell>
          <cell r="AR10">
            <v>17</v>
          </cell>
          <cell r="AS10">
            <v>17</v>
          </cell>
          <cell r="AT10">
            <v>17</v>
          </cell>
          <cell r="AU10">
            <v>17</v>
          </cell>
          <cell r="AV10">
            <v>17</v>
          </cell>
          <cell r="AW10">
            <v>17</v>
          </cell>
          <cell r="AX10">
            <v>17</v>
          </cell>
          <cell r="AY10">
            <v>17</v>
          </cell>
          <cell r="AZ10">
            <v>17</v>
          </cell>
          <cell r="BA10">
            <v>16</v>
          </cell>
          <cell r="BB10">
            <v>16</v>
          </cell>
          <cell r="BC10">
            <v>15</v>
          </cell>
          <cell r="BD10">
            <v>16</v>
          </cell>
          <cell r="BE10">
            <v>15</v>
          </cell>
          <cell r="BF10">
            <v>16</v>
          </cell>
          <cell r="BG10">
            <v>15</v>
          </cell>
          <cell r="BH10">
            <v>16</v>
          </cell>
          <cell r="BI10">
            <v>15</v>
          </cell>
          <cell r="BJ10">
            <v>16</v>
          </cell>
          <cell r="BK10">
            <v>15</v>
          </cell>
          <cell r="BL10">
            <v>17</v>
          </cell>
          <cell r="BM10">
            <v>15</v>
          </cell>
          <cell r="BN10">
            <v>17</v>
          </cell>
          <cell r="BO10">
            <v>15</v>
          </cell>
          <cell r="BP10">
            <v>17</v>
          </cell>
          <cell r="BQ10">
            <v>15</v>
          </cell>
          <cell r="BR10">
            <v>17</v>
          </cell>
          <cell r="BS10">
            <v>15</v>
          </cell>
          <cell r="BT10">
            <v>17</v>
          </cell>
          <cell r="BU10">
            <v>15</v>
          </cell>
          <cell r="BV10">
            <v>17</v>
          </cell>
        </row>
        <row r="11">
          <cell r="A11"/>
          <cell r="D11" t="str">
            <v>Fiat</v>
          </cell>
          <cell r="Z11">
            <v>19</v>
          </cell>
          <cell r="AA11">
            <v>19</v>
          </cell>
          <cell r="AB11">
            <v>19</v>
          </cell>
          <cell r="AC11">
            <v>22</v>
          </cell>
          <cell r="AD11">
            <v>22</v>
          </cell>
          <cell r="AE11">
            <v>22</v>
          </cell>
          <cell r="AF11">
            <v>21</v>
          </cell>
          <cell r="AG11">
            <v>21</v>
          </cell>
          <cell r="AH11">
            <v>21</v>
          </cell>
          <cell r="AI11">
            <v>21</v>
          </cell>
          <cell r="AJ11">
            <v>21</v>
          </cell>
          <cell r="AK11">
            <v>19</v>
          </cell>
          <cell r="AL11">
            <v>19</v>
          </cell>
          <cell r="AM11">
            <v>19</v>
          </cell>
          <cell r="AN11">
            <v>19</v>
          </cell>
          <cell r="AO11">
            <v>18</v>
          </cell>
          <cell r="AP11">
            <v>18</v>
          </cell>
          <cell r="AQ11">
            <v>18</v>
          </cell>
          <cell r="AR11">
            <v>18</v>
          </cell>
          <cell r="AS11">
            <v>18</v>
          </cell>
          <cell r="AT11">
            <v>18</v>
          </cell>
          <cell r="AU11">
            <v>18</v>
          </cell>
          <cell r="AV11">
            <v>18</v>
          </cell>
          <cell r="AW11">
            <v>18</v>
          </cell>
          <cell r="AX11">
            <v>18</v>
          </cell>
          <cell r="AY11">
            <v>18</v>
          </cell>
          <cell r="AZ11">
            <v>18</v>
          </cell>
          <cell r="BA11">
            <v>18</v>
          </cell>
          <cell r="BB11">
            <v>18</v>
          </cell>
          <cell r="BC11">
            <v>18</v>
          </cell>
          <cell r="BD11">
            <v>18</v>
          </cell>
          <cell r="BE11">
            <v>18</v>
          </cell>
          <cell r="BF11">
            <v>18</v>
          </cell>
          <cell r="BG11">
            <v>18</v>
          </cell>
          <cell r="BH11">
            <v>18</v>
          </cell>
          <cell r="BI11">
            <v>18</v>
          </cell>
          <cell r="BJ11">
            <v>18</v>
          </cell>
          <cell r="BK11">
            <v>27</v>
          </cell>
          <cell r="BL11">
            <v>27</v>
          </cell>
          <cell r="BM11">
            <v>27</v>
          </cell>
          <cell r="BN11">
            <v>27</v>
          </cell>
          <cell r="BO11">
            <v>27</v>
          </cell>
          <cell r="BP11">
            <v>27</v>
          </cell>
          <cell r="BQ11">
            <v>27</v>
          </cell>
          <cell r="BR11">
            <v>27</v>
          </cell>
          <cell r="BS11">
            <v>27</v>
          </cell>
          <cell r="BT11">
            <v>6</v>
          </cell>
          <cell r="BU11">
            <v>6</v>
          </cell>
          <cell r="BV11">
            <v>6</v>
          </cell>
        </row>
        <row r="12">
          <cell r="A12"/>
          <cell r="D12" t="str">
            <v>Porsche</v>
          </cell>
          <cell r="Z12">
            <v>7</v>
          </cell>
          <cell r="AA12">
            <v>6</v>
          </cell>
          <cell r="AB12">
            <v>7</v>
          </cell>
          <cell r="AC12">
            <v>7</v>
          </cell>
          <cell r="AD12">
            <v>7</v>
          </cell>
          <cell r="AE12">
            <v>7</v>
          </cell>
          <cell r="AF12">
            <v>7</v>
          </cell>
          <cell r="AG12">
            <v>5</v>
          </cell>
          <cell r="AH12">
            <v>6</v>
          </cell>
          <cell r="AI12">
            <v>5</v>
          </cell>
          <cell r="AJ12">
            <v>6</v>
          </cell>
          <cell r="AK12">
            <v>7</v>
          </cell>
          <cell r="AL12">
            <v>7</v>
          </cell>
          <cell r="AM12">
            <v>6</v>
          </cell>
          <cell r="AN12">
            <v>7</v>
          </cell>
          <cell r="AO12">
            <v>6</v>
          </cell>
          <cell r="AP12">
            <v>7</v>
          </cell>
          <cell r="AQ12">
            <v>6</v>
          </cell>
          <cell r="AR12">
            <v>7</v>
          </cell>
          <cell r="AS12">
            <v>6</v>
          </cell>
          <cell r="AT12">
            <v>7</v>
          </cell>
          <cell r="AU12">
            <v>6</v>
          </cell>
          <cell r="AV12">
            <v>7</v>
          </cell>
          <cell r="AW12">
            <v>6</v>
          </cell>
          <cell r="AX12">
            <v>7</v>
          </cell>
          <cell r="AY12">
            <v>6</v>
          </cell>
          <cell r="AZ12">
            <v>6</v>
          </cell>
          <cell r="BA12">
            <v>6</v>
          </cell>
          <cell r="BB12">
            <v>5</v>
          </cell>
          <cell r="BC12">
            <v>8</v>
          </cell>
          <cell r="BD12">
            <v>7</v>
          </cell>
          <cell r="BE12">
            <v>8</v>
          </cell>
          <cell r="BF12">
            <v>7</v>
          </cell>
          <cell r="BG12">
            <v>8</v>
          </cell>
          <cell r="BH12">
            <v>7</v>
          </cell>
          <cell r="BI12">
            <v>8</v>
          </cell>
          <cell r="BJ12">
            <v>8</v>
          </cell>
          <cell r="BK12">
            <v>6</v>
          </cell>
          <cell r="BL12">
            <v>6</v>
          </cell>
          <cell r="BM12">
            <v>6</v>
          </cell>
          <cell r="BN12">
            <v>7</v>
          </cell>
          <cell r="BO12">
            <v>7</v>
          </cell>
          <cell r="BP12">
            <v>7</v>
          </cell>
          <cell r="BQ12">
            <v>7</v>
          </cell>
          <cell r="BR12">
            <v>7</v>
          </cell>
          <cell r="BS12">
            <v>7</v>
          </cell>
          <cell r="BT12">
            <v>7</v>
          </cell>
          <cell r="BU12">
            <v>7</v>
          </cell>
          <cell r="BV12">
            <v>7</v>
          </cell>
        </row>
        <row r="13">
          <cell r="A13"/>
          <cell r="D13" t="str">
            <v>Volvo PIP</v>
          </cell>
          <cell r="Z13">
            <v>11</v>
          </cell>
          <cell r="AA13">
            <v>12</v>
          </cell>
          <cell r="AB13">
            <v>16</v>
          </cell>
          <cell r="AC13">
            <v>16</v>
          </cell>
          <cell r="AD13">
            <v>14</v>
          </cell>
          <cell r="AE13">
            <v>13</v>
          </cell>
          <cell r="AF13">
            <v>13</v>
          </cell>
          <cell r="AG13">
            <v>13</v>
          </cell>
          <cell r="AH13">
            <v>13</v>
          </cell>
          <cell r="AI13">
            <v>14</v>
          </cell>
          <cell r="AJ13">
            <v>14</v>
          </cell>
          <cell r="AK13">
            <v>14</v>
          </cell>
          <cell r="AL13">
            <v>14</v>
          </cell>
          <cell r="AM13">
            <v>14</v>
          </cell>
          <cell r="AN13">
            <v>14</v>
          </cell>
          <cell r="AO13">
            <v>14</v>
          </cell>
          <cell r="AP13">
            <v>13</v>
          </cell>
          <cell r="AQ13">
            <v>13</v>
          </cell>
          <cell r="AR13">
            <v>13</v>
          </cell>
          <cell r="AS13">
            <v>13</v>
          </cell>
          <cell r="AT13">
            <v>13</v>
          </cell>
          <cell r="AU13">
            <v>13</v>
          </cell>
          <cell r="AV13">
            <v>13</v>
          </cell>
          <cell r="AW13">
            <v>13</v>
          </cell>
          <cell r="AX13">
            <v>13</v>
          </cell>
          <cell r="AY13">
            <v>13</v>
          </cell>
          <cell r="AZ13">
            <v>13</v>
          </cell>
          <cell r="BA13">
            <v>13</v>
          </cell>
          <cell r="BB13">
            <v>13</v>
          </cell>
          <cell r="BC13">
            <v>13</v>
          </cell>
          <cell r="BD13">
            <v>13</v>
          </cell>
          <cell r="BE13">
            <v>13</v>
          </cell>
          <cell r="BF13">
            <v>13</v>
          </cell>
          <cell r="BG13">
            <v>13</v>
          </cell>
          <cell r="BH13">
            <v>13</v>
          </cell>
          <cell r="BI13">
            <v>13</v>
          </cell>
          <cell r="BJ13">
            <v>13</v>
          </cell>
          <cell r="BK13">
            <v>8</v>
          </cell>
          <cell r="BL13">
            <v>12</v>
          </cell>
          <cell r="BM13">
            <v>16</v>
          </cell>
          <cell r="BN13">
            <v>16</v>
          </cell>
          <cell r="BO13">
            <v>3</v>
          </cell>
          <cell r="BP13">
            <v>3</v>
          </cell>
          <cell r="BQ13">
            <v>3</v>
          </cell>
          <cell r="BR13">
            <v>3</v>
          </cell>
          <cell r="BS13">
            <v>3</v>
          </cell>
          <cell r="BT13">
            <v>3</v>
          </cell>
          <cell r="BU13">
            <v>3</v>
          </cell>
          <cell r="BV13">
            <v>3</v>
          </cell>
        </row>
        <row r="14">
          <cell r="A14"/>
          <cell r="D14" t="str">
            <v>Nissan P13A PIP</v>
          </cell>
          <cell r="Z14">
            <v>14</v>
          </cell>
          <cell r="AA14">
            <v>14</v>
          </cell>
          <cell r="AB14">
            <v>14</v>
          </cell>
          <cell r="AC14">
            <v>14</v>
          </cell>
          <cell r="AD14">
            <v>14</v>
          </cell>
          <cell r="AE14">
            <v>14</v>
          </cell>
          <cell r="AF14">
            <v>14</v>
          </cell>
          <cell r="AG14">
            <v>14</v>
          </cell>
          <cell r="AH14">
            <v>14</v>
          </cell>
          <cell r="AI14">
            <v>14</v>
          </cell>
          <cell r="AJ14">
            <v>14</v>
          </cell>
          <cell r="AK14">
            <v>14</v>
          </cell>
          <cell r="AL14">
            <v>14</v>
          </cell>
          <cell r="AM14">
            <v>7</v>
          </cell>
          <cell r="AN14">
            <v>7</v>
          </cell>
          <cell r="AO14">
            <v>7</v>
          </cell>
          <cell r="AP14">
            <v>7</v>
          </cell>
          <cell r="AQ14">
            <v>7</v>
          </cell>
          <cell r="AR14">
            <v>7</v>
          </cell>
          <cell r="AS14">
            <v>7</v>
          </cell>
          <cell r="AT14">
            <v>7</v>
          </cell>
          <cell r="AU14">
            <v>7</v>
          </cell>
          <cell r="AV14">
            <v>7</v>
          </cell>
          <cell r="AW14">
            <v>7</v>
          </cell>
          <cell r="AX14">
            <v>7</v>
          </cell>
          <cell r="AY14">
            <v>7</v>
          </cell>
          <cell r="AZ14">
            <v>7</v>
          </cell>
          <cell r="BA14">
            <v>7</v>
          </cell>
          <cell r="BB14">
            <v>7</v>
          </cell>
          <cell r="BC14">
            <v>7</v>
          </cell>
          <cell r="BD14">
            <v>7</v>
          </cell>
          <cell r="BE14">
            <v>7</v>
          </cell>
          <cell r="BF14">
            <v>7</v>
          </cell>
          <cell r="BG14">
            <v>7</v>
          </cell>
          <cell r="BH14">
            <v>7</v>
          </cell>
          <cell r="BI14">
            <v>7</v>
          </cell>
          <cell r="BJ14">
            <v>7</v>
          </cell>
          <cell r="BK14">
            <v>7</v>
          </cell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</row>
        <row r="15">
          <cell r="A15"/>
          <cell r="D15" t="str">
            <v>Citroen C4 PIP</v>
          </cell>
          <cell r="Z15">
            <v>2</v>
          </cell>
          <cell r="AA15">
            <v>2</v>
          </cell>
          <cell r="AB15">
            <v>2</v>
          </cell>
          <cell r="AC15">
            <v>2</v>
          </cell>
          <cell r="AD15">
            <v>2</v>
          </cell>
          <cell r="AE15">
            <v>2</v>
          </cell>
          <cell r="AF15">
            <v>2</v>
          </cell>
          <cell r="AG15">
            <v>2</v>
          </cell>
          <cell r="AH15">
            <v>2</v>
          </cell>
          <cell r="AI15">
            <v>2</v>
          </cell>
          <cell r="AJ15">
            <v>2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1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BB15">
            <v>1</v>
          </cell>
          <cell r="BC15">
            <v>1</v>
          </cell>
          <cell r="BD15">
            <v>1</v>
          </cell>
          <cell r="BE15">
            <v>1</v>
          </cell>
          <cell r="BF15">
            <v>1</v>
          </cell>
          <cell r="BG15">
            <v>1</v>
          </cell>
          <cell r="BH15">
            <v>1</v>
          </cell>
          <cell r="BI15">
            <v>1</v>
          </cell>
          <cell r="BJ15">
            <v>1</v>
          </cell>
          <cell r="BK15">
            <v>1</v>
          </cell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</row>
        <row r="16">
          <cell r="A16"/>
          <cell r="D16" t="str">
            <v>Nissan PZ1D</v>
          </cell>
          <cell r="Z16">
            <v>24</v>
          </cell>
          <cell r="AA16">
            <v>21</v>
          </cell>
          <cell r="AB16">
            <v>21</v>
          </cell>
          <cell r="AC16">
            <v>42</v>
          </cell>
          <cell r="AD16">
            <v>42</v>
          </cell>
          <cell r="AE16">
            <v>42</v>
          </cell>
          <cell r="AF16">
            <v>42</v>
          </cell>
          <cell r="AG16">
            <v>42</v>
          </cell>
          <cell r="AH16">
            <v>42</v>
          </cell>
          <cell r="AI16">
            <v>42</v>
          </cell>
          <cell r="AJ16">
            <v>42</v>
          </cell>
          <cell r="AK16">
            <v>42</v>
          </cell>
          <cell r="AL16">
            <v>42</v>
          </cell>
          <cell r="AM16">
            <v>42</v>
          </cell>
          <cell r="AN16">
            <v>42</v>
          </cell>
          <cell r="AO16">
            <v>42</v>
          </cell>
          <cell r="AP16">
            <v>42</v>
          </cell>
          <cell r="AQ16">
            <v>42</v>
          </cell>
          <cell r="AR16">
            <v>42</v>
          </cell>
          <cell r="AS16">
            <v>42</v>
          </cell>
          <cell r="AT16">
            <v>42</v>
          </cell>
          <cell r="AU16">
            <v>42</v>
          </cell>
          <cell r="AV16">
            <v>42</v>
          </cell>
          <cell r="AW16">
            <v>42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7</v>
          </cell>
          <cell r="BC16">
            <v>7</v>
          </cell>
          <cell r="BD16">
            <v>7</v>
          </cell>
          <cell r="BE16">
            <v>7</v>
          </cell>
          <cell r="BF16">
            <v>7</v>
          </cell>
          <cell r="BG16">
            <v>7</v>
          </cell>
          <cell r="BH16">
            <v>7</v>
          </cell>
          <cell r="BI16">
            <v>7</v>
          </cell>
          <cell r="BJ16">
            <v>7</v>
          </cell>
          <cell r="BK16">
            <v>89</v>
          </cell>
          <cell r="BL16">
            <v>82</v>
          </cell>
          <cell r="BM16">
            <v>82</v>
          </cell>
          <cell r="BN16">
            <v>82</v>
          </cell>
          <cell r="BO16">
            <v>82</v>
          </cell>
          <cell r="BP16">
            <v>82</v>
          </cell>
          <cell r="BQ16">
            <v>82</v>
          </cell>
          <cell r="BR16">
            <v>82</v>
          </cell>
          <cell r="BS16">
            <v>82</v>
          </cell>
          <cell r="BT16">
            <v>82</v>
          </cell>
          <cell r="BU16">
            <v>82</v>
          </cell>
          <cell r="BV16">
            <v>80</v>
          </cell>
        </row>
        <row r="17">
          <cell r="A17"/>
          <cell r="D17" t="str">
            <v>CV (MAN+Scania+Renault)</v>
          </cell>
          <cell r="Z17">
            <v>50</v>
          </cell>
          <cell r="AA17">
            <v>66</v>
          </cell>
          <cell r="AB17">
            <v>48</v>
          </cell>
          <cell r="AC17">
            <v>48</v>
          </cell>
          <cell r="AD17">
            <v>47</v>
          </cell>
          <cell r="AE17">
            <v>47</v>
          </cell>
          <cell r="AF17">
            <v>47</v>
          </cell>
          <cell r="AG17">
            <v>47</v>
          </cell>
          <cell r="AH17">
            <v>47</v>
          </cell>
          <cell r="AI17">
            <v>47</v>
          </cell>
          <cell r="AJ17">
            <v>47</v>
          </cell>
          <cell r="AK17">
            <v>47</v>
          </cell>
          <cell r="AL17">
            <v>47</v>
          </cell>
          <cell r="AM17">
            <v>47</v>
          </cell>
          <cell r="AN17">
            <v>47</v>
          </cell>
          <cell r="AO17">
            <v>49</v>
          </cell>
          <cell r="AP17">
            <v>48</v>
          </cell>
          <cell r="AQ17">
            <v>48</v>
          </cell>
          <cell r="AR17">
            <v>48</v>
          </cell>
          <cell r="AS17">
            <v>48</v>
          </cell>
          <cell r="AT17">
            <v>48</v>
          </cell>
          <cell r="AU17">
            <v>48</v>
          </cell>
          <cell r="AV17">
            <v>48</v>
          </cell>
          <cell r="AW17">
            <v>48</v>
          </cell>
          <cell r="AX17">
            <v>48</v>
          </cell>
          <cell r="AY17">
            <v>48</v>
          </cell>
          <cell r="AZ17">
            <v>48</v>
          </cell>
          <cell r="BA17">
            <v>48</v>
          </cell>
          <cell r="BB17">
            <v>48</v>
          </cell>
          <cell r="BC17">
            <v>48</v>
          </cell>
          <cell r="BD17">
            <v>48</v>
          </cell>
          <cell r="BE17">
            <v>48</v>
          </cell>
          <cell r="BF17">
            <v>48</v>
          </cell>
          <cell r="BG17">
            <v>48</v>
          </cell>
          <cell r="BH17">
            <v>48</v>
          </cell>
          <cell r="BI17">
            <v>48</v>
          </cell>
          <cell r="BJ17">
            <v>48</v>
          </cell>
          <cell r="BK17">
            <v>51</v>
          </cell>
          <cell r="BL17">
            <v>51</v>
          </cell>
          <cell r="BM17">
            <v>51</v>
          </cell>
          <cell r="BN17">
            <v>51</v>
          </cell>
          <cell r="BO17">
            <v>51</v>
          </cell>
          <cell r="BP17">
            <v>51</v>
          </cell>
          <cell r="BQ17">
            <v>51</v>
          </cell>
          <cell r="BR17">
            <v>51</v>
          </cell>
          <cell r="BS17">
            <v>39</v>
          </cell>
          <cell r="BT17">
            <v>39</v>
          </cell>
          <cell r="BU17">
            <v>39</v>
          </cell>
          <cell r="BV17">
            <v>39</v>
          </cell>
        </row>
        <row r="18">
          <cell r="A18"/>
          <cell r="D18" t="str">
            <v>BJA</v>
          </cell>
          <cell r="Z18">
            <v>9</v>
          </cell>
          <cell r="AA18">
            <v>9</v>
          </cell>
          <cell r="AB18">
            <v>9</v>
          </cell>
          <cell r="AC18">
            <v>9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</row>
        <row r="19">
          <cell r="A19"/>
          <cell r="D19" t="str">
            <v>Kia</v>
          </cell>
          <cell r="Z19">
            <v>4</v>
          </cell>
          <cell r="AA19">
            <v>4</v>
          </cell>
          <cell r="AB19">
            <v>3</v>
          </cell>
          <cell r="AC19">
            <v>3</v>
          </cell>
          <cell r="AD19">
            <v>4</v>
          </cell>
          <cell r="AE19">
            <v>4</v>
          </cell>
          <cell r="AF19">
            <v>4</v>
          </cell>
          <cell r="AG19">
            <v>3</v>
          </cell>
          <cell r="AH19">
            <v>3</v>
          </cell>
          <cell r="AI19">
            <v>3</v>
          </cell>
          <cell r="AJ19">
            <v>3</v>
          </cell>
          <cell r="AK19">
            <v>4</v>
          </cell>
          <cell r="AL19">
            <v>3</v>
          </cell>
          <cell r="AM19">
            <v>3</v>
          </cell>
          <cell r="AN19">
            <v>4</v>
          </cell>
          <cell r="AO19">
            <v>3</v>
          </cell>
          <cell r="AP19">
            <v>4</v>
          </cell>
          <cell r="AQ19">
            <v>3</v>
          </cell>
          <cell r="AR19">
            <v>3</v>
          </cell>
          <cell r="AS19">
            <v>4</v>
          </cell>
          <cell r="AT19">
            <v>3</v>
          </cell>
          <cell r="AU19">
            <v>3</v>
          </cell>
          <cell r="AV19">
            <v>2</v>
          </cell>
          <cell r="AW19">
            <v>2</v>
          </cell>
          <cell r="AX19">
            <v>2</v>
          </cell>
          <cell r="AY19">
            <v>3</v>
          </cell>
          <cell r="AZ19">
            <v>2</v>
          </cell>
          <cell r="BA19">
            <v>3</v>
          </cell>
          <cell r="BB19">
            <v>3</v>
          </cell>
          <cell r="BC19">
            <v>2</v>
          </cell>
          <cell r="BD19">
            <v>3</v>
          </cell>
          <cell r="BE19">
            <v>2</v>
          </cell>
          <cell r="BF19">
            <v>2</v>
          </cell>
          <cell r="BG19">
            <v>2</v>
          </cell>
          <cell r="BH19">
            <v>3</v>
          </cell>
          <cell r="BI19">
            <v>3</v>
          </cell>
          <cell r="BJ19">
            <v>3</v>
          </cell>
          <cell r="BK19">
            <v>5</v>
          </cell>
          <cell r="BL19">
            <v>5</v>
          </cell>
          <cell r="BM19">
            <v>5</v>
          </cell>
          <cell r="BN19">
            <v>5</v>
          </cell>
          <cell r="BO19">
            <v>5</v>
          </cell>
          <cell r="BP19">
            <v>5</v>
          </cell>
          <cell r="BQ19">
            <v>5</v>
          </cell>
          <cell r="BR19">
            <v>5</v>
          </cell>
          <cell r="BS19">
            <v>5</v>
          </cell>
          <cell r="BT19">
            <v>5</v>
          </cell>
          <cell r="BU19">
            <v>5</v>
          </cell>
          <cell r="BV19">
            <v>5</v>
          </cell>
        </row>
        <row r="20">
          <cell r="A20"/>
          <cell r="D20" t="str">
            <v>CDPO</v>
          </cell>
          <cell r="Z20">
            <v>13</v>
          </cell>
          <cell r="AA20">
            <v>14</v>
          </cell>
          <cell r="AB20">
            <v>13</v>
          </cell>
          <cell r="AC20">
            <v>14</v>
          </cell>
          <cell r="AD20">
            <v>14</v>
          </cell>
          <cell r="AE20">
            <v>14</v>
          </cell>
          <cell r="AF20">
            <v>14</v>
          </cell>
          <cell r="AG20">
            <v>15</v>
          </cell>
          <cell r="AH20">
            <v>15</v>
          </cell>
          <cell r="AI20">
            <v>15</v>
          </cell>
          <cell r="AJ20">
            <v>15</v>
          </cell>
          <cell r="AK20">
            <v>15</v>
          </cell>
          <cell r="AL20">
            <v>15</v>
          </cell>
          <cell r="AM20">
            <v>15</v>
          </cell>
          <cell r="AN20">
            <v>15</v>
          </cell>
          <cell r="AO20">
            <v>14</v>
          </cell>
          <cell r="AP20">
            <v>14</v>
          </cell>
          <cell r="AQ20">
            <v>14</v>
          </cell>
          <cell r="AR20">
            <v>14</v>
          </cell>
          <cell r="AS20">
            <v>14</v>
          </cell>
          <cell r="AT20">
            <v>14</v>
          </cell>
          <cell r="AU20">
            <v>14</v>
          </cell>
          <cell r="AV20">
            <v>14</v>
          </cell>
          <cell r="AW20">
            <v>14</v>
          </cell>
          <cell r="AX20">
            <v>14</v>
          </cell>
          <cell r="AY20">
            <v>14</v>
          </cell>
          <cell r="AZ20">
            <v>14</v>
          </cell>
          <cell r="BA20">
            <v>8</v>
          </cell>
          <cell r="BB20">
            <v>8</v>
          </cell>
          <cell r="BC20">
            <v>8</v>
          </cell>
          <cell r="BD20">
            <v>8</v>
          </cell>
          <cell r="BE20">
            <v>8</v>
          </cell>
          <cell r="BF20">
            <v>8</v>
          </cell>
          <cell r="BG20">
            <v>7</v>
          </cell>
          <cell r="BH20">
            <v>7</v>
          </cell>
          <cell r="BI20">
            <v>7</v>
          </cell>
          <cell r="BJ20">
            <v>7</v>
          </cell>
          <cell r="BK20">
            <v>6</v>
          </cell>
          <cell r="BL20">
            <v>6</v>
          </cell>
          <cell r="BM20">
            <v>6</v>
          </cell>
          <cell r="BN20">
            <v>6</v>
          </cell>
          <cell r="BO20">
            <v>6</v>
          </cell>
          <cell r="BP20">
            <v>6</v>
          </cell>
          <cell r="BQ20">
            <v>6</v>
          </cell>
          <cell r="BR20">
            <v>6</v>
          </cell>
          <cell r="BS20">
            <v>6</v>
          </cell>
          <cell r="BT20">
            <v>6</v>
          </cell>
          <cell r="BU20">
            <v>6</v>
          </cell>
          <cell r="BV20">
            <v>6</v>
          </cell>
        </row>
        <row r="21">
          <cell r="A21"/>
          <cell r="D21" t="str">
            <v>JLR</v>
          </cell>
          <cell r="Z21">
            <v>2</v>
          </cell>
          <cell r="AA21">
            <v>2</v>
          </cell>
          <cell r="AB21">
            <v>2</v>
          </cell>
          <cell r="AC21">
            <v>2</v>
          </cell>
          <cell r="AD21">
            <v>2</v>
          </cell>
          <cell r="AE21">
            <v>2</v>
          </cell>
          <cell r="AF21">
            <v>2</v>
          </cell>
          <cell r="AG21">
            <v>2</v>
          </cell>
          <cell r="AH21">
            <v>2</v>
          </cell>
          <cell r="AI21">
            <v>2</v>
          </cell>
          <cell r="AJ21">
            <v>2</v>
          </cell>
          <cell r="AK21">
            <v>2</v>
          </cell>
          <cell r="AL21">
            <v>2</v>
          </cell>
          <cell r="AM21">
            <v>2</v>
          </cell>
          <cell r="AN21">
            <v>2</v>
          </cell>
          <cell r="AO21">
            <v>2</v>
          </cell>
          <cell r="AP21">
            <v>2</v>
          </cell>
          <cell r="AQ21">
            <v>2</v>
          </cell>
          <cell r="AR21">
            <v>2</v>
          </cell>
          <cell r="AS21">
            <v>2</v>
          </cell>
          <cell r="AT21">
            <v>2</v>
          </cell>
          <cell r="AU21">
            <v>2</v>
          </cell>
          <cell r="AV21">
            <v>2</v>
          </cell>
          <cell r="AW21">
            <v>2</v>
          </cell>
          <cell r="AX21">
            <v>2</v>
          </cell>
          <cell r="AY21">
            <v>2</v>
          </cell>
          <cell r="AZ21">
            <v>2</v>
          </cell>
          <cell r="BA21">
            <v>2</v>
          </cell>
          <cell r="BB21">
            <v>2</v>
          </cell>
          <cell r="BC21">
            <v>2</v>
          </cell>
          <cell r="BD21">
            <v>2</v>
          </cell>
          <cell r="BE21">
            <v>2</v>
          </cell>
          <cell r="BF21">
            <v>2</v>
          </cell>
          <cell r="BG21">
            <v>2</v>
          </cell>
          <cell r="BH21">
            <v>2</v>
          </cell>
          <cell r="BI21">
            <v>2</v>
          </cell>
          <cell r="BJ21">
            <v>2</v>
          </cell>
          <cell r="BK21">
            <v>2</v>
          </cell>
          <cell r="BL21">
            <v>2</v>
          </cell>
          <cell r="BM21">
            <v>2</v>
          </cell>
          <cell r="BN21">
            <v>2</v>
          </cell>
          <cell r="BO21">
            <v>2</v>
          </cell>
          <cell r="BP21">
            <v>2</v>
          </cell>
          <cell r="BQ21">
            <v>3</v>
          </cell>
          <cell r="BR21">
            <v>3</v>
          </cell>
          <cell r="BS21">
            <v>3</v>
          </cell>
          <cell r="BT21">
            <v>3</v>
          </cell>
          <cell r="BU21">
            <v>3</v>
          </cell>
          <cell r="BV21">
            <v>3</v>
          </cell>
        </row>
        <row r="22">
          <cell r="A22"/>
          <cell r="D22" t="str">
            <v>MMA</v>
          </cell>
          <cell r="Z22">
            <v>95</v>
          </cell>
          <cell r="AA22">
            <v>95</v>
          </cell>
          <cell r="AB22">
            <v>112</v>
          </cell>
          <cell r="AC22">
            <v>112</v>
          </cell>
          <cell r="AD22">
            <v>112</v>
          </cell>
          <cell r="AE22">
            <v>114</v>
          </cell>
          <cell r="AF22">
            <v>114</v>
          </cell>
          <cell r="AG22">
            <v>114</v>
          </cell>
          <cell r="AH22">
            <v>124</v>
          </cell>
          <cell r="AI22">
            <v>124</v>
          </cell>
          <cell r="AJ22">
            <v>126</v>
          </cell>
          <cell r="AK22">
            <v>124</v>
          </cell>
          <cell r="AL22">
            <v>124</v>
          </cell>
          <cell r="AM22">
            <v>124</v>
          </cell>
          <cell r="AN22">
            <v>124</v>
          </cell>
          <cell r="AO22">
            <v>122</v>
          </cell>
          <cell r="AP22">
            <v>122</v>
          </cell>
          <cell r="AQ22">
            <v>122</v>
          </cell>
          <cell r="AR22">
            <v>122</v>
          </cell>
          <cell r="AS22">
            <v>122</v>
          </cell>
          <cell r="AT22">
            <v>122</v>
          </cell>
          <cell r="AU22">
            <v>124</v>
          </cell>
          <cell r="AV22">
            <v>124</v>
          </cell>
          <cell r="AW22">
            <v>124</v>
          </cell>
          <cell r="AX22">
            <v>124</v>
          </cell>
          <cell r="AY22">
            <v>124</v>
          </cell>
          <cell r="AZ22">
            <v>124</v>
          </cell>
          <cell r="BA22">
            <v>130</v>
          </cell>
          <cell r="BB22">
            <v>130</v>
          </cell>
          <cell r="BC22">
            <v>130</v>
          </cell>
          <cell r="BD22">
            <v>130</v>
          </cell>
          <cell r="BE22">
            <v>128</v>
          </cell>
          <cell r="BF22">
            <v>128</v>
          </cell>
          <cell r="BG22">
            <v>128</v>
          </cell>
          <cell r="BH22">
            <v>128</v>
          </cell>
          <cell r="BI22">
            <v>128</v>
          </cell>
          <cell r="BJ22">
            <v>128</v>
          </cell>
          <cell r="BK22">
            <v>61</v>
          </cell>
          <cell r="BL22">
            <v>61</v>
          </cell>
          <cell r="BM22">
            <v>61</v>
          </cell>
          <cell r="BN22">
            <v>61</v>
          </cell>
          <cell r="BO22">
            <v>61</v>
          </cell>
          <cell r="BP22">
            <v>61</v>
          </cell>
          <cell r="BQ22">
            <v>51</v>
          </cell>
          <cell r="BR22">
            <v>51</v>
          </cell>
          <cell r="BS22">
            <v>51</v>
          </cell>
          <cell r="BT22">
            <v>51</v>
          </cell>
          <cell r="BU22">
            <v>51</v>
          </cell>
          <cell r="BV22">
            <v>51</v>
          </cell>
        </row>
        <row r="23">
          <cell r="A23"/>
          <cell r="D23" t="str">
            <v>Opel</v>
          </cell>
          <cell r="Z23">
            <v>4</v>
          </cell>
          <cell r="AA23">
            <v>4</v>
          </cell>
          <cell r="AB23">
            <v>4</v>
          </cell>
          <cell r="AC23">
            <v>4</v>
          </cell>
          <cell r="AD23">
            <v>4</v>
          </cell>
          <cell r="AE23">
            <v>4</v>
          </cell>
          <cell r="AF23">
            <v>4</v>
          </cell>
          <cell r="AG23">
            <v>4</v>
          </cell>
          <cell r="AH23">
            <v>5</v>
          </cell>
          <cell r="AI23">
            <v>5</v>
          </cell>
          <cell r="AJ23">
            <v>5</v>
          </cell>
          <cell r="AK23">
            <v>5</v>
          </cell>
          <cell r="AL23">
            <v>5</v>
          </cell>
          <cell r="AM23">
            <v>5</v>
          </cell>
          <cell r="AN23">
            <v>5</v>
          </cell>
          <cell r="AO23">
            <v>5</v>
          </cell>
          <cell r="AP23">
            <v>5</v>
          </cell>
          <cell r="AQ23">
            <v>5</v>
          </cell>
          <cell r="AR23">
            <v>5</v>
          </cell>
          <cell r="AS23">
            <v>5</v>
          </cell>
          <cell r="AT23">
            <v>6</v>
          </cell>
          <cell r="AU23">
            <v>6</v>
          </cell>
          <cell r="AV23">
            <v>7</v>
          </cell>
          <cell r="AW23">
            <v>7</v>
          </cell>
          <cell r="AX23">
            <v>7</v>
          </cell>
          <cell r="AY23">
            <v>7</v>
          </cell>
          <cell r="AZ23">
            <v>7</v>
          </cell>
          <cell r="BA23">
            <v>7</v>
          </cell>
          <cell r="BB23">
            <v>7</v>
          </cell>
          <cell r="BC23">
            <v>7</v>
          </cell>
          <cell r="BD23">
            <v>7</v>
          </cell>
          <cell r="BE23">
            <v>7</v>
          </cell>
          <cell r="BF23">
            <v>7</v>
          </cell>
          <cell r="BG23">
            <v>7</v>
          </cell>
          <cell r="BH23">
            <v>7</v>
          </cell>
          <cell r="BI23">
            <v>7</v>
          </cell>
          <cell r="BJ23">
            <v>7</v>
          </cell>
          <cell r="BK23">
            <v>3</v>
          </cell>
          <cell r="BL23">
            <v>3</v>
          </cell>
          <cell r="BM23">
            <v>3</v>
          </cell>
          <cell r="BN23">
            <v>3</v>
          </cell>
          <cell r="BO23">
            <v>3</v>
          </cell>
          <cell r="BP23">
            <v>3</v>
          </cell>
          <cell r="BQ23">
            <v>3</v>
          </cell>
          <cell r="BR23">
            <v>3</v>
          </cell>
          <cell r="BS23">
            <v>3</v>
          </cell>
          <cell r="BT23">
            <v>3</v>
          </cell>
          <cell r="BU23">
            <v>3</v>
          </cell>
          <cell r="BV23">
            <v>3</v>
          </cell>
        </row>
        <row r="24">
          <cell r="A24"/>
          <cell r="D24" t="str">
            <v>Volvo (V54X)</v>
          </cell>
          <cell r="Z24">
            <v>12</v>
          </cell>
          <cell r="AA24">
            <v>12</v>
          </cell>
          <cell r="AB24">
            <v>14</v>
          </cell>
          <cell r="AC24">
            <v>14</v>
          </cell>
          <cell r="AD24">
            <v>14</v>
          </cell>
          <cell r="AE24">
            <v>12</v>
          </cell>
          <cell r="AF24">
            <v>12</v>
          </cell>
          <cell r="AG24">
            <v>12</v>
          </cell>
          <cell r="AH24">
            <v>12</v>
          </cell>
          <cell r="AI24">
            <v>12</v>
          </cell>
          <cell r="AJ24">
            <v>12</v>
          </cell>
          <cell r="AK24">
            <v>12</v>
          </cell>
          <cell r="AL24">
            <v>12</v>
          </cell>
          <cell r="AM24">
            <v>12</v>
          </cell>
          <cell r="AN24">
            <v>12</v>
          </cell>
          <cell r="AO24">
            <v>12</v>
          </cell>
          <cell r="AP24">
            <v>12</v>
          </cell>
          <cell r="AQ24">
            <v>12</v>
          </cell>
          <cell r="AR24">
            <v>12</v>
          </cell>
          <cell r="AS24">
            <v>12</v>
          </cell>
          <cell r="AT24">
            <v>12</v>
          </cell>
          <cell r="AU24">
            <v>12</v>
          </cell>
          <cell r="AV24">
            <v>12</v>
          </cell>
          <cell r="AW24">
            <v>12</v>
          </cell>
          <cell r="AX24">
            <v>12</v>
          </cell>
          <cell r="AY24">
            <v>12</v>
          </cell>
          <cell r="AZ24">
            <v>12</v>
          </cell>
          <cell r="BA24">
            <v>12</v>
          </cell>
          <cell r="BB24">
            <v>12</v>
          </cell>
          <cell r="BC24">
            <v>12</v>
          </cell>
          <cell r="BD24">
            <v>12</v>
          </cell>
          <cell r="BE24">
            <v>12</v>
          </cell>
          <cell r="BF24">
            <v>12</v>
          </cell>
          <cell r="BG24">
            <v>12</v>
          </cell>
          <cell r="BH24">
            <v>12</v>
          </cell>
          <cell r="BI24">
            <v>12</v>
          </cell>
          <cell r="BJ24">
            <v>12</v>
          </cell>
          <cell r="BK24">
            <v>13</v>
          </cell>
          <cell r="BL24">
            <v>13</v>
          </cell>
          <cell r="BM24">
            <v>13</v>
          </cell>
          <cell r="BN24">
            <v>13</v>
          </cell>
          <cell r="BO24">
            <v>13</v>
          </cell>
          <cell r="BP24">
            <v>13</v>
          </cell>
          <cell r="BQ24">
            <v>13</v>
          </cell>
          <cell r="BR24">
            <v>13</v>
          </cell>
          <cell r="BS24">
            <v>13</v>
          </cell>
          <cell r="BT24">
            <v>13</v>
          </cell>
          <cell r="BU24">
            <v>13</v>
          </cell>
          <cell r="BV24">
            <v>13</v>
          </cell>
        </row>
        <row r="25">
          <cell r="A25"/>
          <cell r="D25" t="str">
            <v>Volvo insourcing</v>
          </cell>
          <cell r="Z25">
            <v>36</v>
          </cell>
          <cell r="AA25">
            <v>36</v>
          </cell>
          <cell r="AB25">
            <v>36</v>
          </cell>
          <cell r="AC25">
            <v>36</v>
          </cell>
          <cell r="AD25">
            <v>36</v>
          </cell>
          <cell r="AE25">
            <v>36</v>
          </cell>
          <cell r="AF25">
            <v>36</v>
          </cell>
          <cell r="AG25">
            <v>36</v>
          </cell>
          <cell r="AH25">
            <v>36</v>
          </cell>
          <cell r="AI25">
            <v>36</v>
          </cell>
          <cell r="AJ25">
            <v>36</v>
          </cell>
          <cell r="AK25">
            <v>36</v>
          </cell>
          <cell r="AL25">
            <v>36</v>
          </cell>
          <cell r="AM25">
            <v>36</v>
          </cell>
          <cell r="AN25">
            <v>36</v>
          </cell>
          <cell r="AO25">
            <v>36</v>
          </cell>
          <cell r="AP25">
            <v>36</v>
          </cell>
          <cell r="AQ25">
            <v>36</v>
          </cell>
          <cell r="AR25">
            <v>36</v>
          </cell>
          <cell r="AS25">
            <v>36</v>
          </cell>
          <cell r="AT25">
            <v>34</v>
          </cell>
          <cell r="AU25">
            <v>34</v>
          </cell>
          <cell r="AV25">
            <v>34</v>
          </cell>
          <cell r="AW25">
            <v>34</v>
          </cell>
          <cell r="AX25">
            <v>34</v>
          </cell>
          <cell r="AY25">
            <v>34</v>
          </cell>
          <cell r="AZ25">
            <v>34</v>
          </cell>
          <cell r="BA25">
            <v>34</v>
          </cell>
          <cell r="BB25">
            <v>34</v>
          </cell>
          <cell r="BC25">
            <v>34</v>
          </cell>
          <cell r="BD25">
            <v>34</v>
          </cell>
          <cell r="BE25">
            <v>34</v>
          </cell>
          <cell r="BF25">
            <v>34</v>
          </cell>
          <cell r="BG25">
            <v>34</v>
          </cell>
          <cell r="BH25">
            <v>34</v>
          </cell>
          <cell r="BI25">
            <v>34</v>
          </cell>
          <cell r="BJ25">
            <v>34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</row>
        <row r="26">
          <cell r="A26"/>
          <cell r="D26" t="str">
            <v>Volvo EX30 FHR</v>
          </cell>
          <cell r="Z26">
            <v>6</v>
          </cell>
          <cell r="AA26">
            <v>6</v>
          </cell>
          <cell r="AB26">
            <v>6</v>
          </cell>
          <cell r="AC26">
            <v>6</v>
          </cell>
          <cell r="AD26">
            <v>6</v>
          </cell>
          <cell r="AE26">
            <v>6</v>
          </cell>
          <cell r="AF26">
            <v>6</v>
          </cell>
          <cell r="AG26">
            <v>6</v>
          </cell>
          <cell r="AH26">
            <v>6</v>
          </cell>
          <cell r="AI26">
            <v>6</v>
          </cell>
          <cell r="AJ26">
            <v>6</v>
          </cell>
          <cell r="AK26">
            <v>6</v>
          </cell>
          <cell r="AL26">
            <v>6</v>
          </cell>
          <cell r="AM26">
            <v>6</v>
          </cell>
          <cell r="AN26">
            <v>6</v>
          </cell>
          <cell r="AO26">
            <v>6</v>
          </cell>
          <cell r="AP26">
            <v>6</v>
          </cell>
          <cell r="AQ26">
            <v>6</v>
          </cell>
          <cell r="AR26">
            <v>6</v>
          </cell>
          <cell r="AS26">
            <v>6</v>
          </cell>
          <cell r="AT26">
            <v>6</v>
          </cell>
          <cell r="AU26">
            <v>6</v>
          </cell>
          <cell r="AV26">
            <v>6</v>
          </cell>
          <cell r="AW26">
            <v>6</v>
          </cell>
          <cell r="AX26">
            <v>6</v>
          </cell>
          <cell r="AY26">
            <v>6</v>
          </cell>
          <cell r="AZ26">
            <v>6</v>
          </cell>
          <cell r="BA26">
            <v>6</v>
          </cell>
          <cell r="BB26">
            <v>6</v>
          </cell>
          <cell r="BC26">
            <v>6</v>
          </cell>
          <cell r="BD26">
            <v>6</v>
          </cell>
          <cell r="BE26">
            <v>6</v>
          </cell>
          <cell r="BF26">
            <v>6</v>
          </cell>
          <cell r="BG26">
            <v>6</v>
          </cell>
          <cell r="BH26">
            <v>6</v>
          </cell>
          <cell r="BI26">
            <v>6</v>
          </cell>
          <cell r="BJ26">
            <v>6</v>
          </cell>
          <cell r="BK26">
            <v>7</v>
          </cell>
          <cell r="BL26">
            <v>7</v>
          </cell>
          <cell r="BM26">
            <v>7</v>
          </cell>
          <cell r="BN26">
            <v>7</v>
          </cell>
          <cell r="BO26">
            <v>7</v>
          </cell>
          <cell r="BP26">
            <v>7</v>
          </cell>
          <cell r="BQ26">
            <v>7</v>
          </cell>
          <cell r="BR26">
            <v>7</v>
          </cell>
          <cell r="BS26">
            <v>7</v>
          </cell>
          <cell r="BT26">
            <v>7</v>
          </cell>
          <cell r="BU26">
            <v>7</v>
          </cell>
          <cell r="BV26">
            <v>7</v>
          </cell>
        </row>
        <row r="27">
          <cell r="A27"/>
          <cell r="D27" t="str">
            <v>Volvo GPA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5</v>
          </cell>
          <cell r="AE27">
            <v>5</v>
          </cell>
          <cell r="AF27">
            <v>5</v>
          </cell>
          <cell r="AG27">
            <v>5</v>
          </cell>
          <cell r="AH27">
            <v>5</v>
          </cell>
          <cell r="AI27">
            <v>6</v>
          </cell>
          <cell r="AJ27">
            <v>8</v>
          </cell>
          <cell r="AK27">
            <v>8</v>
          </cell>
          <cell r="AL27">
            <v>8</v>
          </cell>
          <cell r="AM27">
            <v>8</v>
          </cell>
          <cell r="AN27">
            <v>8</v>
          </cell>
          <cell r="AO27">
            <v>9</v>
          </cell>
          <cell r="AP27">
            <v>11</v>
          </cell>
          <cell r="AQ27">
            <v>11</v>
          </cell>
          <cell r="AR27">
            <v>11</v>
          </cell>
          <cell r="AS27">
            <v>11</v>
          </cell>
          <cell r="AT27">
            <v>14</v>
          </cell>
          <cell r="AU27">
            <v>15</v>
          </cell>
          <cell r="AV27">
            <v>15</v>
          </cell>
          <cell r="AW27">
            <v>16</v>
          </cell>
          <cell r="AX27">
            <v>16</v>
          </cell>
          <cell r="AY27">
            <v>17</v>
          </cell>
          <cell r="AZ27">
            <v>21</v>
          </cell>
          <cell r="BA27">
            <v>21</v>
          </cell>
          <cell r="BB27">
            <v>22</v>
          </cell>
          <cell r="BC27">
            <v>23</v>
          </cell>
          <cell r="BD27">
            <v>23</v>
          </cell>
          <cell r="BE27">
            <v>24</v>
          </cell>
          <cell r="BF27">
            <v>24</v>
          </cell>
          <cell r="BG27">
            <v>24</v>
          </cell>
          <cell r="BH27">
            <v>24</v>
          </cell>
          <cell r="BI27">
            <v>21</v>
          </cell>
          <cell r="BJ27">
            <v>21</v>
          </cell>
          <cell r="BK27">
            <v>9</v>
          </cell>
          <cell r="BL27">
            <v>9</v>
          </cell>
          <cell r="BM27">
            <v>9</v>
          </cell>
          <cell r="BN27">
            <v>9</v>
          </cell>
          <cell r="BO27">
            <v>9</v>
          </cell>
          <cell r="BP27">
            <v>9</v>
          </cell>
          <cell r="BQ27">
            <v>10</v>
          </cell>
          <cell r="BR27">
            <v>10</v>
          </cell>
          <cell r="BS27">
            <v>10</v>
          </cell>
          <cell r="BT27">
            <v>10</v>
          </cell>
          <cell r="BU27">
            <v>10</v>
          </cell>
          <cell r="BV27">
            <v>10</v>
          </cell>
        </row>
        <row r="28">
          <cell r="A28"/>
          <cell r="D28" t="str">
            <v>JLR EMA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2</v>
          </cell>
          <cell r="AL28">
            <v>2</v>
          </cell>
          <cell r="AM28">
            <v>2</v>
          </cell>
          <cell r="AN28">
            <v>2</v>
          </cell>
          <cell r="AO28">
            <v>4</v>
          </cell>
          <cell r="AP28">
            <v>4</v>
          </cell>
          <cell r="AQ28">
            <v>4</v>
          </cell>
          <cell r="AR28">
            <v>4</v>
          </cell>
          <cell r="AS28">
            <v>4</v>
          </cell>
          <cell r="AT28">
            <v>4</v>
          </cell>
          <cell r="AU28">
            <v>4</v>
          </cell>
          <cell r="AV28">
            <v>4</v>
          </cell>
          <cell r="AW28">
            <v>4</v>
          </cell>
          <cell r="AX28">
            <v>4</v>
          </cell>
          <cell r="AY28">
            <v>4</v>
          </cell>
          <cell r="AZ28">
            <v>4</v>
          </cell>
          <cell r="BA28">
            <v>4</v>
          </cell>
          <cell r="BB28">
            <v>4</v>
          </cell>
          <cell r="BC28">
            <v>4</v>
          </cell>
          <cell r="BD28">
            <v>4</v>
          </cell>
          <cell r="BE28">
            <v>4</v>
          </cell>
          <cell r="BF28">
            <v>4</v>
          </cell>
          <cell r="BG28">
            <v>4</v>
          </cell>
          <cell r="BH28">
            <v>4</v>
          </cell>
          <cell r="BI28">
            <v>4</v>
          </cell>
          <cell r="BJ28">
            <v>4</v>
          </cell>
          <cell r="BK28">
            <v>3</v>
          </cell>
          <cell r="BL28">
            <v>3</v>
          </cell>
          <cell r="BM28">
            <v>3</v>
          </cell>
          <cell r="BN28">
            <v>3</v>
          </cell>
          <cell r="BO28">
            <v>3</v>
          </cell>
          <cell r="BP28">
            <v>3</v>
          </cell>
          <cell r="BQ28">
            <v>3</v>
          </cell>
          <cell r="BR28">
            <v>3</v>
          </cell>
          <cell r="BS28">
            <v>3</v>
          </cell>
          <cell r="BT28">
            <v>3</v>
          </cell>
          <cell r="BU28">
            <v>3</v>
          </cell>
          <cell r="BV28">
            <v>3</v>
          </cell>
        </row>
        <row r="29">
          <cell r="A29"/>
          <cell r="D29" t="str">
            <v>TRIM Delta</v>
          </cell>
          <cell r="Z29">
            <v>390.08</v>
          </cell>
          <cell r="AA29">
            <v>402.8</v>
          </cell>
          <cell r="AB29">
            <v>407.04</v>
          </cell>
          <cell r="AC29">
            <v>432.48</v>
          </cell>
          <cell r="AD29">
            <v>427.18</v>
          </cell>
          <cell r="AE29">
            <v>431.42</v>
          </cell>
          <cell r="AF29">
            <v>431.42</v>
          </cell>
          <cell r="AG29">
            <v>429.3</v>
          </cell>
          <cell r="AH29">
            <v>442.02</v>
          </cell>
          <cell r="AI29">
            <v>443.08</v>
          </cell>
          <cell r="AJ29">
            <v>449.44</v>
          </cell>
          <cell r="AK29">
            <v>449.44</v>
          </cell>
          <cell r="AL29">
            <v>449.44</v>
          </cell>
          <cell r="AM29">
            <v>440.96</v>
          </cell>
          <cell r="AN29">
            <v>443.08</v>
          </cell>
          <cell r="AO29">
            <v>440.96</v>
          </cell>
          <cell r="AP29">
            <v>443.08</v>
          </cell>
          <cell r="AQ29">
            <v>440.96</v>
          </cell>
          <cell r="AR29">
            <v>442.02</v>
          </cell>
          <cell r="AS29">
            <v>442.02</v>
          </cell>
          <cell r="AT29">
            <v>444.14</v>
          </cell>
          <cell r="AU29">
            <v>446.26</v>
          </cell>
          <cell r="AV29">
            <v>447.32</v>
          </cell>
          <cell r="AW29">
            <v>447.32</v>
          </cell>
          <cell r="AX29">
            <v>403.86</v>
          </cell>
          <cell r="AY29">
            <v>404.92</v>
          </cell>
          <cell r="AZ29">
            <v>408.1</v>
          </cell>
          <cell r="BA29">
            <v>408.1</v>
          </cell>
          <cell r="BB29">
            <v>415.52</v>
          </cell>
          <cell r="BC29">
            <v>417.64</v>
          </cell>
          <cell r="BD29">
            <v>418.7</v>
          </cell>
          <cell r="BE29">
            <v>416.58</v>
          </cell>
          <cell r="BF29">
            <v>416.58</v>
          </cell>
          <cell r="BG29">
            <v>415.52</v>
          </cell>
          <cell r="BH29">
            <v>416.58</v>
          </cell>
          <cell r="BI29">
            <v>413.4</v>
          </cell>
          <cell r="BJ29">
            <v>414.46</v>
          </cell>
          <cell r="BK29">
            <v>-5782.4500000000007</v>
          </cell>
          <cell r="BL29">
            <v>-5773.4500000000007</v>
          </cell>
          <cell r="BM29">
            <v>-5775.4500000000007</v>
          </cell>
          <cell r="BN29">
            <v>-5883.4500000000007</v>
          </cell>
          <cell r="BO29">
            <v>-5973.4500000000007</v>
          </cell>
          <cell r="BP29">
            <v>-6080.4500000000007</v>
          </cell>
          <cell r="BQ29">
            <v>-6175.4500000000007</v>
          </cell>
          <cell r="BR29">
            <v>-6282.4500000000007</v>
          </cell>
          <cell r="BS29">
            <v>-6373.4500000000007</v>
          </cell>
          <cell r="BT29">
            <v>-6459.4500000000007</v>
          </cell>
          <cell r="BU29">
            <v>-6562.4500000000007</v>
          </cell>
          <cell r="BV29">
            <v>-6667.4500000000007</v>
          </cell>
        </row>
        <row r="30">
          <cell r="D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</row>
        <row r="31">
          <cell r="A31"/>
          <cell r="D31" t="str">
            <v>ASSY HC Total W/O LTM</v>
          </cell>
          <cell r="Z31">
            <v>89</v>
          </cell>
          <cell r="AA31">
            <v>91</v>
          </cell>
          <cell r="AB31">
            <v>89</v>
          </cell>
          <cell r="AC31">
            <v>91</v>
          </cell>
          <cell r="AD31">
            <v>95</v>
          </cell>
          <cell r="AE31">
            <v>102</v>
          </cell>
          <cell r="AF31">
            <v>105</v>
          </cell>
          <cell r="AG31">
            <v>103</v>
          </cell>
          <cell r="AH31">
            <v>105</v>
          </cell>
          <cell r="AI31">
            <v>106</v>
          </cell>
          <cell r="AJ31">
            <v>110</v>
          </cell>
          <cell r="AK31">
            <v>110</v>
          </cell>
          <cell r="AL31">
            <v>112</v>
          </cell>
          <cell r="AM31">
            <v>112</v>
          </cell>
          <cell r="AN31">
            <v>115</v>
          </cell>
          <cell r="AO31">
            <v>115</v>
          </cell>
          <cell r="AP31">
            <v>118</v>
          </cell>
          <cell r="AQ31">
            <v>118</v>
          </cell>
          <cell r="AR31">
            <v>119</v>
          </cell>
          <cell r="AS31">
            <v>118</v>
          </cell>
          <cell r="AT31">
            <v>122</v>
          </cell>
          <cell r="AU31">
            <v>127</v>
          </cell>
          <cell r="AV31">
            <v>131</v>
          </cell>
          <cell r="AW31">
            <v>130</v>
          </cell>
          <cell r="AX31">
            <v>131</v>
          </cell>
          <cell r="AY31">
            <v>132</v>
          </cell>
          <cell r="AZ31">
            <v>132</v>
          </cell>
          <cell r="BA31">
            <v>132</v>
          </cell>
          <cell r="BB31">
            <v>140</v>
          </cell>
          <cell r="BC31">
            <v>140</v>
          </cell>
          <cell r="BD31">
            <v>140</v>
          </cell>
          <cell r="BE31">
            <v>140</v>
          </cell>
          <cell r="BF31">
            <v>142</v>
          </cell>
          <cell r="BG31">
            <v>143</v>
          </cell>
          <cell r="BH31">
            <v>143</v>
          </cell>
          <cell r="BI31">
            <v>143</v>
          </cell>
          <cell r="BJ31">
            <v>143</v>
          </cell>
          <cell r="BK31">
            <v>73</v>
          </cell>
          <cell r="BL31">
            <v>73</v>
          </cell>
          <cell r="BM31">
            <v>73</v>
          </cell>
          <cell r="BN31">
            <v>73</v>
          </cell>
          <cell r="BO31">
            <v>73</v>
          </cell>
          <cell r="BP31">
            <v>73</v>
          </cell>
          <cell r="BQ31">
            <v>73</v>
          </cell>
          <cell r="BR31">
            <v>73</v>
          </cell>
          <cell r="BS31">
            <v>73</v>
          </cell>
          <cell r="BT31">
            <v>73</v>
          </cell>
          <cell r="BU31">
            <v>73</v>
          </cell>
          <cell r="BV31">
            <v>73</v>
          </cell>
        </row>
        <row r="32">
          <cell r="A32"/>
          <cell r="D32" t="str">
            <v>ASSY Launch HC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>
            <v>6</v>
          </cell>
          <cell r="BL32">
            <v>6</v>
          </cell>
          <cell r="BM32">
            <v>6</v>
          </cell>
          <cell r="BN32">
            <v>6</v>
          </cell>
          <cell r="BO32">
            <v>6</v>
          </cell>
          <cell r="BP32">
            <v>6</v>
          </cell>
          <cell r="BQ32">
            <v>6</v>
          </cell>
          <cell r="BR32">
            <v>6</v>
          </cell>
          <cell r="BS32">
            <v>6</v>
          </cell>
          <cell r="BT32">
            <v>6</v>
          </cell>
          <cell r="BU32">
            <v>6</v>
          </cell>
          <cell r="BV32">
            <v>6</v>
          </cell>
        </row>
        <row r="33">
          <cell r="A33"/>
          <cell r="D33" t="str">
            <v>ASSY ELI</v>
          </cell>
          <cell r="Z33">
            <v>11</v>
          </cell>
          <cell r="AA33">
            <v>11</v>
          </cell>
          <cell r="AB33">
            <v>11</v>
          </cell>
          <cell r="AC33">
            <v>11</v>
          </cell>
          <cell r="AD33">
            <v>11</v>
          </cell>
          <cell r="AE33">
            <v>11</v>
          </cell>
          <cell r="AF33">
            <v>11</v>
          </cell>
          <cell r="AG33">
            <v>11</v>
          </cell>
          <cell r="AH33">
            <v>11</v>
          </cell>
          <cell r="AI33">
            <v>11</v>
          </cell>
          <cell r="AJ33">
            <v>11</v>
          </cell>
          <cell r="AK33">
            <v>11</v>
          </cell>
          <cell r="AL33">
            <v>11</v>
          </cell>
          <cell r="AM33">
            <v>11</v>
          </cell>
          <cell r="AN33">
            <v>11</v>
          </cell>
          <cell r="AO33">
            <v>11</v>
          </cell>
          <cell r="AP33">
            <v>11</v>
          </cell>
          <cell r="AQ33">
            <v>11</v>
          </cell>
          <cell r="AR33">
            <v>11</v>
          </cell>
          <cell r="AS33">
            <v>11</v>
          </cell>
          <cell r="AT33">
            <v>11</v>
          </cell>
          <cell r="AU33">
            <v>11</v>
          </cell>
          <cell r="AV33">
            <v>11</v>
          </cell>
          <cell r="AW33">
            <v>11</v>
          </cell>
          <cell r="AX33">
            <v>11</v>
          </cell>
          <cell r="AY33">
            <v>11</v>
          </cell>
          <cell r="AZ33">
            <v>11</v>
          </cell>
          <cell r="BA33">
            <v>11</v>
          </cell>
          <cell r="BB33">
            <v>11</v>
          </cell>
          <cell r="BC33">
            <v>11</v>
          </cell>
          <cell r="BD33">
            <v>11</v>
          </cell>
          <cell r="BE33">
            <v>11</v>
          </cell>
          <cell r="BF33">
            <v>11</v>
          </cell>
          <cell r="BG33">
            <v>11</v>
          </cell>
          <cell r="BH33">
            <v>11</v>
          </cell>
          <cell r="BI33">
            <v>11</v>
          </cell>
          <cell r="BJ33">
            <v>11</v>
          </cell>
          <cell r="BK33">
            <v>12</v>
          </cell>
          <cell r="BL33">
            <v>13</v>
          </cell>
          <cell r="BM33">
            <v>13</v>
          </cell>
          <cell r="BN33">
            <v>13</v>
          </cell>
          <cell r="BO33">
            <v>13</v>
          </cell>
          <cell r="BP33">
            <v>13</v>
          </cell>
          <cell r="BQ33">
            <v>13</v>
          </cell>
          <cell r="BR33">
            <v>13</v>
          </cell>
          <cell r="BS33">
            <v>13</v>
          </cell>
          <cell r="BT33">
            <v>13</v>
          </cell>
          <cell r="BU33">
            <v>13</v>
          </cell>
          <cell r="BV33">
            <v>13</v>
          </cell>
        </row>
        <row r="34">
          <cell r="A34"/>
          <cell r="D34" t="str">
            <v>Total ASSY DIR W/O ABS</v>
          </cell>
          <cell r="Z34">
            <v>100</v>
          </cell>
          <cell r="AA34">
            <v>102</v>
          </cell>
          <cell r="AB34">
            <v>100</v>
          </cell>
          <cell r="AC34">
            <v>102</v>
          </cell>
          <cell r="AD34">
            <v>106</v>
          </cell>
          <cell r="AE34">
            <v>113</v>
          </cell>
          <cell r="AF34">
            <v>116</v>
          </cell>
          <cell r="AG34">
            <v>114</v>
          </cell>
          <cell r="AH34">
            <v>116</v>
          </cell>
          <cell r="AI34">
            <v>117</v>
          </cell>
          <cell r="AJ34">
            <v>121</v>
          </cell>
          <cell r="AK34">
            <v>121</v>
          </cell>
          <cell r="AL34">
            <v>123</v>
          </cell>
          <cell r="AM34">
            <v>123</v>
          </cell>
          <cell r="AN34">
            <v>126</v>
          </cell>
          <cell r="AO34">
            <v>126</v>
          </cell>
          <cell r="AP34">
            <v>129</v>
          </cell>
          <cell r="AQ34">
            <v>129</v>
          </cell>
          <cell r="AR34">
            <v>130</v>
          </cell>
          <cell r="AS34">
            <v>129</v>
          </cell>
          <cell r="AT34">
            <v>133</v>
          </cell>
          <cell r="AU34">
            <v>138</v>
          </cell>
          <cell r="AV34">
            <v>142</v>
          </cell>
          <cell r="AW34">
            <v>141</v>
          </cell>
          <cell r="AX34">
            <v>142</v>
          </cell>
          <cell r="AY34">
            <v>143</v>
          </cell>
          <cell r="AZ34">
            <v>143</v>
          </cell>
          <cell r="BA34">
            <v>143</v>
          </cell>
          <cell r="BB34">
            <v>151</v>
          </cell>
          <cell r="BC34">
            <v>151</v>
          </cell>
          <cell r="BD34">
            <v>151</v>
          </cell>
          <cell r="BE34">
            <v>151</v>
          </cell>
          <cell r="BF34">
            <v>153</v>
          </cell>
          <cell r="BG34">
            <v>154</v>
          </cell>
          <cell r="BH34">
            <v>154</v>
          </cell>
          <cell r="BI34">
            <v>154</v>
          </cell>
          <cell r="BJ34">
            <v>154</v>
          </cell>
          <cell r="BK34">
            <v>9</v>
          </cell>
          <cell r="BL34">
            <v>9</v>
          </cell>
          <cell r="BM34">
            <v>9</v>
          </cell>
          <cell r="BN34">
            <v>9</v>
          </cell>
          <cell r="BO34">
            <v>9</v>
          </cell>
          <cell r="BP34">
            <v>9</v>
          </cell>
          <cell r="BQ34">
            <v>9</v>
          </cell>
          <cell r="BR34">
            <v>9</v>
          </cell>
          <cell r="BS34">
            <v>9</v>
          </cell>
          <cell r="BT34">
            <v>9</v>
          </cell>
          <cell r="BU34">
            <v>9</v>
          </cell>
          <cell r="BV34">
            <v>9</v>
          </cell>
        </row>
        <row r="35">
          <cell r="A35"/>
          <cell r="D35" t="str">
            <v>ASSY ABS %</v>
          </cell>
          <cell r="Z35">
            <v>0.06</v>
          </cell>
          <cell r="AA35">
            <v>0.06</v>
          </cell>
          <cell r="AB35">
            <v>0.06</v>
          </cell>
          <cell r="AC35">
            <v>0.06</v>
          </cell>
          <cell r="AD35">
            <v>0.06</v>
          </cell>
          <cell r="AE35">
            <v>0.06</v>
          </cell>
          <cell r="AF35">
            <v>0.06</v>
          </cell>
          <cell r="AG35">
            <v>0.06</v>
          </cell>
          <cell r="AH35">
            <v>0.06</v>
          </cell>
          <cell r="AI35">
            <v>0.06</v>
          </cell>
          <cell r="AJ35">
            <v>0.06</v>
          </cell>
          <cell r="AK35">
            <v>0.06</v>
          </cell>
          <cell r="AL35">
            <v>0.06</v>
          </cell>
          <cell r="AM35">
            <v>0.06</v>
          </cell>
          <cell r="AN35">
            <v>0.06</v>
          </cell>
          <cell r="AO35">
            <v>0.06</v>
          </cell>
          <cell r="AP35">
            <v>0.06</v>
          </cell>
          <cell r="AQ35">
            <v>0.06</v>
          </cell>
          <cell r="AR35">
            <v>0.06</v>
          </cell>
          <cell r="AS35">
            <v>0.06</v>
          </cell>
          <cell r="AT35">
            <v>0.06</v>
          </cell>
          <cell r="AU35">
            <v>0.06</v>
          </cell>
          <cell r="AV35">
            <v>0.06</v>
          </cell>
          <cell r="AW35">
            <v>0.06</v>
          </cell>
          <cell r="AX35">
            <v>0.06</v>
          </cell>
          <cell r="AY35">
            <v>0.06</v>
          </cell>
          <cell r="AZ35">
            <v>0.06</v>
          </cell>
          <cell r="BA35">
            <v>0.06</v>
          </cell>
          <cell r="BB35">
            <v>0.06</v>
          </cell>
          <cell r="BC35">
            <v>0.06</v>
          </cell>
          <cell r="BD35">
            <v>0.06</v>
          </cell>
          <cell r="BE35">
            <v>0.06</v>
          </cell>
          <cell r="BF35">
            <v>0.06</v>
          </cell>
          <cell r="BG35">
            <v>0.06</v>
          </cell>
          <cell r="BH35">
            <v>0.06</v>
          </cell>
          <cell r="BI35">
            <v>0.06</v>
          </cell>
          <cell r="BJ35">
            <v>0.06</v>
          </cell>
          <cell r="BK35">
            <v>0.12328767123287671</v>
          </cell>
          <cell r="BL35">
            <v>0.12328767123287671</v>
          </cell>
          <cell r="BM35">
            <v>0.12328767123287671</v>
          </cell>
          <cell r="BN35">
            <v>0.12328767123287671</v>
          </cell>
          <cell r="BO35">
            <v>0.12328767123287671</v>
          </cell>
          <cell r="BP35">
            <v>0.12328767123287671</v>
          </cell>
          <cell r="BQ35">
            <v>0.12328767123287671</v>
          </cell>
          <cell r="BR35">
            <v>0.12328767123287671</v>
          </cell>
          <cell r="BS35">
            <v>0.12328767123287671</v>
          </cell>
          <cell r="BT35">
            <v>0.12328767123287671</v>
          </cell>
          <cell r="BU35">
            <v>0.12328767123287671</v>
          </cell>
          <cell r="BV35">
            <v>0.12328767123287671</v>
          </cell>
        </row>
        <row r="36">
          <cell r="A36"/>
          <cell r="D36" t="str">
            <v>Total ASSY DIR WITH ABS</v>
          </cell>
          <cell r="Z36">
            <v>106</v>
          </cell>
          <cell r="AA36">
            <v>108.12</v>
          </cell>
          <cell r="AB36">
            <v>106</v>
          </cell>
          <cell r="AC36">
            <v>108.12</v>
          </cell>
          <cell r="AD36">
            <v>112.36</v>
          </cell>
          <cell r="AE36">
            <v>119.78</v>
          </cell>
          <cell r="AF36">
            <v>122.96</v>
          </cell>
          <cell r="AG36">
            <v>120.84</v>
          </cell>
          <cell r="AH36">
            <v>122.96</v>
          </cell>
          <cell r="AI36">
            <v>124.02</v>
          </cell>
          <cell r="AJ36">
            <v>128.26</v>
          </cell>
          <cell r="AK36">
            <v>128.26</v>
          </cell>
          <cell r="AL36">
            <v>130.38</v>
          </cell>
          <cell r="AM36">
            <v>130.38</v>
          </cell>
          <cell r="AN36">
            <v>133.56</v>
          </cell>
          <cell r="AO36">
            <v>133.56</v>
          </cell>
          <cell r="AP36">
            <v>136.74</v>
          </cell>
          <cell r="AQ36">
            <v>136.74</v>
          </cell>
          <cell r="AR36">
            <v>137.80000000000001</v>
          </cell>
          <cell r="AS36">
            <v>136.74</v>
          </cell>
          <cell r="AT36">
            <v>140.97999999999999</v>
          </cell>
          <cell r="AU36">
            <v>146.28</v>
          </cell>
          <cell r="AV36">
            <v>150.52000000000001</v>
          </cell>
          <cell r="AW36">
            <v>149.46</v>
          </cell>
          <cell r="AX36">
            <v>150.52000000000001</v>
          </cell>
          <cell r="AY36">
            <v>151.58000000000001</v>
          </cell>
          <cell r="AZ36">
            <v>151.58000000000001</v>
          </cell>
          <cell r="BA36">
            <v>151.58000000000001</v>
          </cell>
          <cell r="BB36">
            <v>160.06</v>
          </cell>
          <cell r="BC36">
            <v>160.06</v>
          </cell>
          <cell r="BD36">
            <v>160.06</v>
          </cell>
          <cell r="BE36">
            <v>160.06</v>
          </cell>
          <cell r="BF36">
            <v>162.18</v>
          </cell>
          <cell r="BG36">
            <v>163.24</v>
          </cell>
          <cell r="BH36">
            <v>163.24</v>
          </cell>
          <cell r="BI36">
            <v>163.24</v>
          </cell>
          <cell r="BJ36">
            <v>163.24</v>
          </cell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</row>
        <row r="37">
          <cell r="A37"/>
          <cell r="D37" t="str">
            <v>ASSY Available HC FORMULA TO CORRECT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>
            <v>46</v>
          </cell>
          <cell r="BL37">
            <v>45</v>
          </cell>
          <cell r="BM37">
            <v>45</v>
          </cell>
          <cell r="BN37">
            <v>45</v>
          </cell>
          <cell r="BO37">
            <v>45</v>
          </cell>
          <cell r="BP37">
            <v>45</v>
          </cell>
          <cell r="BQ37">
            <v>45</v>
          </cell>
          <cell r="BR37">
            <v>45</v>
          </cell>
          <cell r="BS37">
            <v>45</v>
          </cell>
          <cell r="BT37">
            <v>45</v>
          </cell>
          <cell r="BU37">
            <v>45</v>
          </cell>
          <cell r="BV37">
            <v>45</v>
          </cell>
        </row>
        <row r="38">
          <cell r="A38"/>
          <cell r="D38" t="str">
            <v>ASSY DIFF</v>
          </cell>
          <cell r="Z38">
            <v>-106</v>
          </cell>
          <cell r="AA38">
            <v>-108.12</v>
          </cell>
          <cell r="AB38">
            <v>-106</v>
          </cell>
          <cell r="AC38">
            <v>-108.12</v>
          </cell>
          <cell r="AD38">
            <v>-112.36</v>
          </cell>
          <cell r="AE38">
            <v>-119.78</v>
          </cell>
          <cell r="AF38">
            <v>-122.96</v>
          </cell>
          <cell r="AG38">
            <v>-120.84</v>
          </cell>
          <cell r="AH38">
            <v>-122.96</v>
          </cell>
          <cell r="AI38">
            <v>-124.02</v>
          </cell>
          <cell r="AJ38">
            <v>-128.26</v>
          </cell>
          <cell r="AK38">
            <v>-128.26</v>
          </cell>
          <cell r="AL38">
            <v>-130.38</v>
          </cell>
          <cell r="AM38">
            <v>-130.38</v>
          </cell>
          <cell r="AN38">
            <v>-133.56</v>
          </cell>
          <cell r="AO38">
            <v>-133.56</v>
          </cell>
          <cell r="AP38">
            <v>-136.74</v>
          </cell>
          <cell r="AQ38">
            <v>-136.74</v>
          </cell>
          <cell r="AR38">
            <v>-137.80000000000001</v>
          </cell>
          <cell r="AS38">
            <v>-136.74</v>
          </cell>
          <cell r="AT38">
            <v>-140.97999999999999</v>
          </cell>
          <cell r="AU38">
            <v>-146.28</v>
          </cell>
          <cell r="AV38">
            <v>-150.52000000000001</v>
          </cell>
          <cell r="AW38">
            <v>-149.46</v>
          </cell>
          <cell r="AX38">
            <v>-150.52000000000001</v>
          </cell>
          <cell r="AY38">
            <v>-151.58000000000001</v>
          </cell>
          <cell r="AZ38">
            <v>-151.58000000000001</v>
          </cell>
          <cell r="BA38">
            <v>-151.58000000000001</v>
          </cell>
          <cell r="BB38">
            <v>-160.06</v>
          </cell>
          <cell r="BC38">
            <v>-160.06</v>
          </cell>
          <cell r="BD38">
            <v>-160.06</v>
          </cell>
          <cell r="BE38">
            <v>-160.06</v>
          </cell>
          <cell r="BF38">
            <v>-162.18</v>
          </cell>
          <cell r="BG38">
            <v>-163.24</v>
          </cell>
          <cell r="BH38">
            <v>-163.24</v>
          </cell>
          <cell r="BI38">
            <v>-163.24</v>
          </cell>
          <cell r="BJ38">
            <v>-163.24</v>
          </cell>
          <cell r="BK38">
            <v>95</v>
          </cell>
          <cell r="BL38">
            <v>94</v>
          </cell>
          <cell r="BM38">
            <v>83</v>
          </cell>
          <cell r="BN38">
            <v>83</v>
          </cell>
          <cell r="BO38">
            <v>83</v>
          </cell>
          <cell r="BP38">
            <v>83</v>
          </cell>
          <cell r="BQ38">
            <v>83</v>
          </cell>
          <cell r="BR38">
            <v>83</v>
          </cell>
          <cell r="BS38">
            <v>83</v>
          </cell>
          <cell r="BT38">
            <v>83</v>
          </cell>
          <cell r="BU38">
            <v>83</v>
          </cell>
          <cell r="BV38">
            <v>86</v>
          </cell>
        </row>
        <row r="39">
          <cell r="A39"/>
          <cell r="D39" t="str">
            <v>KIA</v>
          </cell>
          <cell r="Z39">
            <v>3</v>
          </cell>
          <cell r="AA39">
            <v>3</v>
          </cell>
          <cell r="AB39">
            <v>2</v>
          </cell>
          <cell r="AC39">
            <v>2</v>
          </cell>
          <cell r="AD39">
            <v>2</v>
          </cell>
          <cell r="AE39">
            <v>3</v>
          </cell>
          <cell r="AF39">
            <v>2</v>
          </cell>
          <cell r="AG39">
            <v>3</v>
          </cell>
          <cell r="AH39">
            <v>3</v>
          </cell>
          <cell r="AI39">
            <v>2</v>
          </cell>
          <cell r="AJ39">
            <v>2</v>
          </cell>
          <cell r="AK39">
            <v>2</v>
          </cell>
          <cell r="AL39">
            <v>2</v>
          </cell>
          <cell r="AM39">
            <v>2</v>
          </cell>
          <cell r="AN39">
            <v>2</v>
          </cell>
          <cell r="AO39">
            <v>2</v>
          </cell>
          <cell r="AP39">
            <v>2</v>
          </cell>
          <cell r="AQ39">
            <v>2</v>
          </cell>
          <cell r="AR39">
            <v>2</v>
          </cell>
          <cell r="AS39">
            <v>2</v>
          </cell>
          <cell r="AT39">
            <v>2</v>
          </cell>
          <cell r="AU39">
            <v>2</v>
          </cell>
          <cell r="AV39">
            <v>2</v>
          </cell>
          <cell r="AW39">
            <v>2</v>
          </cell>
          <cell r="AX39">
            <v>2</v>
          </cell>
          <cell r="AY39">
            <v>2</v>
          </cell>
          <cell r="AZ39">
            <v>2</v>
          </cell>
          <cell r="BA39">
            <v>2</v>
          </cell>
          <cell r="BB39">
            <v>2</v>
          </cell>
          <cell r="BC39">
            <v>2</v>
          </cell>
          <cell r="BD39">
            <v>2</v>
          </cell>
          <cell r="BE39">
            <v>2</v>
          </cell>
          <cell r="BF39">
            <v>2</v>
          </cell>
          <cell r="BG39">
            <v>2</v>
          </cell>
          <cell r="BH39">
            <v>2</v>
          </cell>
          <cell r="BI39">
            <v>2</v>
          </cell>
          <cell r="BJ39">
            <v>2</v>
          </cell>
          <cell r="BK39">
            <v>6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6</v>
          </cell>
          <cell r="BU39">
            <v>6</v>
          </cell>
          <cell r="BV39">
            <v>6</v>
          </cell>
        </row>
        <row r="40">
          <cell r="A40"/>
          <cell r="D40" t="str">
            <v>CDPO</v>
          </cell>
          <cell r="Z40">
            <v>10</v>
          </cell>
          <cell r="AA40">
            <v>11</v>
          </cell>
          <cell r="AB40">
            <v>10</v>
          </cell>
          <cell r="AC40">
            <v>10</v>
          </cell>
          <cell r="AD40">
            <v>11</v>
          </cell>
          <cell r="AE40">
            <v>10</v>
          </cell>
          <cell r="AF40">
            <v>11</v>
          </cell>
          <cell r="AG40">
            <v>11</v>
          </cell>
          <cell r="AH40">
            <v>11</v>
          </cell>
          <cell r="AI40">
            <v>10</v>
          </cell>
          <cell r="AJ40">
            <v>11</v>
          </cell>
          <cell r="AK40">
            <v>11</v>
          </cell>
          <cell r="AL40">
            <v>11</v>
          </cell>
          <cell r="AM40">
            <v>11</v>
          </cell>
          <cell r="AN40">
            <v>11</v>
          </cell>
          <cell r="AO40">
            <v>11</v>
          </cell>
          <cell r="AP40">
            <v>11</v>
          </cell>
          <cell r="AQ40">
            <v>11</v>
          </cell>
          <cell r="AR40">
            <v>11</v>
          </cell>
          <cell r="AS40">
            <v>11</v>
          </cell>
          <cell r="AT40">
            <v>10</v>
          </cell>
          <cell r="AU40">
            <v>10</v>
          </cell>
          <cell r="AV40">
            <v>10</v>
          </cell>
          <cell r="AW40">
            <v>9</v>
          </cell>
          <cell r="AX40">
            <v>9</v>
          </cell>
          <cell r="AY40">
            <v>5</v>
          </cell>
          <cell r="AZ40">
            <v>5</v>
          </cell>
          <cell r="BA40">
            <v>5</v>
          </cell>
          <cell r="BB40">
            <v>6</v>
          </cell>
          <cell r="BC40">
            <v>5</v>
          </cell>
          <cell r="BD40">
            <v>5</v>
          </cell>
          <cell r="BE40">
            <v>5</v>
          </cell>
          <cell r="BF40">
            <v>5</v>
          </cell>
          <cell r="BG40">
            <v>5</v>
          </cell>
          <cell r="BH40">
            <v>5</v>
          </cell>
          <cell r="BI40">
            <v>5</v>
          </cell>
          <cell r="BJ40">
            <v>5</v>
          </cell>
          <cell r="BK40">
            <v>3</v>
          </cell>
          <cell r="BL40">
            <v>3</v>
          </cell>
          <cell r="BM40">
            <v>3</v>
          </cell>
          <cell r="BN40">
            <v>3</v>
          </cell>
          <cell r="BO40">
            <v>3</v>
          </cell>
          <cell r="BP40">
            <v>3</v>
          </cell>
          <cell r="BQ40">
            <v>3</v>
          </cell>
          <cell r="BR40">
            <v>3</v>
          </cell>
          <cell r="BS40">
            <v>3</v>
          </cell>
          <cell r="BT40">
            <v>3</v>
          </cell>
          <cell r="BU40">
            <v>3</v>
          </cell>
          <cell r="BV40">
            <v>6</v>
          </cell>
        </row>
        <row r="41">
          <cell r="A41"/>
          <cell r="D41" t="str">
            <v>JLR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3</v>
          </cell>
          <cell r="BL41">
            <v>3</v>
          </cell>
          <cell r="BM41">
            <v>3</v>
          </cell>
          <cell r="BN41">
            <v>3</v>
          </cell>
          <cell r="BO41">
            <v>3</v>
          </cell>
          <cell r="BP41">
            <v>3</v>
          </cell>
          <cell r="BQ41">
            <v>3</v>
          </cell>
          <cell r="BR41">
            <v>3</v>
          </cell>
          <cell r="BS41">
            <v>3</v>
          </cell>
          <cell r="BT41">
            <v>3</v>
          </cell>
          <cell r="BU41">
            <v>3</v>
          </cell>
          <cell r="BV41">
            <v>3</v>
          </cell>
        </row>
        <row r="42">
          <cell r="A42"/>
          <cell r="D42" t="str">
            <v>MMA</v>
          </cell>
          <cell r="Z42">
            <v>41</v>
          </cell>
          <cell r="AA42">
            <v>43</v>
          </cell>
          <cell r="AB42">
            <v>43</v>
          </cell>
          <cell r="AC42">
            <v>45</v>
          </cell>
          <cell r="AD42">
            <v>48</v>
          </cell>
          <cell r="AE42">
            <v>55</v>
          </cell>
          <cell r="AF42">
            <v>57</v>
          </cell>
          <cell r="AG42">
            <v>55</v>
          </cell>
          <cell r="AH42">
            <v>56</v>
          </cell>
          <cell r="AI42">
            <v>56</v>
          </cell>
          <cell r="AJ42">
            <v>56</v>
          </cell>
          <cell r="AK42">
            <v>58</v>
          </cell>
          <cell r="AL42">
            <v>57</v>
          </cell>
          <cell r="AM42">
            <v>58</v>
          </cell>
          <cell r="AN42">
            <v>57</v>
          </cell>
          <cell r="AO42">
            <v>57</v>
          </cell>
          <cell r="AP42">
            <v>57</v>
          </cell>
          <cell r="AQ42">
            <v>57</v>
          </cell>
          <cell r="AR42">
            <v>57</v>
          </cell>
          <cell r="AS42">
            <v>57</v>
          </cell>
          <cell r="AT42">
            <v>57</v>
          </cell>
          <cell r="AU42">
            <v>64</v>
          </cell>
          <cell r="AV42">
            <v>67</v>
          </cell>
          <cell r="AW42">
            <v>67</v>
          </cell>
          <cell r="AX42">
            <v>67</v>
          </cell>
          <cell r="AY42">
            <v>67</v>
          </cell>
          <cell r="AZ42">
            <v>67</v>
          </cell>
          <cell r="BA42">
            <v>67</v>
          </cell>
          <cell r="BB42">
            <v>67</v>
          </cell>
          <cell r="BC42">
            <v>67</v>
          </cell>
          <cell r="BD42">
            <v>67</v>
          </cell>
          <cell r="BE42">
            <v>67</v>
          </cell>
          <cell r="BF42">
            <v>67</v>
          </cell>
          <cell r="BG42">
            <v>67</v>
          </cell>
          <cell r="BH42">
            <v>67</v>
          </cell>
          <cell r="BI42">
            <v>67</v>
          </cell>
          <cell r="BJ42">
            <v>67</v>
          </cell>
          <cell r="BK42">
            <v>44</v>
          </cell>
          <cell r="BL42">
            <v>44</v>
          </cell>
          <cell r="BM42">
            <v>33</v>
          </cell>
          <cell r="BN42">
            <v>33</v>
          </cell>
          <cell r="BO42">
            <v>33</v>
          </cell>
          <cell r="BP42">
            <v>33</v>
          </cell>
          <cell r="BQ42">
            <v>33</v>
          </cell>
          <cell r="BR42">
            <v>33</v>
          </cell>
          <cell r="BS42">
            <v>33</v>
          </cell>
          <cell r="BT42">
            <v>33</v>
          </cell>
          <cell r="BU42">
            <v>33</v>
          </cell>
          <cell r="BV42">
            <v>33</v>
          </cell>
        </row>
        <row r="43">
          <cell r="A43"/>
          <cell r="D43" t="str">
            <v>Opel</v>
          </cell>
          <cell r="Z43">
            <v>4</v>
          </cell>
          <cell r="AA43">
            <v>4</v>
          </cell>
          <cell r="AB43">
            <v>4</v>
          </cell>
          <cell r="AC43">
            <v>4</v>
          </cell>
          <cell r="AD43">
            <v>4</v>
          </cell>
          <cell r="AE43">
            <v>4</v>
          </cell>
          <cell r="AF43">
            <v>4</v>
          </cell>
          <cell r="AG43">
            <v>4</v>
          </cell>
          <cell r="AH43">
            <v>4</v>
          </cell>
          <cell r="AI43">
            <v>4</v>
          </cell>
          <cell r="AJ43">
            <v>4</v>
          </cell>
          <cell r="AK43">
            <v>4</v>
          </cell>
          <cell r="AL43">
            <v>5</v>
          </cell>
          <cell r="AM43">
            <v>4</v>
          </cell>
          <cell r="AN43">
            <v>6</v>
          </cell>
          <cell r="AO43">
            <v>6</v>
          </cell>
          <cell r="AP43">
            <v>6</v>
          </cell>
          <cell r="AQ43">
            <v>5</v>
          </cell>
          <cell r="AR43">
            <v>5</v>
          </cell>
          <cell r="AS43">
            <v>5</v>
          </cell>
          <cell r="AT43">
            <v>8</v>
          </cell>
          <cell r="AU43">
            <v>7</v>
          </cell>
          <cell r="AV43">
            <v>8</v>
          </cell>
          <cell r="AW43">
            <v>7</v>
          </cell>
          <cell r="AX43">
            <v>8</v>
          </cell>
          <cell r="AY43">
            <v>8</v>
          </cell>
          <cell r="AZ43">
            <v>8</v>
          </cell>
          <cell r="BA43">
            <v>8</v>
          </cell>
          <cell r="BB43">
            <v>8</v>
          </cell>
          <cell r="BC43">
            <v>8</v>
          </cell>
          <cell r="BD43">
            <v>8</v>
          </cell>
          <cell r="BE43">
            <v>8</v>
          </cell>
          <cell r="BF43">
            <v>8</v>
          </cell>
          <cell r="BG43">
            <v>8</v>
          </cell>
          <cell r="BH43">
            <v>8</v>
          </cell>
          <cell r="BI43">
            <v>8</v>
          </cell>
          <cell r="BJ43">
            <v>8</v>
          </cell>
          <cell r="BK43">
            <v>6</v>
          </cell>
          <cell r="BL43">
            <v>6</v>
          </cell>
          <cell r="BM43">
            <v>6</v>
          </cell>
          <cell r="BN43">
            <v>6</v>
          </cell>
          <cell r="BO43">
            <v>6</v>
          </cell>
          <cell r="BP43">
            <v>6</v>
          </cell>
          <cell r="BQ43">
            <v>6</v>
          </cell>
          <cell r="BR43">
            <v>6</v>
          </cell>
          <cell r="BS43">
            <v>6</v>
          </cell>
          <cell r="BT43">
            <v>6</v>
          </cell>
          <cell r="BU43">
            <v>6</v>
          </cell>
          <cell r="BV43">
            <v>6</v>
          </cell>
        </row>
        <row r="44">
          <cell r="A44"/>
          <cell r="D44" t="str">
            <v>Volvo (V54X)</v>
          </cell>
          <cell r="Z44">
            <v>26</v>
          </cell>
          <cell r="AA44">
            <v>26</v>
          </cell>
          <cell r="AB44">
            <v>26</v>
          </cell>
          <cell r="AC44">
            <v>26</v>
          </cell>
          <cell r="AD44">
            <v>26</v>
          </cell>
          <cell r="AE44">
            <v>26</v>
          </cell>
          <cell r="AF44">
            <v>26</v>
          </cell>
          <cell r="AG44">
            <v>26</v>
          </cell>
          <cell r="AH44">
            <v>26</v>
          </cell>
          <cell r="AI44">
            <v>26</v>
          </cell>
          <cell r="AJ44">
            <v>26</v>
          </cell>
          <cell r="AK44">
            <v>26</v>
          </cell>
          <cell r="AL44">
            <v>26</v>
          </cell>
          <cell r="AM44">
            <v>26</v>
          </cell>
          <cell r="AN44">
            <v>26</v>
          </cell>
          <cell r="AO44">
            <v>26</v>
          </cell>
          <cell r="AP44">
            <v>26</v>
          </cell>
          <cell r="AQ44">
            <v>26</v>
          </cell>
          <cell r="AR44">
            <v>26</v>
          </cell>
          <cell r="AS44">
            <v>26</v>
          </cell>
          <cell r="AT44">
            <v>26</v>
          </cell>
          <cell r="AU44">
            <v>26</v>
          </cell>
          <cell r="AV44">
            <v>26</v>
          </cell>
          <cell r="AW44">
            <v>26</v>
          </cell>
          <cell r="AX44">
            <v>26</v>
          </cell>
          <cell r="AY44">
            <v>26</v>
          </cell>
          <cell r="AZ44">
            <v>26</v>
          </cell>
          <cell r="BA44">
            <v>26</v>
          </cell>
          <cell r="BB44">
            <v>26</v>
          </cell>
          <cell r="BC44">
            <v>26</v>
          </cell>
          <cell r="BD44">
            <v>26</v>
          </cell>
          <cell r="BE44">
            <v>26</v>
          </cell>
          <cell r="BF44">
            <v>26</v>
          </cell>
          <cell r="BG44">
            <v>26</v>
          </cell>
          <cell r="BH44">
            <v>26</v>
          </cell>
          <cell r="BI44">
            <v>26</v>
          </cell>
          <cell r="BJ44">
            <v>26</v>
          </cell>
          <cell r="BK44">
            <v>6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BT44">
            <v>6</v>
          </cell>
          <cell r="BU44">
            <v>6</v>
          </cell>
          <cell r="BV44">
            <v>6</v>
          </cell>
        </row>
        <row r="45">
          <cell r="A45"/>
          <cell r="D45" t="str">
            <v>Volvo ROHR NEW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>
            <v>1</v>
          </cell>
          <cell r="AS45">
            <v>1</v>
          </cell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1</v>
          </cell>
          <cell r="AY45">
            <v>1</v>
          </cell>
          <cell r="AZ45">
            <v>1</v>
          </cell>
          <cell r="BA45">
            <v>1</v>
          </cell>
          <cell r="BB45">
            <v>1</v>
          </cell>
          <cell r="BC45">
            <v>1</v>
          </cell>
          <cell r="BD45">
            <v>1</v>
          </cell>
          <cell r="BE45">
            <v>1</v>
          </cell>
          <cell r="BF45">
            <v>3</v>
          </cell>
          <cell r="BG45">
            <v>3</v>
          </cell>
          <cell r="BH45">
            <v>3</v>
          </cell>
          <cell r="BI45">
            <v>3</v>
          </cell>
          <cell r="BJ45">
            <v>3</v>
          </cell>
          <cell r="BK45">
            <v>3</v>
          </cell>
          <cell r="BL45">
            <v>3</v>
          </cell>
          <cell r="BM45">
            <v>3</v>
          </cell>
          <cell r="BN45">
            <v>3</v>
          </cell>
          <cell r="BO45">
            <v>3</v>
          </cell>
          <cell r="BP45">
            <v>3</v>
          </cell>
          <cell r="BQ45">
            <v>3</v>
          </cell>
          <cell r="BR45">
            <v>3</v>
          </cell>
          <cell r="BS45">
            <v>3</v>
          </cell>
          <cell r="BT45">
            <v>3</v>
          </cell>
          <cell r="BU45">
            <v>3</v>
          </cell>
          <cell r="BV45">
            <v>3</v>
          </cell>
        </row>
        <row r="46">
          <cell r="A46"/>
          <cell r="D46" t="str">
            <v>Volvo EX30 FHR</v>
          </cell>
          <cell r="Z46">
            <v>3</v>
          </cell>
          <cell r="AA46">
            <v>2</v>
          </cell>
          <cell r="AB46">
            <v>2</v>
          </cell>
          <cell r="AC46">
            <v>2</v>
          </cell>
          <cell r="AD46">
            <v>2</v>
          </cell>
          <cell r="AE46">
            <v>2</v>
          </cell>
          <cell r="AF46">
            <v>3</v>
          </cell>
          <cell r="AG46">
            <v>2</v>
          </cell>
          <cell r="AH46">
            <v>3</v>
          </cell>
          <cell r="AI46">
            <v>2</v>
          </cell>
          <cell r="AJ46">
            <v>3</v>
          </cell>
          <cell r="AK46">
            <v>2</v>
          </cell>
          <cell r="AL46">
            <v>3</v>
          </cell>
          <cell r="AM46">
            <v>2</v>
          </cell>
          <cell r="AN46">
            <v>3</v>
          </cell>
          <cell r="AO46">
            <v>2</v>
          </cell>
          <cell r="AP46">
            <v>3</v>
          </cell>
          <cell r="AQ46">
            <v>2</v>
          </cell>
          <cell r="AR46">
            <v>3</v>
          </cell>
          <cell r="AS46">
            <v>2</v>
          </cell>
          <cell r="AT46">
            <v>2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</row>
        <row r="47">
          <cell r="A47"/>
          <cell r="D47" t="str">
            <v>Volvo GPA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</v>
          </cell>
          <cell r="AJ47">
            <v>6</v>
          </cell>
          <cell r="AK47">
            <v>5</v>
          </cell>
          <cell r="AL47">
            <v>6</v>
          </cell>
          <cell r="AM47">
            <v>6</v>
          </cell>
          <cell r="AN47">
            <v>7</v>
          </cell>
          <cell r="AO47">
            <v>8</v>
          </cell>
          <cell r="AP47">
            <v>10</v>
          </cell>
          <cell r="AQ47">
            <v>11</v>
          </cell>
          <cell r="AR47">
            <v>11</v>
          </cell>
          <cell r="AS47">
            <v>11</v>
          </cell>
          <cell r="AT47">
            <v>13</v>
          </cell>
          <cell r="AU47">
            <v>13</v>
          </cell>
          <cell r="AV47">
            <v>13</v>
          </cell>
          <cell r="AW47">
            <v>14</v>
          </cell>
          <cell r="AX47">
            <v>14</v>
          </cell>
          <cell r="AY47">
            <v>19</v>
          </cell>
          <cell r="AZ47">
            <v>19</v>
          </cell>
          <cell r="BA47">
            <v>19</v>
          </cell>
          <cell r="BB47">
            <v>26</v>
          </cell>
          <cell r="BC47">
            <v>26</v>
          </cell>
          <cell r="BD47">
            <v>26</v>
          </cell>
          <cell r="BE47">
            <v>26</v>
          </cell>
          <cell r="BF47">
            <v>26</v>
          </cell>
          <cell r="BG47">
            <v>27</v>
          </cell>
          <cell r="BH47">
            <v>27</v>
          </cell>
          <cell r="BI47">
            <v>27</v>
          </cell>
          <cell r="BJ47">
            <v>27</v>
          </cell>
          <cell r="BK47">
            <v>20</v>
          </cell>
          <cell r="BL47">
            <v>19</v>
          </cell>
          <cell r="BM47">
            <v>19</v>
          </cell>
          <cell r="BN47">
            <v>19</v>
          </cell>
          <cell r="BO47">
            <v>19</v>
          </cell>
          <cell r="BP47">
            <v>19</v>
          </cell>
          <cell r="BQ47">
            <v>19</v>
          </cell>
          <cell r="BR47">
            <v>19</v>
          </cell>
          <cell r="BS47">
            <v>19</v>
          </cell>
          <cell r="BT47">
            <v>19</v>
          </cell>
          <cell r="BU47">
            <v>19</v>
          </cell>
          <cell r="BV47">
            <v>19</v>
          </cell>
        </row>
        <row r="48">
          <cell r="A48"/>
          <cell r="D48" t="str">
            <v>JLR EMA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2</v>
          </cell>
          <cell r="AR48">
            <v>2</v>
          </cell>
          <cell r="AS48">
            <v>2</v>
          </cell>
          <cell r="AT48">
            <v>2</v>
          </cell>
          <cell r="AU48">
            <v>2</v>
          </cell>
          <cell r="AV48">
            <v>2</v>
          </cell>
          <cell r="AW48">
            <v>2</v>
          </cell>
          <cell r="AX48">
            <v>2</v>
          </cell>
          <cell r="AY48">
            <v>2</v>
          </cell>
          <cell r="AZ48">
            <v>2</v>
          </cell>
          <cell r="BA48">
            <v>2</v>
          </cell>
          <cell r="BB48">
            <v>2</v>
          </cell>
          <cell r="BC48">
            <v>3</v>
          </cell>
          <cell r="BD48">
            <v>3</v>
          </cell>
          <cell r="BE48">
            <v>3</v>
          </cell>
          <cell r="BF48">
            <v>3</v>
          </cell>
          <cell r="BG48">
            <v>3</v>
          </cell>
          <cell r="BH48">
            <v>3</v>
          </cell>
          <cell r="BI48">
            <v>3</v>
          </cell>
          <cell r="BJ48">
            <v>3</v>
          </cell>
          <cell r="BK48">
            <v>3</v>
          </cell>
          <cell r="BL48">
            <v>3</v>
          </cell>
          <cell r="BM48">
            <v>3</v>
          </cell>
          <cell r="BN48">
            <v>3</v>
          </cell>
          <cell r="BO48">
            <v>3</v>
          </cell>
          <cell r="BP48">
            <v>3</v>
          </cell>
          <cell r="BQ48">
            <v>3</v>
          </cell>
          <cell r="BR48">
            <v>3</v>
          </cell>
          <cell r="BS48">
            <v>3</v>
          </cell>
          <cell r="BT48">
            <v>3</v>
          </cell>
          <cell r="BU48">
            <v>3</v>
          </cell>
          <cell r="BV48">
            <v>3</v>
          </cell>
        </row>
        <row r="49">
          <cell r="A49"/>
          <cell r="D49" t="str">
            <v>ASSY Delta</v>
          </cell>
          <cell r="Z49">
            <v>106</v>
          </cell>
          <cell r="AA49">
            <v>108.12</v>
          </cell>
          <cell r="AB49">
            <v>106</v>
          </cell>
          <cell r="AC49">
            <v>108.12</v>
          </cell>
          <cell r="AD49">
            <v>112.36</v>
          </cell>
          <cell r="AE49">
            <v>119.78</v>
          </cell>
          <cell r="AF49">
            <v>122.96</v>
          </cell>
          <cell r="AG49">
            <v>120.84</v>
          </cell>
          <cell r="AH49">
            <v>122.96</v>
          </cell>
          <cell r="AI49">
            <v>124.02</v>
          </cell>
          <cell r="AJ49">
            <v>128.26</v>
          </cell>
          <cell r="AK49">
            <v>128.26</v>
          </cell>
          <cell r="AL49">
            <v>130.38</v>
          </cell>
          <cell r="AM49">
            <v>130.38</v>
          </cell>
          <cell r="AN49">
            <v>133.56</v>
          </cell>
          <cell r="AO49">
            <v>133.56</v>
          </cell>
          <cell r="AP49">
            <v>136.74</v>
          </cell>
          <cell r="AQ49">
            <v>136.74</v>
          </cell>
          <cell r="AR49">
            <v>137.80000000000001</v>
          </cell>
          <cell r="AS49">
            <v>136.74</v>
          </cell>
          <cell r="AT49">
            <v>140.97999999999999</v>
          </cell>
          <cell r="AU49">
            <v>146.28</v>
          </cell>
          <cell r="AV49">
            <v>150.52000000000001</v>
          </cell>
          <cell r="AW49">
            <v>149.46</v>
          </cell>
          <cell r="AX49">
            <v>150.52000000000001</v>
          </cell>
          <cell r="AY49">
            <v>151.58000000000001</v>
          </cell>
          <cell r="AZ49">
            <v>151.58000000000001</v>
          </cell>
          <cell r="BA49">
            <v>151.58000000000001</v>
          </cell>
          <cell r="BB49">
            <v>160.06</v>
          </cell>
          <cell r="BC49">
            <v>160.06</v>
          </cell>
          <cell r="BD49">
            <v>160.06</v>
          </cell>
          <cell r="BE49">
            <v>160.06</v>
          </cell>
          <cell r="BF49">
            <v>162.18</v>
          </cell>
          <cell r="BG49">
            <v>163.24</v>
          </cell>
          <cell r="BH49">
            <v>163.24</v>
          </cell>
          <cell r="BI49">
            <v>163.24</v>
          </cell>
          <cell r="BJ49">
            <v>163.24</v>
          </cell>
          <cell r="BK49">
            <v>-49</v>
          </cell>
          <cell r="BL49">
            <v>-49</v>
          </cell>
          <cell r="BM49">
            <v>-38</v>
          </cell>
          <cell r="BN49">
            <v>-38</v>
          </cell>
          <cell r="BO49">
            <v>-38</v>
          </cell>
          <cell r="BP49">
            <v>-38</v>
          </cell>
          <cell r="BQ49">
            <v>-38</v>
          </cell>
          <cell r="BR49">
            <v>-38</v>
          </cell>
          <cell r="BS49">
            <v>-38</v>
          </cell>
          <cell r="BT49">
            <v>-38</v>
          </cell>
          <cell r="BU49">
            <v>-38</v>
          </cell>
          <cell r="BV49">
            <v>-41</v>
          </cell>
        </row>
        <row r="50">
          <cell r="A50"/>
          <cell r="D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</row>
        <row r="51">
          <cell r="A51"/>
          <cell r="D51" t="str">
            <v>Total needed DIR</v>
          </cell>
          <cell r="Z51">
            <v>408</v>
          </cell>
          <cell r="AA51">
            <v>422</v>
          </cell>
          <cell r="AB51">
            <v>424</v>
          </cell>
          <cell r="AC51">
            <v>450</v>
          </cell>
          <cell r="AD51">
            <v>449</v>
          </cell>
          <cell r="AE51">
            <v>460</v>
          </cell>
          <cell r="AF51">
            <v>463</v>
          </cell>
          <cell r="AG51">
            <v>459</v>
          </cell>
          <cell r="AH51">
            <v>473</v>
          </cell>
          <cell r="AI51">
            <v>475</v>
          </cell>
          <cell r="AJ51">
            <v>485</v>
          </cell>
          <cell r="AK51">
            <v>485</v>
          </cell>
          <cell r="AL51">
            <v>487</v>
          </cell>
          <cell r="AM51">
            <v>479</v>
          </cell>
          <cell r="AN51">
            <v>484</v>
          </cell>
          <cell r="AO51">
            <v>482</v>
          </cell>
          <cell r="AP51">
            <v>487</v>
          </cell>
          <cell r="AQ51">
            <v>485</v>
          </cell>
          <cell r="AR51">
            <v>487</v>
          </cell>
          <cell r="AS51">
            <v>486</v>
          </cell>
          <cell r="AT51">
            <v>492</v>
          </cell>
          <cell r="AU51">
            <v>499</v>
          </cell>
          <cell r="AV51">
            <v>504</v>
          </cell>
          <cell r="AW51">
            <v>503</v>
          </cell>
          <cell r="AX51">
            <v>463</v>
          </cell>
          <cell r="AY51">
            <v>465</v>
          </cell>
          <cell r="AZ51">
            <v>468</v>
          </cell>
          <cell r="BA51">
            <v>468</v>
          </cell>
          <cell r="BB51">
            <v>483</v>
          </cell>
          <cell r="BC51">
            <v>485</v>
          </cell>
          <cell r="BD51">
            <v>486</v>
          </cell>
          <cell r="BE51">
            <v>484</v>
          </cell>
          <cell r="BF51">
            <v>486</v>
          </cell>
          <cell r="BG51">
            <v>486</v>
          </cell>
          <cell r="BH51">
            <v>487</v>
          </cell>
          <cell r="BI51">
            <v>484</v>
          </cell>
          <cell r="BJ51">
            <v>485</v>
          </cell>
          <cell r="BK51">
            <v>446</v>
          </cell>
          <cell r="BL51">
            <v>411</v>
          </cell>
          <cell r="BM51">
            <v>402</v>
          </cell>
          <cell r="BN51">
            <v>405</v>
          </cell>
          <cell r="BO51">
            <v>390</v>
          </cell>
          <cell r="BP51">
            <v>392</v>
          </cell>
          <cell r="BQ51">
            <v>382</v>
          </cell>
          <cell r="BR51">
            <v>384</v>
          </cell>
          <cell r="BS51">
            <v>370</v>
          </cell>
          <cell r="BT51">
            <v>351</v>
          </cell>
          <cell r="BU51">
            <v>349</v>
          </cell>
          <cell r="BV51">
            <v>352</v>
          </cell>
        </row>
        <row r="52">
          <cell r="A52"/>
          <cell r="D52" t="str">
            <v>Total needed OP</v>
          </cell>
          <cell r="Z52">
            <v>496.08</v>
          </cell>
          <cell r="AA52">
            <v>510.92</v>
          </cell>
          <cell r="AB52">
            <v>513.04</v>
          </cell>
          <cell r="AC52">
            <v>540.6</v>
          </cell>
          <cell r="AD52">
            <v>539.54</v>
          </cell>
          <cell r="AE52">
            <v>551.20000000000005</v>
          </cell>
          <cell r="AF52">
            <v>554.38</v>
          </cell>
          <cell r="AG52">
            <v>550.14</v>
          </cell>
          <cell r="AH52">
            <v>564.98</v>
          </cell>
          <cell r="AI52">
            <v>567.1</v>
          </cell>
          <cell r="AJ52">
            <v>577.70000000000005</v>
          </cell>
          <cell r="AK52">
            <v>577.70000000000005</v>
          </cell>
          <cell r="AL52">
            <v>579.81999999999994</v>
          </cell>
          <cell r="AM52">
            <v>571.33999999999992</v>
          </cell>
          <cell r="AN52">
            <v>576.64</v>
          </cell>
          <cell r="AO52">
            <v>574.52</v>
          </cell>
          <cell r="AP52">
            <v>579.81999999999994</v>
          </cell>
          <cell r="AQ52">
            <v>577.70000000000005</v>
          </cell>
          <cell r="AR52">
            <v>579.81999999999994</v>
          </cell>
          <cell r="AS52">
            <v>578.76</v>
          </cell>
          <cell r="AT52">
            <v>585.12</v>
          </cell>
          <cell r="AU52">
            <v>592.54</v>
          </cell>
          <cell r="AV52">
            <v>597.84</v>
          </cell>
          <cell r="AW52">
            <v>596.78</v>
          </cell>
          <cell r="AX52">
            <v>554.38</v>
          </cell>
          <cell r="AY52">
            <v>556.5</v>
          </cell>
          <cell r="AZ52">
            <v>559.68000000000006</v>
          </cell>
          <cell r="BA52">
            <v>559.68000000000006</v>
          </cell>
          <cell r="BB52">
            <v>575.57999999999993</v>
          </cell>
          <cell r="BC52">
            <v>577.70000000000005</v>
          </cell>
          <cell r="BD52">
            <v>578.76</v>
          </cell>
          <cell r="BE52">
            <v>576.64</v>
          </cell>
          <cell r="BF52">
            <v>578.76</v>
          </cell>
          <cell r="BG52">
            <v>578.76</v>
          </cell>
          <cell r="BH52">
            <v>579.81999999999994</v>
          </cell>
          <cell r="BI52">
            <v>576.64</v>
          </cell>
          <cell r="BJ52">
            <v>577.70000000000005</v>
          </cell>
          <cell r="BK52">
            <v>408</v>
          </cell>
          <cell r="BL52">
            <v>398</v>
          </cell>
          <cell r="BM52">
            <v>389</v>
          </cell>
          <cell r="BN52">
            <v>392</v>
          </cell>
          <cell r="BO52">
            <v>377</v>
          </cell>
          <cell r="BP52">
            <v>379</v>
          </cell>
          <cell r="BQ52">
            <v>369</v>
          </cell>
          <cell r="BR52">
            <v>371</v>
          </cell>
          <cell r="BS52">
            <v>357</v>
          </cell>
          <cell r="BT52">
            <v>338</v>
          </cell>
          <cell r="BU52">
            <v>336</v>
          </cell>
          <cell r="BV52">
            <v>339</v>
          </cell>
        </row>
        <row r="53">
          <cell r="A53"/>
          <cell r="D53" t="str">
            <v>Pack</v>
          </cell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>
            <v>472.76000000000005</v>
          </cell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</row>
        <row r="54">
          <cell r="A54"/>
          <cell r="D54" t="str">
            <v>MH</v>
          </cell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</row>
        <row r="55">
          <cell r="A55"/>
          <cell r="D55" t="str">
            <v>TL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</row>
        <row r="56">
          <cell r="A56"/>
          <cell r="D56" t="str">
            <v>QA</v>
          </cell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</row>
        <row r="57">
          <cell r="A57"/>
          <cell r="D57" t="str">
            <v>WH</v>
          </cell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</row>
        <row r="58">
          <cell r="A58"/>
          <cell r="D58" t="str">
            <v>Maint</v>
          </cell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</row>
        <row r="59">
          <cell r="A59"/>
          <cell r="D59" t="str">
            <v>TOTAL INDIR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</row>
        <row r="60">
          <cell r="A60"/>
          <cell r="D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</row>
        <row r="61">
          <cell r="A61"/>
          <cell r="D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</row>
        <row r="62">
          <cell r="A62">
            <v>0</v>
          </cell>
          <cell r="D62" t="str">
            <v>Week</v>
          </cell>
          <cell r="Z62">
            <v>4</v>
          </cell>
          <cell r="AA62">
            <v>5</v>
          </cell>
          <cell r="AB62">
            <v>6</v>
          </cell>
          <cell r="AC62">
            <v>7</v>
          </cell>
          <cell r="AD62">
            <v>8</v>
          </cell>
          <cell r="AE62">
            <v>9</v>
          </cell>
          <cell r="AF62">
            <v>10</v>
          </cell>
          <cell r="AG62">
            <v>11</v>
          </cell>
          <cell r="AH62">
            <v>12</v>
          </cell>
          <cell r="AI62">
            <v>13</v>
          </cell>
          <cell r="AJ62">
            <v>14</v>
          </cell>
          <cell r="AK62">
            <v>15</v>
          </cell>
          <cell r="AL62">
            <v>16</v>
          </cell>
          <cell r="AM62">
            <v>17</v>
          </cell>
          <cell r="AN62">
            <v>18</v>
          </cell>
          <cell r="AO62">
            <v>19</v>
          </cell>
          <cell r="AP62">
            <v>20</v>
          </cell>
          <cell r="AQ62">
            <v>21</v>
          </cell>
          <cell r="AR62">
            <v>22</v>
          </cell>
          <cell r="AS62">
            <v>23</v>
          </cell>
          <cell r="AT62">
            <v>24</v>
          </cell>
          <cell r="AU62">
            <v>25</v>
          </cell>
          <cell r="AV62">
            <v>26</v>
          </cell>
          <cell r="AW62">
            <v>27</v>
          </cell>
          <cell r="AX62">
            <v>28</v>
          </cell>
          <cell r="AY62">
            <v>29</v>
          </cell>
          <cell r="AZ62">
            <v>30</v>
          </cell>
          <cell r="BA62">
            <v>31</v>
          </cell>
          <cell r="BB62">
            <v>32</v>
          </cell>
          <cell r="BC62">
            <v>33</v>
          </cell>
          <cell r="BD62">
            <v>34</v>
          </cell>
          <cell r="BE62">
            <v>35</v>
          </cell>
          <cell r="BF62">
            <v>36</v>
          </cell>
          <cell r="BG62">
            <v>37</v>
          </cell>
          <cell r="BH62">
            <v>38</v>
          </cell>
          <cell r="BI62">
            <v>39</v>
          </cell>
          <cell r="BJ62">
            <v>40</v>
          </cell>
          <cell r="BK62">
            <v>41</v>
          </cell>
          <cell r="BL62">
            <v>42</v>
          </cell>
          <cell r="BM62">
            <v>43</v>
          </cell>
          <cell r="BN62">
            <v>44</v>
          </cell>
          <cell r="BO62">
            <v>45</v>
          </cell>
          <cell r="BP62">
            <v>46</v>
          </cell>
          <cell r="BQ62">
            <v>47</v>
          </cell>
          <cell r="BR62">
            <v>48</v>
          </cell>
          <cell r="BS62">
            <v>49</v>
          </cell>
          <cell r="BT62">
            <v>50</v>
          </cell>
          <cell r="BU62">
            <v>51</v>
          </cell>
          <cell r="BV62">
            <v>52</v>
          </cell>
        </row>
        <row r="63">
          <cell r="A63"/>
          <cell r="D63" t="str">
            <v>Day</v>
          </cell>
          <cell r="E63" t="str">
            <v>Details</v>
          </cell>
          <cell r="Z63">
            <v>46041</v>
          </cell>
          <cell r="AA63">
            <v>46048</v>
          </cell>
          <cell r="AB63">
            <v>46055</v>
          </cell>
          <cell r="AC63">
            <v>46062</v>
          </cell>
          <cell r="AD63">
            <v>46069</v>
          </cell>
          <cell r="AE63">
            <v>46076</v>
          </cell>
          <cell r="AF63">
            <v>46083</v>
          </cell>
          <cell r="AG63">
            <v>46090</v>
          </cell>
          <cell r="AH63">
            <v>46097</v>
          </cell>
          <cell r="AI63">
            <v>46104</v>
          </cell>
          <cell r="AJ63">
            <v>46111</v>
          </cell>
          <cell r="AK63">
            <v>46118</v>
          </cell>
          <cell r="AL63">
            <v>46125</v>
          </cell>
          <cell r="AM63">
            <v>46132</v>
          </cell>
          <cell r="AN63">
            <v>46139</v>
          </cell>
          <cell r="AO63">
            <v>46146</v>
          </cell>
          <cell r="AP63">
            <v>46153</v>
          </cell>
          <cell r="AQ63">
            <v>46160</v>
          </cell>
          <cell r="AR63">
            <v>46167</v>
          </cell>
          <cell r="AS63">
            <v>46174</v>
          </cell>
          <cell r="AT63">
            <v>46181</v>
          </cell>
          <cell r="AU63">
            <v>46188</v>
          </cell>
          <cell r="AV63">
            <v>46195</v>
          </cell>
          <cell r="AW63">
            <v>46202</v>
          </cell>
          <cell r="AX63">
            <v>46209</v>
          </cell>
          <cell r="AY63">
            <v>46216</v>
          </cell>
          <cell r="AZ63">
            <v>46223</v>
          </cell>
          <cell r="BA63">
            <v>46230</v>
          </cell>
          <cell r="BB63">
            <v>46237</v>
          </cell>
          <cell r="BC63">
            <v>46244</v>
          </cell>
          <cell r="BD63">
            <v>46251</v>
          </cell>
          <cell r="BE63">
            <v>46258</v>
          </cell>
          <cell r="BF63">
            <v>46265</v>
          </cell>
          <cell r="BG63">
            <v>46272</v>
          </cell>
          <cell r="BH63">
            <v>46279</v>
          </cell>
          <cell r="BI63">
            <v>46286</v>
          </cell>
          <cell r="BJ63">
            <v>46293</v>
          </cell>
          <cell r="BK63">
            <v>46300</v>
          </cell>
          <cell r="BL63">
            <v>46307</v>
          </cell>
          <cell r="BM63">
            <v>46314</v>
          </cell>
          <cell r="BN63">
            <v>46321</v>
          </cell>
          <cell r="BO63">
            <v>46328</v>
          </cell>
          <cell r="BP63">
            <v>46335</v>
          </cell>
          <cell r="BQ63">
            <v>46342</v>
          </cell>
          <cell r="BR63">
            <v>46349</v>
          </cell>
          <cell r="BS63">
            <v>46356</v>
          </cell>
          <cell r="BT63">
            <v>46363</v>
          </cell>
          <cell r="BU63">
            <v>46370</v>
          </cell>
          <cell r="BV63">
            <v>46377</v>
          </cell>
        </row>
        <row r="64">
          <cell r="A64" t="str">
            <v>PROJECT</v>
          </cell>
          <cell r="B64" t="str">
            <v>PART</v>
          </cell>
          <cell r="D64" t="str">
            <v>AREA</v>
          </cell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</row>
        <row r="65">
          <cell r="A65" t="str">
            <v>DAIMLER</v>
          </cell>
          <cell r="B65" t="str">
            <v>BR223</v>
          </cell>
          <cell r="D65" t="str">
            <v>Work days</v>
          </cell>
          <cell r="Z65">
            <v>5</v>
          </cell>
          <cell r="AA65">
            <v>5</v>
          </cell>
          <cell r="AB65">
            <v>5</v>
          </cell>
          <cell r="AC65">
            <v>5</v>
          </cell>
          <cell r="AD65">
            <v>3</v>
          </cell>
          <cell r="AE65">
            <v>5</v>
          </cell>
          <cell r="AF65">
            <v>5</v>
          </cell>
          <cell r="AG65">
            <v>5</v>
          </cell>
          <cell r="AH65">
            <v>5</v>
          </cell>
          <cell r="AI65">
            <v>5</v>
          </cell>
          <cell r="AJ65">
            <v>5</v>
          </cell>
          <cell r="AK65">
            <v>4</v>
          </cell>
          <cell r="AL65">
            <v>4</v>
          </cell>
          <cell r="AM65">
            <v>5</v>
          </cell>
          <cell r="AN65">
            <v>4</v>
          </cell>
          <cell r="AO65">
            <v>5</v>
          </cell>
          <cell r="AP65">
            <v>5</v>
          </cell>
          <cell r="AQ65">
            <v>5</v>
          </cell>
          <cell r="AR65">
            <v>5</v>
          </cell>
          <cell r="AS65">
            <v>5</v>
          </cell>
          <cell r="AT65">
            <v>5</v>
          </cell>
          <cell r="AU65">
            <v>5</v>
          </cell>
          <cell r="AV65">
            <v>5</v>
          </cell>
          <cell r="AW65">
            <v>5</v>
          </cell>
          <cell r="AX65">
            <v>5</v>
          </cell>
          <cell r="AY65">
            <v>5</v>
          </cell>
          <cell r="AZ65">
            <v>0</v>
          </cell>
          <cell r="BA65">
            <v>0</v>
          </cell>
          <cell r="BB65">
            <v>6</v>
          </cell>
          <cell r="BC65">
            <v>6</v>
          </cell>
          <cell r="BD65">
            <v>6</v>
          </cell>
          <cell r="BE65">
            <v>5</v>
          </cell>
          <cell r="BF65">
            <v>5</v>
          </cell>
          <cell r="BG65">
            <v>5</v>
          </cell>
          <cell r="BH65">
            <v>5</v>
          </cell>
          <cell r="BI65">
            <v>5</v>
          </cell>
          <cell r="BJ65">
            <v>5</v>
          </cell>
          <cell r="BK65">
            <v>5</v>
          </cell>
          <cell r="BL65">
            <v>14</v>
          </cell>
          <cell r="BM65">
            <v>14</v>
          </cell>
          <cell r="BN65">
            <v>14</v>
          </cell>
          <cell r="BO65">
            <v>14</v>
          </cell>
          <cell r="BP65">
            <v>14</v>
          </cell>
          <cell r="BQ65">
            <v>14</v>
          </cell>
          <cell r="BR65">
            <v>14</v>
          </cell>
          <cell r="BS65">
            <v>14</v>
          </cell>
          <cell r="BT65">
            <v>14</v>
          </cell>
          <cell r="BU65">
            <v>14</v>
          </cell>
          <cell r="BV65">
            <v>14</v>
          </cell>
        </row>
        <row r="66">
          <cell r="A66" t="str">
            <v>DAIMLER</v>
          </cell>
          <cell r="B66" t="str">
            <v>BR223</v>
          </cell>
          <cell r="D66" t="str">
            <v>SHIFT A HC - operators</v>
          </cell>
          <cell r="Z66">
            <v>4</v>
          </cell>
          <cell r="AA66">
            <v>4</v>
          </cell>
          <cell r="AB66">
            <v>4</v>
          </cell>
          <cell r="AC66">
            <v>7</v>
          </cell>
          <cell r="AD66">
            <v>7</v>
          </cell>
          <cell r="AE66">
            <v>7</v>
          </cell>
          <cell r="AF66">
            <v>7</v>
          </cell>
          <cell r="AG66">
            <v>7</v>
          </cell>
          <cell r="AH66">
            <v>7</v>
          </cell>
          <cell r="AI66">
            <v>7</v>
          </cell>
          <cell r="AJ66">
            <v>7</v>
          </cell>
          <cell r="AK66">
            <v>7</v>
          </cell>
          <cell r="AL66">
            <v>7</v>
          </cell>
          <cell r="AM66">
            <v>7</v>
          </cell>
          <cell r="AN66">
            <v>7</v>
          </cell>
          <cell r="AO66">
            <v>7</v>
          </cell>
          <cell r="AP66">
            <v>7</v>
          </cell>
          <cell r="AQ66">
            <v>7</v>
          </cell>
          <cell r="AR66">
            <v>7</v>
          </cell>
          <cell r="AS66">
            <v>7</v>
          </cell>
          <cell r="AT66">
            <v>7</v>
          </cell>
          <cell r="AU66">
            <v>7</v>
          </cell>
          <cell r="AV66">
            <v>7</v>
          </cell>
          <cell r="AW66">
            <v>7</v>
          </cell>
          <cell r="AX66">
            <v>7</v>
          </cell>
          <cell r="AY66">
            <v>7</v>
          </cell>
          <cell r="AZ66">
            <v>7</v>
          </cell>
          <cell r="BA66">
            <v>7</v>
          </cell>
          <cell r="BB66">
            <v>7</v>
          </cell>
          <cell r="BC66">
            <v>7</v>
          </cell>
          <cell r="BD66">
            <v>7</v>
          </cell>
          <cell r="BE66">
            <v>7</v>
          </cell>
          <cell r="BF66">
            <v>7</v>
          </cell>
          <cell r="BG66">
            <v>7</v>
          </cell>
          <cell r="BH66">
            <v>7</v>
          </cell>
          <cell r="BI66">
            <v>7</v>
          </cell>
          <cell r="BJ66">
            <v>7</v>
          </cell>
          <cell r="BK66">
            <v>7</v>
          </cell>
          <cell r="BL66">
            <v>7</v>
          </cell>
          <cell r="BM66">
            <v>7</v>
          </cell>
          <cell r="BN66">
            <v>7</v>
          </cell>
          <cell r="BO66">
            <v>7</v>
          </cell>
          <cell r="BP66">
            <v>7</v>
          </cell>
          <cell r="BQ66">
            <v>7</v>
          </cell>
          <cell r="BR66">
            <v>7</v>
          </cell>
          <cell r="BS66">
            <v>7</v>
          </cell>
          <cell r="BT66">
            <v>7</v>
          </cell>
          <cell r="BU66">
            <v>7</v>
          </cell>
          <cell r="BV66">
            <v>7</v>
          </cell>
        </row>
        <row r="67">
          <cell r="A67" t="str">
            <v>DAIMLER</v>
          </cell>
          <cell r="B67" t="str">
            <v>BR223</v>
          </cell>
          <cell r="D67" t="str">
            <v>SHIFT B HC  - operators</v>
          </cell>
          <cell r="Z67">
            <v>3</v>
          </cell>
          <cell r="AA67">
            <v>3</v>
          </cell>
          <cell r="AB67">
            <v>3</v>
          </cell>
          <cell r="AC67"/>
          <cell r="AD67"/>
          <cell r="AE67">
            <v>6</v>
          </cell>
          <cell r="AF67">
            <v>6</v>
          </cell>
          <cell r="AG67">
            <v>6</v>
          </cell>
          <cell r="AH67">
            <v>6</v>
          </cell>
          <cell r="AI67">
            <v>6</v>
          </cell>
          <cell r="AJ67">
            <v>6</v>
          </cell>
          <cell r="AK67">
            <v>6</v>
          </cell>
          <cell r="AL67">
            <v>7</v>
          </cell>
          <cell r="AM67">
            <v>7</v>
          </cell>
          <cell r="AN67">
            <v>7</v>
          </cell>
          <cell r="AO67">
            <v>7</v>
          </cell>
          <cell r="AP67">
            <v>7</v>
          </cell>
          <cell r="AQ67">
            <v>7</v>
          </cell>
          <cell r="AR67">
            <v>7</v>
          </cell>
          <cell r="AS67">
            <v>7</v>
          </cell>
          <cell r="AT67">
            <v>7</v>
          </cell>
          <cell r="AU67">
            <v>7</v>
          </cell>
          <cell r="AV67">
            <v>7</v>
          </cell>
          <cell r="AW67">
            <v>7</v>
          </cell>
          <cell r="AX67">
            <v>7</v>
          </cell>
          <cell r="AY67">
            <v>7</v>
          </cell>
          <cell r="AZ67">
            <v>7</v>
          </cell>
          <cell r="BA67">
            <v>7</v>
          </cell>
          <cell r="BB67">
            <v>7</v>
          </cell>
          <cell r="BC67">
            <v>7</v>
          </cell>
          <cell r="BD67">
            <v>7</v>
          </cell>
          <cell r="BE67">
            <v>7</v>
          </cell>
          <cell r="BF67">
            <v>7</v>
          </cell>
          <cell r="BG67">
            <v>7</v>
          </cell>
          <cell r="BH67">
            <v>7</v>
          </cell>
          <cell r="BI67">
            <v>7</v>
          </cell>
          <cell r="BJ67">
            <v>7</v>
          </cell>
          <cell r="BK67">
            <v>7</v>
          </cell>
          <cell r="BL67">
            <v>7</v>
          </cell>
          <cell r="BM67">
            <v>7</v>
          </cell>
          <cell r="BN67">
            <v>7</v>
          </cell>
          <cell r="BO67">
            <v>7</v>
          </cell>
          <cell r="BP67">
            <v>7</v>
          </cell>
          <cell r="BQ67">
            <v>7</v>
          </cell>
          <cell r="BR67">
            <v>7</v>
          </cell>
          <cell r="BS67">
            <v>7</v>
          </cell>
          <cell r="BT67">
            <v>7</v>
          </cell>
          <cell r="BU67">
            <v>7</v>
          </cell>
          <cell r="BV67">
            <v>7</v>
          </cell>
        </row>
        <row r="68">
          <cell r="A68" t="str">
            <v>DAIMLER</v>
          </cell>
          <cell r="B68" t="str">
            <v>BR223</v>
          </cell>
          <cell r="D68" t="str">
            <v>SHIFT C HC  - operators</v>
          </cell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</row>
        <row r="69">
          <cell r="A69" t="str">
            <v>DAIMLER</v>
          </cell>
          <cell r="B69" t="str">
            <v>BR223</v>
          </cell>
          <cell r="D69" t="str">
            <v>Total HC</v>
          </cell>
          <cell r="Z69">
            <v>7</v>
          </cell>
          <cell r="AA69">
            <v>7</v>
          </cell>
          <cell r="AB69">
            <v>7</v>
          </cell>
          <cell r="AC69">
            <v>7</v>
          </cell>
          <cell r="AD69">
            <v>7</v>
          </cell>
          <cell r="AE69">
            <v>13</v>
          </cell>
          <cell r="AF69">
            <v>13</v>
          </cell>
          <cell r="AG69">
            <v>13</v>
          </cell>
          <cell r="AH69">
            <v>13</v>
          </cell>
          <cell r="AI69">
            <v>13</v>
          </cell>
          <cell r="AJ69">
            <v>13</v>
          </cell>
          <cell r="AK69">
            <v>13</v>
          </cell>
          <cell r="AL69">
            <v>14</v>
          </cell>
          <cell r="AM69">
            <v>14</v>
          </cell>
          <cell r="AN69">
            <v>14</v>
          </cell>
          <cell r="AO69">
            <v>14</v>
          </cell>
          <cell r="AP69">
            <v>14</v>
          </cell>
          <cell r="AQ69">
            <v>14</v>
          </cell>
          <cell r="AR69">
            <v>14</v>
          </cell>
          <cell r="AS69">
            <v>14</v>
          </cell>
          <cell r="AT69">
            <v>14</v>
          </cell>
          <cell r="AU69">
            <v>14</v>
          </cell>
          <cell r="AV69">
            <v>14</v>
          </cell>
          <cell r="AW69">
            <v>14</v>
          </cell>
          <cell r="AX69">
            <v>14</v>
          </cell>
          <cell r="AY69">
            <v>14</v>
          </cell>
          <cell r="AZ69">
            <v>14</v>
          </cell>
          <cell r="BA69">
            <v>14</v>
          </cell>
          <cell r="BB69">
            <v>14</v>
          </cell>
          <cell r="BC69">
            <v>14</v>
          </cell>
          <cell r="BD69">
            <v>14</v>
          </cell>
          <cell r="BE69">
            <v>14</v>
          </cell>
          <cell r="BF69">
            <v>14</v>
          </cell>
          <cell r="BG69">
            <v>14</v>
          </cell>
          <cell r="BH69">
            <v>14</v>
          </cell>
          <cell r="BI69">
            <v>14</v>
          </cell>
          <cell r="BJ69">
            <v>14</v>
          </cell>
          <cell r="BK69">
            <v>14</v>
          </cell>
          <cell r="BL69">
            <v>14</v>
          </cell>
          <cell r="BM69">
            <v>14</v>
          </cell>
          <cell r="BN69">
            <v>14</v>
          </cell>
          <cell r="BO69">
            <v>14</v>
          </cell>
          <cell r="BP69">
            <v>14</v>
          </cell>
          <cell r="BQ69">
            <v>14</v>
          </cell>
          <cell r="BR69">
            <v>14</v>
          </cell>
          <cell r="BS69">
            <v>14</v>
          </cell>
          <cell r="BT69">
            <v>14</v>
          </cell>
          <cell r="BU69">
            <v>14</v>
          </cell>
          <cell r="BV69">
            <v>14</v>
          </cell>
        </row>
        <row r="70">
          <cell r="A70" t="str">
            <v>DAIMLER</v>
          </cell>
          <cell r="B70" t="str">
            <v>BR223</v>
          </cell>
          <cell r="D70" t="str">
            <v>SHIFT A HC  - efficiency</v>
          </cell>
          <cell r="Z70">
            <v>1.2</v>
          </cell>
          <cell r="AA70">
            <v>1.2</v>
          </cell>
          <cell r="AB70">
            <v>1</v>
          </cell>
          <cell r="AC70">
            <v>0.8</v>
          </cell>
          <cell r="AD70">
            <v>0.9</v>
          </cell>
          <cell r="AE70">
            <v>1</v>
          </cell>
          <cell r="AF70">
            <v>1.1000000000000001</v>
          </cell>
          <cell r="AG70">
            <v>1.2</v>
          </cell>
          <cell r="AH70">
            <v>1.2</v>
          </cell>
          <cell r="AI70">
            <v>1.2</v>
          </cell>
          <cell r="AJ70">
            <v>1.2</v>
          </cell>
          <cell r="AK70">
            <v>1.2</v>
          </cell>
          <cell r="AL70">
            <v>1.2</v>
          </cell>
          <cell r="AM70">
            <v>1.2</v>
          </cell>
          <cell r="AN70">
            <v>1.2</v>
          </cell>
          <cell r="AO70">
            <v>1.2</v>
          </cell>
          <cell r="AP70">
            <v>1.2</v>
          </cell>
          <cell r="AQ70">
            <v>1.2</v>
          </cell>
          <cell r="AR70">
            <v>1.2</v>
          </cell>
          <cell r="AS70">
            <v>1.2</v>
          </cell>
          <cell r="AT70">
            <v>1.2</v>
          </cell>
          <cell r="AU70">
            <v>1.2</v>
          </cell>
          <cell r="AV70">
            <v>1.2</v>
          </cell>
          <cell r="AW70">
            <v>1.2</v>
          </cell>
          <cell r="AX70">
            <v>1.2</v>
          </cell>
          <cell r="AY70">
            <v>1.2</v>
          </cell>
          <cell r="AZ70">
            <v>1.2</v>
          </cell>
          <cell r="BA70">
            <v>1.2</v>
          </cell>
          <cell r="BB70">
            <v>1.2</v>
          </cell>
          <cell r="BC70">
            <v>1.2</v>
          </cell>
          <cell r="BD70">
            <v>1.2</v>
          </cell>
          <cell r="BE70">
            <v>1.2</v>
          </cell>
          <cell r="BF70">
            <v>1.2</v>
          </cell>
          <cell r="BG70">
            <v>1.2</v>
          </cell>
          <cell r="BH70">
            <v>1.2</v>
          </cell>
          <cell r="BI70">
            <v>1.2</v>
          </cell>
          <cell r="BJ70">
            <v>1.2</v>
          </cell>
          <cell r="BK70">
            <v>1.2</v>
          </cell>
          <cell r="BL70">
            <v>1.2</v>
          </cell>
          <cell r="BM70">
            <v>1.2</v>
          </cell>
          <cell r="BN70">
            <v>1.2</v>
          </cell>
          <cell r="BO70">
            <v>1.2</v>
          </cell>
          <cell r="BP70">
            <v>1.2</v>
          </cell>
          <cell r="BQ70">
            <v>1.2</v>
          </cell>
          <cell r="BR70">
            <v>1.2</v>
          </cell>
          <cell r="BS70">
            <v>1.2</v>
          </cell>
          <cell r="BT70">
            <v>1.2</v>
          </cell>
          <cell r="BU70">
            <v>1.2</v>
          </cell>
          <cell r="BV70">
            <v>1.2</v>
          </cell>
        </row>
        <row r="71">
          <cell r="A71" t="str">
            <v>DAIMLER</v>
          </cell>
          <cell r="B71" t="str">
            <v>BR223</v>
          </cell>
          <cell r="D71" t="str">
            <v>SHIFT B HC  - efficiency</v>
          </cell>
          <cell r="Z71">
            <v>0.5</v>
          </cell>
          <cell r="AA71">
            <v>0.6</v>
          </cell>
          <cell r="AB71">
            <v>0.7</v>
          </cell>
          <cell r="AC71">
            <v>0.8</v>
          </cell>
          <cell r="AD71">
            <v>0.9</v>
          </cell>
          <cell r="AE71">
            <v>0.3</v>
          </cell>
          <cell r="AF71">
            <v>0.4</v>
          </cell>
          <cell r="AG71">
            <v>0.5</v>
          </cell>
          <cell r="AH71">
            <v>0.55000000000000004</v>
          </cell>
          <cell r="AI71">
            <v>0.60000000000000009</v>
          </cell>
          <cell r="AJ71">
            <v>0.65000000000000013</v>
          </cell>
          <cell r="AK71">
            <v>0.70000000000000018</v>
          </cell>
          <cell r="AL71">
            <v>0.75000000000000022</v>
          </cell>
          <cell r="AM71">
            <v>0.80000000000000027</v>
          </cell>
          <cell r="AN71">
            <v>0.85000000000000031</v>
          </cell>
          <cell r="AO71">
            <v>0.90000000000000036</v>
          </cell>
          <cell r="AP71">
            <v>0.9500000000000004</v>
          </cell>
          <cell r="AQ71">
            <v>1.0000000000000004</v>
          </cell>
          <cell r="AR71">
            <v>1.0500000000000005</v>
          </cell>
          <cell r="AS71">
            <v>1.1000000000000005</v>
          </cell>
          <cell r="AT71">
            <v>1.1500000000000006</v>
          </cell>
          <cell r="AU71">
            <v>1.2000000000000006</v>
          </cell>
          <cell r="AV71">
            <v>1.2500000000000007</v>
          </cell>
          <cell r="AW71">
            <v>1.3000000000000007</v>
          </cell>
          <cell r="AX71">
            <v>1.3500000000000008</v>
          </cell>
          <cell r="AY71">
            <v>1.4000000000000008</v>
          </cell>
          <cell r="AZ71">
            <v>1.4500000000000008</v>
          </cell>
          <cell r="BA71">
            <v>1.5000000000000009</v>
          </cell>
          <cell r="BB71">
            <v>1.5500000000000009</v>
          </cell>
          <cell r="BC71">
            <v>1.600000000000001</v>
          </cell>
          <cell r="BD71">
            <v>1.650000000000001</v>
          </cell>
          <cell r="BE71">
            <v>1.7000000000000011</v>
          </cell>
          <cell r="BF71">
            <v>1.7500000000000011</v>
          </cell>
          <cell r="BG71">
            <v>1.8000000000000012</v>
          </cell>
          <cell r="BH71">
            <v>1.8500000000000012</v>
          </cell>
          <cell r="BI71">
            <v>1.9000000000000012</v>
          </cell>
          <cell r="BJ71">
            <v>1.9500000000000013</v>
          </cell>
          <cell r="BK71">
            <v>2.0000000000000013</v>
          </cell>
          <cell r="BL71">
            <v>2.0500000000000012</v>
          </cell>
          <cell r="BM71">
            <v>2.100000000000001</v>
          </cell>
          <cell r="BN71">
            <v>2.1500000000000008</v>
          </cell>
          <cell r="BO71">
            <v>1</v>
          </cell>
          <cell r="BP71">
            <v>1</v>
          </cell>
          <cell r="BQ71">
            <v>1</v>
          </cell>
          <cell r="BR71">
            <v>1</v>
          </cell>
          <cell r="BS71">
            <v>1</v>
          </cell>
          <cell r="BT71">
            <v>1</v>
          </cell>
          <cell r="BU71">
            <v>1</v>
          </cell>
          <cell r="BV71">
            <v>1</v>
          </cell>
        </row>
        <row r="72">
          <cell r="A72" t="str">
            <v>DAIMLER</v>
          </cell>
          <cell r="B72" t="str">
            <v>BR223</v>
          </cell>
          <cell r="D72" t="str">
            <v>SHIFT C HC  - efficiency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</row>
        <row r="73">
          <cell r="A73" t="str">
            <v>DAIMLER</v>
          </cell>
          <cell r="B73" t="str">
            <v>BR223</v>
          </cell>
          <cell r="D73" t="str">
            <v>Total efficiency</v>
          </cell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</row>
        <row r="74">
          <cell r="A74" t="str">
            <v>DAIMLER</v>
          </cell>
          <cell r="B74" t="str">
            <v>BR223</v>
          </cell>
          <cell r="D74" t="str">
            <v>SHIFT A - output</v>
          </cell>
          <cell r="Z74">
            <v>375.65217391304344</v>
          </cell>
          <cell r="AA74">
            <v>375.65217391304344</v>
          </cell>
          <cell r="AB74">
            <v>313.04347826086956</v>
          </cell>
          <cell r="AC74">
            <v>438.26086956521743</v>
          </cell>
          <cell r="AD74">
            <v>493.04347826086956</v>
          </cell>
          <cell r="AE74">
            <v>547.82608695652175</v>
          </cell>
          <cell r="AF74">
            <v>602.60869565217399</v>
          </cell>
          <cell r="AG74">
            <v>657.39130434782612</v>
          </cell>
          <cell r="AH74">
            <v>657.39130434782612</v>
          </cell>
          <cell r="AI74">
            <v>657.39130434782612</v>
          </cell>
          <cell r="AJ74">
            <v>657.39130434782612</v>
          </cell>
          <cell r="AK74">
            <v>657.39130434782612</v>
          </cell>
          <cell r="AL74">
            <v>657.39130434782612</v>
          </cell>
          <cell r="AM74">
            <v>657.39130434782612</v>
          </cell>
          <cell r="AN74">
            <v>657.39130434782612</v>
          </cell>
          <cell r="AO74">
            <v>657.39130434782612</v>
          </cell>
          <cell r="AP74">
            <v>657.39130434782612</v>
          </cell>
          <cell r="AQ74">
            <v>657.39130434782612</v>
          </cell>
          <cell r="AR74">
            <v>657.39130434782612</v>
          </cell>
          <cell r="AS74">
            <v>657.39130434782612</v>
          </cell>
          <cell r="AT74">
            <v>657.39130434782612</v>
          </cell>
          <cell r="AU74">
            <v>657.39130434782612</v>
          </cell>
          <cell r="AV74">
            <v>657.39130434782612</v>
          </cell>
          <cell r="AW74">
            <v>657.39130434782612</v>
          </cell>
          <cell r="AX74">
            <v>657.39130434782612</v>
          </cell>
          <cell r="AY74">
            <v>657.39130434782612</v>
          </cell>
          <cell r="AZ74">
            <v>657.39130434782612</v>
          </cell>
          <cell r="BA74">
            <v>657.39130434782612</v>
          </cell>
          <cell r="BB74">
            <v>657.39130434782612</v>
          </cell>
          <cell r="BC74">
            <v>657.39130434782612</v>
          </cell>
          <cell r="BD74">
            <v>657.39130434782612</v>
          </cell>
          <cell r="BE74">
            <v>657.39130434782612</v>
          </cell>
          <cell r="BF74">
            <v>657.39130434782612</v>
          </cell>
          <cell r="BG74">
            <v>657.39130434782612</v>
          </cell>
          <cell r="BH74">
            <v>657.39130434782612</v>
          </cell>
          <cell r="BI74">
            <v>657.39130434782612</v>
          </cell>
          <cell r="BJ74">
            <v>657.39130434782612</v>
          </cell>
          <cell r="BK74">
            <v>657.39130434782612</v>
          </cell>
          <cell r="BL74">
            <v>657.39130434782612</v>
          </cell>
          <cell r="BM74">
            <v>657.39130434782612</v>
          </cell>
          <cell r="BN74">
            <v>657.39130434782612</v>
          </cell>
          <cell r="BO74">
            <v>657.39130434782612</v>
          </cell>
          <cell r="BP74">
            <v>657.39130434782612</v>
          </cell>
          <cell r="BQ74">
            <v>657.39130434782612</v>
          </cell>
          <cell r="BR74">
            <v>657.39130434782612</v>
          </cell>
          <cell r="BS74">
            <v>657.39130434782612</v>
          </cell>
          <cell r="BT74">
            <v>657.39130434782612</v>
          </cell>
          <cell r="BU74">
            <v>657.39130434782612</v>
          </cell>
          <cell r="BV74">
            <v>657.39130434782612</v>
          </cell>
        </row>
        <row r="75">
          <cell r="A75" t="str">
            <v>DAIMLER</v>
          </cell>
          <cell r="B75" t="str">
            <v>BR223</v>
          </cell>
          <cell r="D75" t="str">
            <v>SHIFT B  - output</v>
          </cell>
          <cell r="Z75">
            <v>117.39130434782609</v>
          </cell>
          <cell r="AA75">
            <v>140.86956521739131</v>
          </cell>
          <cell r="AB75">
            <v>164.34782608695653</v>
          </cell>
          <cell r="AC75">
            <v>0</v>
          </cell>
          <cell r="AD75">
            <v>0</v>
          </cell>
          <cell r="AE75">
            <v>140.86956521739131</v>
          </cell>
          <cell r="AF75">
            <v>187.82608695652175</v>
          </cell>
          <cell r="AG75">
            <v>234.78260869565219</v>
          </cell>
          <cell r="AH75">
            <v>258.26086956521743</v>
          </cell>
          <cell r="AI75">
            <v>281.73913043478268</v>
          </cell>
          <cell r="AJ75">
            <v>305.21739130434793</v>
          </cell>
          <cell r="AK75">
            <v>328.69565217391312</v>
          </cell>
          <cell r="AL75">
            <v>410.86956521739143</v>
          </cell>
          <cell r="AM75">
            <v>438.26086956521755</v>
          </cell>
          <cell r="AN75">
            <v>465.65217391304367</v>
          </cell>
          <cell r="AO75">
            <v>493.04347826086979</v>
          </cell>
          <cell r="AP75">
            <v>520.43478260869585</v>
          </cell>
          <cell r="AQ75">
            <v>547.82608695652198</v>
          </cell>
          <cell r="AR75">
            <v>575.2173913043481</v>
          </cell>
          <cell r="AS75">
            <v>602.60869565217422</v>
          </cell>
          <cell r="AT75">
            <v>630.00000000000034</v>
          </cell>
          <cell r="AU75">
            <v>657.39130434782646</v>
          </cell>
          <cell r="AV75">
            <v>684.78260869565258</v>
          </cell>
          <cell r="AW75">
            <v>712.17391304347871</v>
          </cell>
          <cell r="AX75">
            <v>739.56521739130483</v>
          </cell>
          <cell r="AY75">
            <v>766.95652173913084</v>
          </cell>
          <cell r="AZ75">
            <v>794.34782608695696</v>
          </cell>
          <cell r="BA75">
            <v>821.73913043478308</v>
          </cell>
          <cell r="BB75">
            <v>849.1304347826092</v>
          </cell>
          <cell r="BC75">
            <v>876.52173913043532</v>
          </cell>
          <cell r="BD75">
            <v>903.91304347826144</v>
          </cell>
          <cell r="BE75">
            <v>931.30434782608756</v>
          </cell>
          <cell r="BF75">
            <v>958.69565217391369</v>
          </cell>
          <cell r="BG75">
            <v>986.08695652173981</v>
          </cell>
          <cell r="BH75">
            <v>1013.4782608695659</v>
          </cell>
          <cell r="BI75">
            <v>1040.8695652173919</v>
          </cell>
          <cell r="BJ75">
            <v>1068.2608695652182</v>
          </cell>
          <cell r="BK75">
            <v>1095.6521739130442</v>
          </cell>
          <cell r="BL75">
            <v>1123.0434782608702</v>
          </cell>
          <cell r="BM75">
            <v>1150.4347826086962</v>
          </cell>
          <cell r="BN75">
            <v>1177.8260869565222</v>
          </cell>
          <cell r="BO75">
            <v>547.82608695652175</v>
          </cell>
          <cell r="BP75">
            <v>547.82608695652175</v>
          </cell>
          <cell r="BQ75">
            <v>547.82608695652175</v>
          </cell>
          <cell r="BR75">
            <v>547.82608695652175</v>
          </cell>
          <cell r="BS75">
            <v>547.82608695652175</v>
          </cell>
          <cell r="BT75">
            <v>547.82608695652175</v>
          </cell>
          <cell r="BU75">
            <v>547.82608695652175</v>
          </cell>
          <cell r="BV75">
            <v>547.82608695652175</v>
          </cell>
        </row>
        <row r="76">
          <cell r="A76" t="str">
            <v>DAIMLER</v>
          </cell>
          <cell r="B76" t="str">
            <v>BR223</v>
          </cell>
          <cell r="D76" t="str">
            <v>SHIFT C  - output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</row>
        <row r="77">
          <cell r="A77" t="str">
            <v>DAIMLER</v>
          </cell>
          <cell r="B77" t="str">
            <v>BR223</v>
          </cell>
          <cell r="D77" t="str">
            <v>Est. Output (Pcs day)</v>
          </cell>
          <cell r="E77">
            <v>5.75</v>
          </cell>
          <cell r="Z77">
            <v>493.04347826086951</v>
          </cell>
          <cell r="AA77">
            <v>516.52173913043475</v>
          </cell>
          <cell r="AB77">
            <v>477.39130434782612</v>
          </cell>
          <cell r="AC77">
            <v>438.26086956521743</v>
          </cell>
          <cell r="AD77">
            <v>493.04347826086956</v>
          </cell>
          <cell r="AE77">
            <v>688.695652173913</v>
          </cell>
          <cell r="AF77">
            <v>790.43478260869574</v>
          </cell>
          <cell r="AG77">
            <v>892.17391304347825</v>
          </cell>
          <cell r="AH77">
            <v>915.6521739130435</v>
          </cell>
          <cell r="AI77">
            <v>939.13043478260875</v>
          </cell>
          <cell r="AJ77">
            <v>962.60869565217399</v>
          </cell>
          <cell r="AK77">
            <v>986.08695652173924</v>
          </cell>
          <cell r="AL77">
            <v>1068.2608695652175</v>
          </cell>
          <cell r="AM77">
            <v>1095.6521739130437</v>
          </cell>
          <cell r="AN77">
            <v>1123.0434782608697</v>
          </cell>
          <cell r="AO77">
            <v>1150.434782608696</v>
          </cell>
          <cell r="AP77">
            <v>1177.826086956522</v>
          </cell>
          <cell r="AQ77">
            <v>1205.217391304348</v>
          </cell>
          <cell r="AR77">
            <v>1232.6086956521742</v>
          </cell>
          <cell r="AS77">
            <v>1260.0000000000005</v>
          </cell>
          <cell r="AT77">
            <v>1287.3913043478265</v>
          </cell>
          <cell r="AU77">
            <v>1314.7826086956525</v>
          </cell>
          <cell r="AV77">
            <v>1342.1739130434787</v>
          </cell>
          <cell r="AW77">
            <v>1369.5652173913049</v>
          </cell>
          <cell r="AX77">
            <v>1396.9565217391309</v>
          </cell>
          <cell r="AY77">
            <v>1424.347826086957</v>
          </cell>
          <cell r="AZ77">
            <v>1451.739130434783</v>
          </cell>
          <cell r="BA77">
            <v>1479.1304347826092</v>
          </cell>
          <cell r="BB77">
            <v>1506.5217391304354</v>
          </cell>
          <cell r="BC77">
            <v>1533.9130434782614</v>
          </cell>
          <cell r="BD77">
            <v>1561.3043478260875</v>
          </cell>
          <cell r="BE77">
            <v>1588.6956521739137</v>
          </cell>
          <cell r="BF77">
            <v>1616.0869565217399</v>
          </cell>
          <cell r="BG77">
            <v>1643.4782608695659</v>
          </cell>
          <cell r="BH77">
            <v>1670.8695652173919</v>
          </cell>
          <cell r="BI77">
            <v>1698.2608695652179</v>
          </cell>
          <cell r="BJ77">
            <v>1725.6521739130444</v>
          </cell>
          <cell r="BK77">
            <v>1753.0434782608704</v>
          </cell>
          <cell r="BL77">
            <v>1780.4347826086964</v>
          </cell>
          <cell r="BM77">
            <v>1807.8260869565224</v>
          </cell>
          <cell r="BN77">
            <v>1835.2173913043484</v>
          </cell>
          <cell r="BO77">
            <v>1205.217391304348</v>
          </cell>
          <cell r="BP77">
            <v>1205.217391304348</v>
          </cell>
          <cell r="BQ77">
            <v>1205.217391304348</v>
          </cell>
          <cell r="BR77">
            <v>1205.217391304348</v>
          </cell>
          <cell r="BS77">
            <v>1205.217391304348</v>
          </cell>
          <cell r="BT77">
            <v>1205.217391304348</v>
          </cell>
          <cell r="BU77">
            <v>1205.217391304348</v>
          </cell>
          <cell r="BV77">
            <v>1205.217391304348</v>
          </cell>
        </row>
        <row r="78">
          <cell r="A78" t="str">
            <v>DAIMLER</v>
          </cell>
          <cell r="B78" t="str">
            <v>BR223</v>
          </cell>
          <cell r="D78" t="str">
            <v>Weekly Output PLAN</v>
          </cell>
          <cell r="E78" t="str">
            <v>SEW</v>
          </cell>
          <cell r="Z78">
            <v>2465.2173913043475</v>
          </cell>
          <cell r="AA78">
            <v>2582.608695652174</v>
          </cell>
          <cell r="AB78">
            <v>2386.9565217391305</v>
          </cell>
          <cell r="AC78">
            <v>2191.304347826087</v>
          </cell>
          <cell r="AD78">
            <v>1479.1304347826087</v>
          </cell>
          <cell r="AE78">
            <v>3443.478260869565</v>
          </cell>
          <cell r="AF78">
            <v>3952.1739130434789</v>
          </cell>
          <cell r="AG78">
            <v>4460.869565217391</v>
          </cell>
          <cell r="AH78">
            <v>4578.2608695652179</v>
          </cell>
          <cell r="AI78">
            <v>4695.652173913044</v>
          </cell>
          <cell r="AJ78">
            <v>4813.04347826087</v>
          </cell>
          <cell r="AK78">
            <v>3944.347826086957</v>
          </cell>
          <cell r="AL78">
            <v>4273.04347826087</v>
          </cell>
          <cell r="AM78">
            <v>5478.2608695652189</v>
          </cell>
          <cell r="AN78">
            <v>4492.1739130434789</v>
          </cell>
          <cell r="AO78">
            <v>5752.1739130434798</v>
          </cell>
          <cell r="AP78">
            <v>5889.1304347826099</v>
          </cell>
          <cell r="AQ78">
            <v>6026.0869565217399</v>
          </cell>
          <cell r="AR78">
            <v>6163.0434782608709</v>
          </cell>
          <cell r="AS78">
            <v>6300.0000000000018</v>
          </cell>
          <cell r="AT78">
            <v>6436.9565217391319</v>
          </cell>
          <cell r="AU78">
            <v>6573.9130434782619</v>
          </cell>
          <cell r="AV78">
            <v>6710.8695652173938</v>
          </cell>
          <cell r="AW78">
            <v>6847.8260869565247</v>
          </cell>
          <cell r="AX78">
            <v>6984.7826086956547</v>
          </cell>
          <cell r="AY78">
            <v>7121.7391304347848</v>
          </cell>
          <cell r="AZ78">
            <v>0</v>
          </cell>
          <cell r="BA78">
            <v>0</v>
          </cell>
          <cell r="BB78">
            <v>9039.1304347826117</v>
          </cell>
          <cell r="BC78">
            <v>9203.4782608695677</v>
          </cell>
          <cell r="BD78">
            <v>9367.8260869565238</v>
          </cell>
          <cell r="BE78">
            <v>7943.4782608695687</v>
          </cell>
          <cell r="BF78">
            <v>8080.4347826086996</v>
          </cell>
          <cell r="BG78">
            <v>8217.3913043478296</v>
          </cell>
          <cell r="BH78">
            <v>8354.3478260869597</v>
          </cell>
          <cell r="BI78">
            <v>8491.3043478260897</v>
          </cell>
          <cell r="BJ78">
            <v>8628.2608695652216</v>
          </cell>
          <cell r="BK78">
            <v>8765.2173913043516</v>
          </cell>
          <cell r="BL78">
            <v>24926.086956521751</v>
          </cell>
          <cell r="BM78">
            <v>25309.565217391315</v>
          </cell>
          <cell r="BN78">
            <v>25693.043478260879</v>
          </cell>
          <cell r="BO78">
            <v>16873.043478260872</v>
          </cell>
          <cell r="BP78">
            <v>16873.043478260872</v>
          </cell>
          <cell r="BQ78">
            <v>16873.043478260872</v>
          </cell>
          <cell r="BR78">
            <v>16873.043478260872</v>
          </cell>
          <cell r="BS78">
            <v>16873.043478260872</v>
          </cell>
          <cell r="BT78">
            <v>16873.043478260872</v>
          </cell>
          <cell r="BU78">
            <v>16873.043478260872</v>
          </cell>
          <cell r="BV78">
            <v>16873.043478260872</v>
          </cell>
        </row>
        <row r="79">
          <cell r="A79" t="str">
            <v>DAIMLER</v>
          </cell>
          <cell r="B79" t="str">
            <v>BR223</v>
          </cell>
          <cell r="D79" t="str">
            <v>ROHR Outer</v>
          </cell>
          <cell r="E79">
            <v>6.4809900000000003</v>
          </cell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</row>
        <row r="80">
          <cell r="A80" t="str">
            <v>DAIMLER</v>
          </cell>
          <cell r="B80" t="str">
            <v>BR223</v>
          </cell>
          <cell r="D80" t="str">
            <v>ROHR  manual</v>
          </cell>
          <cell r="E80">
            <v>5.2668000000000008</v>
          </cell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</row>
        <row r="81">
          <cell r="A81" t="str">
            <v>DAIMLER</v>
          </cell>
          <cell r="B81" t="str">
            <v>BR223</v>
          </cell>
          <cell r="D81" t="str">
            <v>ROHR electric</v>
          </cell>
          <cell r="E81">
            <v>5.3550000000000004</v>
          </cell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</row>
        <row r="82">
          <cell r="A82" t="str">
            <v>DAIMLER</v>
          </cell>
          <cell r="B82" t="str">
            <v>BR223</v>
          </cell>
          <cell r="D82" t="str">
            <v>Center</v>
          </cell>
          <cell r="E82">
            <v>2.6433</v>
          </cell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</row>
        <row r="83">
          <cell r="A83" t="str">
            <v>DAIMLER</v>
          </cell>
          <cell r="B83" t="str">
            <v>BR223</v>
          </cell>
          <cell r="D83" t="str">
            <v>MOPHF 1</v>
          </cell>
          <cell r="E83">
            <v>5.8293000000000008</v>
          </cell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</row>
        <row r="84">
          <cell r="A84" t="str">
            <v>DAIMLER</v>
          </cell>
          <cell r="B84" t="str">
            <v>BR223</v>
          </cell>
          <cell r="D84" t="str">
            <v>MOPHF 2</v>
          </cell>
          <cell r="E84">
            <v>5.8293000000000008</v>
          </cell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</row>
        <row r="85">
          <cell r="A85" t="str">
            <v>DAIMLER</v>
          </cell>
          <cell r="B85" t="str">
            <v>BR223</v>
          </cell>
          <cell r="D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</row>
        <row r="86">
          <cell r="A86" t="str">
            <v>DAIMLER</v>
          </cell>
          <cell r="B86" t="str">
            <v>BR223</v>
          </cell>
          <cell r="D86" t="str">
            <v>Weekly Output PLAN - SUM of models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</row>
        <row r="87">
          <cell r="A87" t="str">
            <v>DAIMLER</v>
          </cell>
          <cell r="B87" t="str">
            <v>BR223</v>
          </cell>
          <cell r="D87" t="str">
            <v>Weekly Output CHECK with TO time multiple</v>
          </cell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</row>
        <row r="88">
          <cell r="A88" t="str">
            <v>DAIMLER</v>
          </cell>
          <cell r="B88" t="str">
            <v>BR223</v>
          </cell>
          <cell r="D88" t="str">
            <v>Weekly Output ACT</v>
          </cell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</row>
        <row r="89">
          <cell r="A89" t="str">
            <v>DAIMLER</v>
          </cell>
          <cell r="B89" t="str">
            <v>BR223</v>
          </cell>
          <cell r="D89" t="str">
            <v>ROHR Outer</v>
          </cell>
          <cell r="Z89">
            <v>40</v>
          </cell>
          <cell r="AA89">
            <v>0</v>
          </cell>
          <cell r="AB89">
            <v>80</v>
          </cell>
          <cell r="AC89">
            <v>1180</v>
          </cell>
          <cell r="AD89">
            <v>480</v>
          </cell>
          <cell r="AE89">
            <v>160</v>
          </cell>
          <cell r="AF89">
            <v>0</v>
          </cell>
          <cell r="AG89">
            <v>0</v>
          </cell>
          <cell r="AH89">
            <v>40</v>
          </cell>
          <cell r="AI89">
            <v>0</v>
          </cell>
          <cell r="AJ89">
            <v>0</v>
          </cell>
          <cell r="AK89">
            <v>40</v>
          </cell>
          <cell r="AL89">
            <v>0</v>
          </cell>
          <cell r="AM89">
            <v>40</v>
          </cell>
          <cell r="AN89">
            <v>40</v>
          </cell>
          <cell r="AO89">
            <v>40</v>
          </cell>
          <cell r="AP89">
            <v>0</v>
          </cell>
          <cell r="AQ89">
            <v>0</v>
          </cell>
          <cell r="AR89">
            <v>0</v>
          </cell>
          <cell r="AS89">
            <v>160</v>
          </cell>
          <cell r="AT89">
            <v>0</v>
          </cell>
          <cell r="AU89">
            <v>0</v>
          </cell>
          <cell r="AV89">
            <v>0</v>
          </cell>
          <cell r="AW89">
            <v>3057.6939856358431</v>
          </cell>
          <cell r="AX89">
            <v>3057.6939856358431</v>
          </cell>
          <cell r="AY89">
            <v>3057.6939856358431</v>
          </cell>
          <cell r="AZ89">
            <v>3057.6939856358431</v>
          </cell>
          <cell r="BA89">
            <v>3057.6939856358431</v>
          </cell>
          <cell r="BB89">
            <v>3057.6939856358431</v>
          </cell>
          <cell r="BC89">
            <v>3057.6939856358431</v>
          </cell>
          <cell r="BD89">
            <v>3736.3516802168019</v>
          </cell>
          <cell r="BE89">
            <v>3736.3516802168019</v>
          </cell>
          <cell r="BF89">
            <v>3057.6939856358431</v>
          </cell>
          <cell r="BG89">
            <v>3057.6939856358431</v>
          </cell>
          <cell r="BH89">
            <v>3057.6939856358431</v>
          </cell>
          <cell r="BI89">
            <v>3057.6939856358431</v>
          </cell>
          <cell r="BJ89">
            <v>3057.6939856358431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</row>
        <row r="90">
          <cell r="A90" t="str">
            <v>DAIMLER</v>
          </cell>
          <cell r="B90" t="str">
            <v>BR223</v>
          </cell>
          <cell r="D90" t="str">
            <v>ROHR  manual</v>
          </cell>
          <cell r="Z90">
            <v>36</v>
          </cell>
          <cell r="AA90">
            <v>0</v>
          </cell>
          <cell r="AB90">
            <v>108</v>
          </cell>
          <cell r="AC90">
            <v>1260</v>
          </cell>
          <cell r="AD90">
            <v>0</v>
          </cell>
          <cell r="AE90">
            <v>0</v>
          </cell>
          <cell r="AF90">
            <v>0</v>
          </cell>
          <cell r="AG90">
            <v>1260</v>
          </cell>
          <cell r="AH90">
            <v>0</v>
          </cell>
          <cell r="AI90">
            <v>0</v>
          </cell>
          <cell r="AJ90">
            <v>0</v>
          </cell>
          <cell r="AK90">
            <v>1548</v>
          </cell>
          <cell r="AL90">
            <v>0</v>
          </cell>
          <cell r="AM90">
            <v>0</v>
          </cell>
          <cell r="AN90">
            <v>0</v>
          </cell>
          <cell r="AO90">
            <v>1944</v>
          </cell>
          <cell r="AP90">
            <v>0</v>
          </cell>
          <cell r="AQ90">
            <v>0</v>
          </cell>
          <cell r="AR90">
            <v>0</v>
          </cell>
          <cell r="AS90">
            <v>2376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</row>
        <row r="91">
          <cell r="A91" t="str">
            <v>DAIMLER</v>
          </cell>
          <cell r="B91" t="str">
            <v>BR223</v>
          </cell>
          <cell r="D91" t="str">
            <v>ROHR electric</v>
          </cell>
          <cell r="Z91">
            <v>36</v>
          </cell>
          <cell r="AA91">
            <v>0</v>
          </cell>
          <cell r="AB91">
            <v>72</v>
          </cell>
          <cell r="AC91">
            <v>180</v>
          </cell>
          <cell r="AD91">
            <v>72</v>
          </cell>
          <cell r="AE91">
            <v>0</v>
          </cell>
          <cell r="AF91">
            <v>216</v>
          </cell>
          <cell r="AG91">
            <v>0</v>
          </cell>
          <cell r="AH91">
            <v>288</v>
          </cell>
          <cell r="AI91">
            <v>0</v>
          </cell>
          <cell r="AJ91">
            <v>216</v>
          </cell>
          <cell r="AK91">
            <v>0</v>
          </cell>
          <cell r="AL91">
            <v>288</v>
          </cell>
          <cell r="AM91">
            <v>0</v>
          </cell>
          <cell r="AN91">
            <v>0</v>
          </cell>
          <cell r="AO91">
            <v>468</v>
          </cell>
          <cell r="AP91">
            <v>0</v>
          </cell>
          <cell r="AQ91">
            <v>0</v>
          </cell>
          <cell r="AR91">
            <v>0</v>
          </cell>
          <cell r="AS91">
            <v>1092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</row>
        <row r="92">
          <cell r="A92" t="str">
            <v>DAIMLER</v>
          </cell>
          <cell r="B92" t="str">
            <v>BR223</v>
          </cell>
          <cell r="D92" t="str">
            <v>Center</v>
          </cell>
          <cell r="Z92">
            <v>680</v>
          </cell>
          <cell r="AA92">
            <v>0</v>
          </cell>
          <cell r="AB92">
            <v>520</v>
          </cell>
          <cell r="AC92">
            <v>840</v>
          </cell>
          <cell r="AD92">
            <v>440</v>
          </cell>
          <cell r="AE92">
            <v>280</v>
          </cell>
          <cell r="AF92">
            <v>320</v>
          </cell>
          <cell r="AG92">
            <v>0</v>
          </cell>
          <cell r="AH92">
            <v>200</v>
          </cell>
          <cell r="AI92">
            <v>360</v>
          </cell>
          <cell r="AJ92">
            <v>680</v>
          </cell>
          <cell r="AK92">
            <v>480</v>
          </cell>
          <cell r="AL92">
            <v>440</v>
          </cell>
          <cell r="AM92">
            <v>440</v>
          </cell>
          <cell r="AN92">
            <v>400</v>
          </cell>
          <cell r="AO92">
            <v>1520</v>
          </cell>
          <cell r="AP92">
            <v>0</v>
          </cell>
          <cell r="AQ92">
            <v>0</v>
          </cell>
          <cell r="AR92">
            <v>0</v>
          </cell>
          <cell r="AS92">
            <v>2400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</row>
        <row r="93">
          <cell r="A93" t="str">
            <v>DAIMLER</v>
          </cell>
          <cell r="B93" t="str">
            <v>BR223</v>
          </cell>
          <cell r="D93" t="str">
            <v>MOPHF 1</v>
          </cell>
          <cell r="Z93">
            <v>304</v>
          </cell>
          <cell r="AA93">
            <v>0</v>
          </cell>
          <cell r="AB93">
            <v>1730</v>
          </cell>
          <cell r="AC93">
            <v>2025</v>
          </cell>
          <cell r="AD93">
            <v>811</v>
          </cell>
          <cell r="AE93">
            <v>161</v>
          </cell>
          <cell r="AF93">
            <v>5665</v>
          </cell>
          <cell r="AG93">
            <v>5873</v>
          </cell>
          <cell r="AH93">
            <v>2364</v>
          </cell>
          <cell r="AI93">
            <v>894</v>
          </cell>
          <cell r="AJ93">
            <v>5872</v>
          </cell>
          <cell r="AK93">
            <v>6277</v>
          </cell>
          <cell r="AL93">
            <v>2727</v>
          </cell>
          <cell r="AM93">
            <v>1226</v>
          </cell>
          <cell r="AN93">
            <v>951</v>
          </cell>
          <cell r="AO93">
            <v>16998</v>
          </cell>
          <cell r="AP93">
            <v>0</v>
          </cell>
          <cell r="AQ93">
            <v>0</v>
          </cell>
          <cell r="AR93">
            <v>0</v>
          </cell>
          <cell r="AS93">
            <v>26235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3950.25</v>
          </cell>
          <cell r="AZ93">
            <v>3950.25</v>
          </cell>
          <cell r="BA93">
            <v>3950.25</v>
          </cell>
          <cell r="BB93">
            <v>2855.75</v>
          </cell>
          <cell r="BC93">
            <v>2855.75</v>
          </cell>
          <cell r="BD93">
            <v>2855.75</v>
          </cell>
          <cell r="BE93">
            <v>2855.75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</row>
        <row r="94">
          <cell r="A94" t="str">
            <v>DAIMLER</v>
          </cell>
          <cell r="B94" t="str">
            <v>BR223</v>
          </cell>
          <cell r="D94" t="str">
            <v>MOPHF 2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</row>
        <row r="95">
          <cell r="A95" t="str">
            <v>DAIMLER</v>
          </cell>
          <cell r="B95" t="str">
            <v>BR223</v>
          </cell>
          <cell r="D95" t="str">
            <v>MOPF (moeli ?? Ista vremena kao BR223?)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</row>
        <row r="96">
          <cell r="A96" t="str">
            <v>DAIMLER</v>
          </cell>
          <cell r="B96" t="str">
            <v>BR223</v>
          </cell>
          <cell r="D96" t="str">
            <v>Weekly demand</v>
          </cell>
          <cell r="Z96">
            <v>1096</v>
          </cell>
          <cell r="AA96">
            <v>0</v>
          </cell>
          <cell r="AB96">
            <v>2510</v>
          </cell>
          <cell r="AC96">
            <v>5485</v>
          </cell>
          <cell r="AD96">
            <v>1803</v>
          </cell>
          <cell r="AE96">
            <v>601</v>
          </cell>
          <cell r="AF96">
            <v>6201</v>
          </cell>
          <cell r="AG96">
            <v>7133</v>
          </cell>
          <cell r="AH96">
            <v>2892</v>
          </cell>
          <cell r="AI96">
            <v>1254</v>
          </cell>
          <cell r="AJ96">
            <v>6768</v>
          </cell>
          <cell r="AK96">
            <v>8345</v>
          </cell>
          <cell r="AL96">
            <v>3455</v>
          </cell>
          <cell r="AM96">
            <v>1706</v>
          </cell>
          <cell r="AN96">
            <v>1391</v>
          </cell>
          <cell r="AO96">
            <v>20970</v>
          </cell>
          <cell r="AP96">
            <v>0</v>
          </cell>
          <cell r="AQ96">
            <v>0</v>
          </cell>
          <cell r="AR96">
            <v>0</v>
          </cell>
          <cell r="AS96">
            <v>32263</v>
          </cell>
          <cell r="AT96">
            <v>0</v>
          </cell>
          <cell r="AU96">
            <v>0</v>
          </cell>
          <cell r="AV96">
            <v>0</v>
          </cell>
          <cell r="AW96">
            <v>3057.6939856358431</v>
          </cell>
          <cell r="AX96">
            <v>3057.6939856358431</v>
          </cell>
          <cell r="AY96">
            <v>7007.9439856358431</v>
          </cell>
          <cell r="AZ96">
            <v>7007.9439856358431</v>
          </cell>
          <cell r="BA96">
            <v>7007.9439856358431</v>
          </cell>
          <cell r="BB96">
            <v>5913.4439856358431</v>
          </cell>
          <cell r="BC96">
            <v>5913.4439856358431</v>
          </cell>
          <cell r="BD96">
            <v>6592.1016802168015</v>
          </cell>
          <cell r="BE96">
            <v>6592.1016802168015</v>
          </cell>
          <cell r="BF96">
            <v>3057.6939856358431</v>
          </cell>
          <cell r="BG96">
            <v>3057.6939856358431</v>
          </cell>
          <cell r="BH96">
            <v>3057.6939856358431</v>
          </cell>
          <cell r="BI96">
            <v>3057.6939856358431</v>
          </cell>
          <cell r="BJ96">
            <v>3057.6939856358431</v>
          </cell>
          <cell r="BK96">
            <v>0</v>
          </cell>
          <cell r="BL96">
            <v>172696.78118806376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</row>
        <row r="97">
          <cell r="A97" t="str">
            <v>DAIMLER</v>
          </cell>
          <cell r="B97" t="str">
            <v>BR223</v>
          </cell>
          <cell r="D97" t="str">
            <v>Stock Target</v>
          </cell>
          <cell r="Z97">
            <v>2500</v>
          </cell>
          <cell r="AA97">
            <v>2500</v>
          </cell>
          <cell r="AB97">
            <v>2500</v>
          </cell>
          <cell r="AC97">
            <v>2500</v>
          </cell>
          <cell r="AD97">
            <v>2500</v>
          </cell>
          <cell r="AE97">
            <v>2500</v>
          </cell>
          <cell r="AF97">
            <v>2500</v>
          </cell>
          <cell r="AG97">
            <v>2500</v>
          </cell>
          <cell r="AH97">
            <v>2500</v>
          </cell>
          <cell r="AI97">
            <v>2500</v>
          </cell>
          <cell r="AJ97">
            <v>2500</v>
          </cell>
          <cell r="AK97">
            <v>2500</v>
          </cell>
          <cell r="AL97">
            <v>2500</v>
          </cell>
          <cell r="AM97">
            <v>2500</v>
          </cell>
          <cell r="AN97">
            <v>2500</v>
          </cell>
          <cell r="AO97">
            <v>2500</v>
          </cell>
          <cell r="AP97">
            <v>2500</v>
          </cell>
          <cell r="AQ97">
            <v>2500</v>
          </cell>
          <cell r="AR97">
            <v>2500</v>
          </cell>
          <cell r="AS97">
            <v>2500</v>
          </cell>
          <cell r="AT97">
            <v>2500</v>
          </cell>
          <cell r="AU97">
            <v>2500</v>
          </cell>
          <cell r="AV97">
            <v>2500</v>
          </cell>
          <cell r="AW97">
            <v>2500</v>
          </cell>
          <cell r="AX97">
            <v>2500</v>
          </cell>
          <cell r="AY97">
            <v>2500</v>
          </cell>
          <cell r="AZ97">
            <v>2500</v>
          </cell>
          <cell r="BA97">
            <v>2500</v>
          </cell>
          <cell r="BB97">
            <v>2500</v>
          </cell>
          <cell r="BC97">
            <v>2500</v>
          </cell>
          <cell r="BD97">
            <v>2500</v>
          </cell>
          <cell r="BE97">
            <v>2500</v>
          </cell>
          <cell r="BF97">
            <v>2500</v>
          </cell>
          <cell r="BG97">
            <v>2500</v>
          </cell>
          <cell r="BH97">
            <v>2500</v>
          </cell>
          <cell r="BI97">
            <v>2500</v>
          </cell>
          <cell r="BJ97">
            <v>2500</v>
          </cell>
          <cell r="BK97">
            <v>2500</v>
          </cell>
          <cell r="BL97">
            <v>2500</v>
          </cell>
          <cell r="BM97">
            <v>2500</v>
          </cell>
          <cell r="BN97">
            <v>2500</v>
          </cell>
          <cell r="BO97">
            <v>2500</v>
          </cell>
          <cell r="BP97">
            <v>2500</v>
          </cell>
          <cell r="BQ97">
            <v>2500</v>
          </cell>
          <cell r="BR97">
            <v>2500</v>
          </cell>
          <cell r="BS97">
            <v>2500</v>
          </cell>
          <cell r="BT97">
            <v>2500</v>
          </cell>
          <cell r="BU97">
            <v>2500</v>
          </cell>
          <cell r="BV97">
            <v>2500</v>
          </cell>
        </row>
        <row r="98">
          <cell r="A98" t="str">
            <v>DAIMLER</v>
          </cell>
          <cell r="B98" t="str">
            <v>BR223</v>
          </cell>
          <cell r="D98" t="str">
            <v>ROHR Outer</v>
          </cell>
          <cell r="Z98">
            <v>1040</v>
          </cell>
          <cell r="AA98">
            <v>1360</v>
          </cell>
          <cell r="AB98">
            <v>1280</v>
          </cell>
          <cell r="AC98">
            <v>100</v>
          </cell>
          <cell r="AD98">
            <v>-380</v>
          </cell>
          <cell r="AE98">
            <v>-540</v>
          </cell>
          <cell r="AF98">
            <v>-540</v>
          </cell>
          <cell r="AG98">
            <v>-540</v>
          </cell>
          <cell r="AH98">
            <v>-580</v>
          </cell>
          <cell r="AI98">
            <v>-580</v>
          </cell>
          <cell r="AJ98">
            <v>-580</v>
          </cell>
          <cell r="AK98">
            <v>-620</v>
          </cell>
          <cell r="AL98">
            <v>-620</v>
          </cell>
          <cell r="AM98">
            <v>-660</v>
          </cell>
          <cell r="AN98">
            <v>-700</v>
          </cell>
          <cell r="AO98">
            <v>-740</v>
          </cell>
          <cell r="AP98">
            <v>-740</v>
          </cell>
          <cell r="AQ98">
            <v>-740</v>
          </cell>
          <cell r="AR98">
            <v>-740</v>
          </cell>
          <cell r="AS98">
            <v>-900</v>
          </cell>
          <cell r="AT98">
            <v>-900</v>
          </cell>
          <cell r="AU98">
            <v>-900</v>
          </cell>
          <cell r="AV98">
            <v>-900</v>
          </cell>
          <cell r="AW98">
            <v>-3957.6939856358431</v>
          </cell>
          <cell r="AX98">
            <v>-7015.3879712716862</v>
          </cell>
          <cell r="AY98">
            <v>-10073.081956907528</v>
          </cell>
          <cell r="AZ98">
            <v>-13130.775942543372</v>
          </cell>
          <cell r="BA98">
            <v>-16188.469928179216</v>
          </cell>
          <cell r="BB98">
            <v>-19246.16391381506</v>
          </cell>
          <cell r="BC98">
            <v>-22303.857899450904</v>
          </cell>
          <cell r="BD98">
            <v>-26040.209579667706</v>
          </cell>
          <cell r="BE98">
            <v>-29776.561259884507</v>
          </cell>
          <cell r="BF98">
            <v>-32834.255245520348</v>
          </cell>
          <cell r="BG98">
            <v>-35891.949231156192</v>
          </cell>
          <cell r="BH98">
            <v>-38949.643216792036</v>
          </cell>
          <cell r="BI98">
            <v>-42007.33720242788</v>
          </cell>
          <cell r="BJ98">
            <v>-45065.031188063724</v>
          </cell>
          <cell r="BK98">
            <v>-45065.031188063724</v>
          </cell>
          <cell r="BL98">
            <v>-45065.031188063724</v>
          </cell>
          <cell r="BM98">
            <v>-45065.031188063724</v>
          </cell>
          <cell r="BN98">
            <v>-45065.031188063724</v>
          </cell>
          <cell r="BO98">
            <v>-45065.031188063724</v>
          </cell>
          <cell r="BP98">
            <v>-45065.031188063724</v>
          </cell>
          <cell r="BQ98">
            <v>-45065.031188063724</v>
          </cell>
          <cell r="BR98">
            <v>-45065.031188063724</v>
          </cell>
          <cell r="BS98">
            <v>-45065.031188063724</v>
          </cell>
          <cell r="BT98">
            <v>-45065.031188063724</v>
          </cell>
          <cell r="BU98">
            <v>-45065.031188063724</v>
          </cell>
          <cell r="BV98">
            <v>-45065.031188063724</v>
          </cell>
        </row>
        <row r="99">
          <cell r="A99" t="str">
            <v>DAIMLER</v>
          </cell>
          <cell r="B99" t="str">
            <v>BR223</v>
          </cell>
          <cell r="D99" t="str">
            <v>ROHR  manual</v>
          </cell>
          <cell r="Z99">
            <v>1116</v>
          </cell>
          <cell r="AA99">
            <v>2136</v>
          </cell>
          <cell r="AB99">
            <v>2028</v>
          </cell>
          <cell r="AC99">
            <v>768</v>
          </cell>
          <cell r="AD99">
            <v>768</v>
          </cell>
          <cell r="AE99">
            <v>768</v>
          </cell>
          <cell r="AF99">
            <v>768</v>
          </cell>
          <cell r="AG99">
            <v>-492</v>
          </cell>
          <cell r="AH99">
            <v>-492</v>
          </cell>
          <cell r="AI99">
            <v>-492</v>
          </cell>
          <cell r="AJ99">
            <v>-492</v>
          </cell>
          <cell r="AK99">
            <v>-2040</v>
          </cell>
          <cell r="AL99">
            <v>-2040</v>
          </cell>
          <cell r="AM99">
            <v>-2040</v>
          </cell>
          <cell r="AN99">
            <v>-2040</v>
          </cell>
          <cell r="AO99">
            <v>-3984</v>
          </cell>
          <cell r="AP99">
            <v>-3984</v>
          </cell>
          <cell r="AQ99">
            <v>-3984</v>
          </cell>
          <cell r="AR99">
            <v>-3984</v>
          </cell>
          <cell r="AS99">
            <v>-6360</v>
          </cell>
          <cell r="AT99">
            <v>-6360</v>
          </cell>
          <cell r="AU99">
            <v>-6360</v>
          </cell>
          <cell r="AV99">
            <v>-6360</v>
          </cell>
          <cell r="AW99">
            <v>-6360</v>
          </cell>
          <cell r="AX99">
            <v>-6360</v>
          </cell>
          <cell r="AY99">
            <v>-6360</v>
          </cell>
          <cell r="AZ99">
            <v>-6360</v>
          </cell>
          <cell r="BA99">
            <v>-6360</v>
          </cell>
          <cell r="BB99">
            <v>-6360</v>
          </cell>
          <cell r="BC99">
            <v>-6360</v>
          </cell>
          <cell r="BD99">
            <v>-6360</v>
          </cell>
          <cell r="BE99">
            <v>-6360</v>
          </cell>
          <cell r="BF99">
            <v>-6360</v>
          </cell>
          <cell r="BG99">
            <v>-6360</v>
          </cell>
          <cell r="BH99">
            <v>-6360</v>
          </cell>
          <cell r="BI99">
            <v>-6360</v>
          </cell>
          <cell r="BJ99">
            <v>-6360</v>
          </cell>
          <cell r="BK99">
            <v>-6360</v>
          </cell>
          <cell r="BL99">
            <v>-6360</v>
          </cell>
          <cell r="BM99">
            <v>-6360</v>
          </cell>
          <cell r="BN99">
            <v>-6360</v>
          </cell>
          <cell r="BO99">
            <v>-6360</v>
          </cell>
          <cell r="BP99">
            <v>-6360</v>
          </cell>
          <cell r="BQ99">
            <v>-6360</v>
          </cell>
          <cell r="BR99">
            <v>-6360</v>
          </cell>
          <cell r="BS99">
            <v>-6360</v>
          </cell>
          <cell r="BT99">
            <v>-6360</v>
          </cell>
          <cell r="BU99">
            <v>-6360</v>
          </cell>
          <cell r="BV99">
            <v>-6360</v>
          </cell>
        </row>
        <row r="100">
          <cell r="A100" t="str">
            <v>DAIMLER</v>
          </cell>
          <cell r="B100" t="str">
            <v>BR223</v>
          </cell>
          <cell r="D100" t="str">
            <v>ROHR electric</v>
          </cell>
          <cell r="Z100">
            <v>1080</v>
          </cell>
          <cell r="AA100">
            <v>1368</v>
          </cell>
          <cell r="AB100">
            <v>1296</v>
          </cell>
          <cell r="AC100">
            <v>1116</v>
          </cell>
          <cell r="AD100">
            <v>1044</v>
          </cell>
          <cell r="AE100">
            <v>1044</v>
          </cell>
          <cell r="AF100">
            <v>828</v>
          </cell>
          <cell r="AG100">
            <v>828</v>
          </cell>
          <cell r="AH100">
            <v>540</v>
          </cell>
          <cell r="AI100">
            <v>540</v>
          </cell>
          <cell r="AJ100">
            <v>324</v>
          </cell>
          <cell r="AK100">
            <v>324</v>
          </cell>
          <cell r="AL100">
            <v>36</v>
          </cell>
          <cell r="AM100">
            <v>36</v>
          </cell>
          <cell r="AN100">
            <v>36</v>
          </cell>
          <cell r="AO100">
            <v>-432</v>
          </cell>
          <cell r="AP100">
            <v>-432</v>
          </cell>
          <cell r="AQ100">
            <v>-432</v>
          </cell>
          <cell r="AR100">
            <v>-432</v>
          </cell>
          <cell r="AS100">
            <v>-1524</v>
          </cell>
          <cell r="AT100">
            <v>-1524</v>
          </cell>
          <cell r="AU100">
            <v>-1524</v>
          </cell>
          <cell r="AV100">
            <v>-1524</v>
          </cell>
          <cell r="AW100">
            <v>-1524</v>
          </cell>
          <cell r="AX100">
            <v>-1524</v>
          </cell>
          <cell r="AY100">
            <v>-1524</v>
          </cell>
          <cell r="AZ100">
            <v>-1524</v>
          </cell>
          <cell r="BA100">
            <v>-1524</v>
          </cell>
          <cell r="BB100">
            <v>-1524</v>
          </cell>
          <cell r="BC100">
            <v>-1524</v>
          </cell>
          <cell r="BD100">
            <v>-1524</v>
          </cell>
          <cell r="BE100">
            <v>-1524</v>
          </cell>
          <cell r="BF100">
            <v>-1524</v>
          </cell>
          <cell r="BG100">
            <v>-1524</v>
          </cell>
          <cell r="BH100">
            <v>-1524</v>
          </cell>
          <cell r="BI100">
            <v>-1524</v>
          </cell>
          <cell r="BJ100">
            <v>-1524</v>
          </cell>
          <cell r="BK100">
            <v>-1524</v>
          </cell>
          <cell r="BL100">
            <v>-1524</v>
          </cell>
          <cell r="BM100">
            <v>-1524</v>
          </cell>
          <cell r="BN100">
            <v>-1524</v>
          </cell>
          <cell r="BO100">
            <v>-1524</v>
          </cell>
          <cell r="BP100">
            <v>-1524</v>
          </cell>
          <cell r="BQ100">
            <v>-1524</v>
          </cell>
          <cell r="BR100">
            <v>-1524</v>
          </cell>
          <cell r="BS100">
            <v>-1524</v>
          </cell>
          <cell r="BT100">
            <v>-1524</v>
          </cell>
          <cell r="BU100">
            <v>-1524</v>
          </cell>
          <cell r="BV100">
            <v>-1524</v>
          </cell>
        </row>
        <row r="101">
          <cell r="A101" t="str">
            <v>DAIMLER</v>
          </cell>
          <cell r="B101" t="str">
            <v>BR223</v>
          </cell>
          <cell r="D101" t="str">
            <v>Center</v>
          </cell>
          <cell r="Z101">
            <v>956</v>
          </cell>
          <cell r="AA101">
            <v>1556</v>
          </cell>
          <cell r="AB101">
            <v>1036</v>
          </cell>
          <cell r="AC101">
            <v>196</v>
          </cell>
          <cell r="AD101">
            <v>-244</v>
          </cell>
          <cell r="AE101">
            <v>-524</v>
          </cell>
          <cell r="AF101">
            <v>-844</v>
          </cell>
          <cell r="AG101">
            <v>-844</v>
          </cell>
          <cell r="AH101">
            <v>-1044</v>
          </cell>
          <cell r="AI101">
            <v>-1404</v>
          </cell>
          <cell r="AJ101">
            <v>-2084</v>
          </cell>
          <cell r="AK101">
            <v>-2564</v>
          </cell>
          <cell r="AL101">
            <v>-3004</v>
          </cell>
          <cell r="AM101">
            <v>-3444</v>
          </cell>
          <cell r="AN101">
            <v>-3844</v>
          </cell>
          <cell r="AO101">
            <v>-5364</v>
          </cell>
          <cell r="AP101">
            <v>-5364</v>
          </cell>
          <cell r="AQ101">
            <v>-5364</v>
          </cell>
          <cell r="AR101">
            <v>-5364</v>
          </cell>
          <cell r="AS101">
            <v>-7764</v>
          </cell>
          <cell r="AT101">
            <v>-7764</v>
          </cell>
          <cell r="AU101">
            <v>-7764</v>
          </cell>
          <cell r="AV101">
            <v>-7764</v>
          </cell>
          <cell r="AW101">
            <v>-7764</v>
          </cell>
          <cell r="AX101">
            <v>-7764</v>
          </cell>
          <cell r="AY101">
            <v>-7764</v>
          </cell>
          <cell r="AZ101">
            <v>-7764</v>
          </cell>
          <cell r="BA101">
            <v>-7764</v>
          </cell>
          <cell r="BB101">
            <v>-7764</v>
          </cell>
          <cell r="BC101">
            <v>-7764</v>
          </cell>
          <cell r="BD101">
            <v>-7764</v>
          </cell>
          <cell r="BE101">
            <v>-7764</v>
          </cell>
          <cell r="BF101">
            <v>-7764</v>
          </cell>
          <cell r="BG101">
            <v>-7764</v>
          </cell>
          <cell r="BH101">
            <v>-7764</v>
          </cell>
          <cell r="BI101">
            <v>-7764</v>
          </cell>
          <cell r="BJ101">
            <v>-7764</v>
          </cell>
          <cell r="BK101">
            <v>-7764</v>
          </cell>
          <cell r="BL101">
            <v>-7764</v>
          </cell>
          <cell r="BM101">
            <v>-7764</v>
          </cell>
          <cell r="BN101">
            <v>-7764</v>
          </cell>
          <cell r="BO101">
            <v>-7764</v>
          </cell>
          <cell r="BP101">
            <v>-7764</v>
          </cell>
          <cell r="BQ101">
            <v>-7764</v>
          </cell>
          <cell r="BR101">
            <v>-7764</v>
          </cell>
          <cell r="BS101">
            <v>-7764</v>
          </cell>
          <cell r="BT101">
            <v>-7764</v>
          </cell>
          <cell r="BU101">
            <v>-7764</v>
          </cell>
          <cell r="BV101">
            <v>-7764</v>
          </cell>
        </row>
        <row r="102">
          <cell r="A102" t="str">
            <v>DAIMLER</v>
          </cell>
          <cell r="B102" t="str">
            <v>BR223</v>
          </cell>
          <cell r="D102" t="str">
            <v>MOPHF 1</v>
          </cell>
          <cell r="E102" t="str">
            <v>provjera</v>
          </cell>
          <cell r="Z102">
            <v>1845</v>
          </cell>
          <cell r="AA102">
            <v>2400</v>
          </cell>
          <cell r="AB102">
            <v>670</v>
          </cell>
          <cell r="AC102">
            <v>-1355</v>
          </cell>
          <cell r="AD102">
            <v>-2166</v>
          </cell>
          <cell r="AE102">
            <v>-2327</v>
          </cell>
          <cell r="AF102">
            <v>-7992</v>
          </cell>
          <cell r="AG102">
            <v>-13865</v>
          </cell>
          <cell r="AH102">
            <v>-16229</v>
          </cell>
          <cell r="AI102">
            <v>-17123</v>
          </cell>
          <cell r="AJ102">
            <v>-22995</v>
          </cell>
          <cell r="AK102">
            <v>-29272</v>
          </cell>
          <cell r="AL102">
            <v>-31999</v>
          </cell>
          <cell r="AM102">
            <v>-33225</v>
          </cell>
          <cell r="AN102">
            <v>-34176</v>
          </cell>
          <cell r="AO102">
            <v>-51174</v>
          </cell>
          <cell r="AP102">
            <v>-51174</v>
          </cell>
          <cell r="AQ102">
            <v>-51174</v>
          </cell>
          <cell r="AR102">
            <v>-51174</v>
          </cell>
          <cell r="AS102">
            <v>-77409</v>
          </cell>
          <cell r="AT102">
            <v>-77409</v>
          </cell>
          <cell r="AU102">
            <v>-77409</v>
          </cell>
          <cell r="AV102">
            <v>-77409</v>
          </cell>
          <cell r="AW102">
            <v>-77409</v>
          </cell>
          <cell r="AX102">
            <v>-77409</v>
          </cell>
          <cell r="AY102">
            <v>-81359.25</v>
          </cell>
          <cell r="AZ102">
            <v>-85309.5</v>
          </cell>
          <cell r="BA102">
            <v>-89259.75</v>
          </cell>
          <cell r="BB102">
            <v>-92115.5</v>
          </cell>
          <cell r="BC102">
            <v>-94971.25</v>
          </cell>
          <cell r="BD102">
            <v>-97827</v>
          </cell>
          <cell r="BE102">
            <v>-100682.75</v>
          </cell>
          <cell r="BF102">
            <v>-100682.75</v>
          </cell>
          <cell r="BG102">
            <v>-100682.75</v>
          </cell>
          <cell r="BH102">
            <v>-100682.75</v>
          </cell>
          <cell r="BI102">
            <v>-100682.75</v>
          </cell>
          <cell r="BJ102">
            <v>-100682.75</v>
          </cell>
          <cell r="BK102">
            <v>-100682.75</v>
          </cell>
          <cell r="BL102">
            <v>-100682.75</v>
          </cell>
          <cell r="BM102">
            <v>-100682.75</v>
          </cell>
          <cell r="BN102">
            <v>-100682.75</v>
          </cell>
          <cell r="BO102">
            <v>-100682.75</v>
          </cell>
          <cell r="BP102">
            <v>-100682.75</v>
          </cell>
          <cell r="BQ102">
            <v>-100682.75</v>
          </cell>
          <cell r="BR102">
            <v>-100682.75</v>
          </cell>
          <cell r="BS102">
            <v>-100682.75</v>
          </cell>
          <cell r="BT102">
            <v>-100682.75</v>
          </cell>
          <cell r="BU102">
            <v>-100682.75</v>
          </cell>
          <cell r="BV102">
            <v>-100682.75</v>
          </cell>
        </row>
        <row r="103">
          <cell r="A103" t="str">
            <v>DAIMLER</v>
          </cell>
          <cell r="B103" t="str">
            <v>BR223</v>
          </cell>
          <cell r="D103" t="str">
            <v>MOPHF 2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</row>
        <row r="104">
          <cell r="A104" t="str">
            <v>DAIMLER</v>
          </cell>
          <cell r="B104" t="str">
            <v>BR223</v>
          </cell>
          <cell r="D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</row>
        <row r="105">
          <cell r="A105" t="str">
            <v>DAIMLER</v>
          </cell>
          <cell r="B105" t="str">
            <v>BR223</v>
          </cell>
          <cell r="D105" t="str">
            <v>STOCK</v>
          </cell>
          <cell r="Z105">
            <v>6037</v>
          </cell>
          <cell r="AA105">
            <v>8619.608695652174</v>
          </cell>
          <cell r="AB105">
            <v>8496.565217391304</v>
          </cell>
          <cell r="AC105">
            <v>5202.869565217391</v>
          </cell>
          <cell r="AD105">
            <v>4879</v>
          </cell>
          <cell r="AE105">
            <v>7721.478260869565</v>
          </cell>
          <cell r="AF105">
            <v>5472.652173913044</v>
          </cell>
          <cell r="AG105">
            <v>2800.521739130435</v>
          </cell>
          <cell r="AH105">
            <v>4486.7826086956529</v>
          </cell>
          <cell r="AI105">
            <v>7928.4347826086969</v>
          </cell>
          <cell r="AJ105">
            <v>5973.4782608695668</v>
          </cell>
          <cell r="AK105">
            <v>1572.8260869565238</v>
          </cell>
          <cell r="AL105">
            <v>2390.8695652173938</v>
          </cell>
          <cell r="AM105">
            <v>6163.1304347826126</v>
          </cell>
          <cell r="AN105">
            <v>9264.3043478260915</v>
          </cell>
          <cell r="AO105">
            <v>-5953.5217391304286</v>
          </cell>
          <cell r="AP105">
            <v>-64.391304347818732</v>
          </cell>
          <cell r="AQ105">
            <v>5961.6956521739212</v>
          </cell>
          <cell r="AR105">
            <v>12124.739130434791</v>
          </cell>
          <cell r="AS105">
            <v>-13838.260869565207</v>
          </cell>
          <cell r="AT105">
            <v>-7401.3043478260752</v>
          </cell>
          <cell r="AU105">
            <v>-827.39130434781327</v>
          </cell>
          <cell r="AV105">
            <v>5883.4782608695805</v>
          </cell>
          <cell r="AW105">
            <v>9673.6103621902621</v>
          </cell>
          <cell r="AX105">
            <v>13600.698985250074</v>
          </cell>
          <cell r="AY105">
            <v>13714.494130049015</v>
          </cell>
          <cell r="AZ105">
            <v>6706.5501444131723</v>
          </cell>
          <cell r="BA105">
            <v>-301.39384122267074</v>
          </cell>
          <cell r="BB105">
            <v>2824.2926079240979</v>
          </cell>
          <cell r="BC105">
            <v>6114.3268831578225</v>
          </cell>
          <cell r="BD105">
            <v>8890.0512898975448</v>
          </cell>
          <cell r="BE105">
            <v>10241.427870550313</v>
          </cell>
          <cell r="BF105">
            <v>15264.168667523169</v>
          </cell>
          <cell r="BG105">
            <v>20423.865986235156</v>
          </cell>
          <cell r="BH105">
            <v>25720.519826686272</v>
          </cell>
          <cell r="BI105">
            <v>31154.130188876516</v>
          </cell>
          <cell r="BJ105">
            <v>36724.697072805895</v>
          </cell>
          <cell r="BK105">
            <v>45489.914464110247</v>
          </cell>
          <cell r="BL105">
            <v>-102280.77976743176</v>
          </cell>
          <cell r="BM105">
            <v>-76971.214550040444</v>
          </cell>
          <cell r="BN105">
            <v>-51278.171071779565</v>
          </cell>
          <cell r="BO105">
            <v>-34405.127593518693</v>
          </cell>
          <cell r="BP105">
            <v>-17532.084115257821</v>
          </cell>
          <cell r="BQ105">
            <v>-659.04063699694962</v>
          </cell>
          <cell r="BR105">
            <v>16214.002841263922</v>
          </cell>
          <cell r="BS105">
            <v>33087.046319524794</v>
          </cell>
          <cell r="BT105">
            <v>49960.089797785666</v>
          </cell>
          <cell r="BU105">
            <v>66833.133276046545</v>
          </cell>
          <cell r="BV105">
            <v>83706.176754307409</v>
          </cell>
        </row>
        <row r="106">
          <cell r="A106" t="str">
            <v>Total BR223 Volumes</v>
          </cell>
          <cell r="D106"/>
          <cell r="Z106">
            <v>1364</v>
          </cell>
          <cell r="AA106">
            <v>0</v>
          </cell>
          <cell r="AB106">
            <v>2550</v>
          </cell>
          <cell r="AC106">
            <v>7285</v>
          </cell>
          <cell r="AD106">
            <v>1857</v>
          </cell>
          <cell r="AE106">
            <v>613</v>
          </cell>
          <cell r="AF106">
            <v>6201</v>
          </cell>
          <cell r="AG106">
            <v>10305</v>
          </cell>
          <cell r="AH106">
            <v>2964</v>
          </cell>
          <cell r="AI106">
            <v>1290</v>
          </cell>
          <cell r="AJ106">
            <v>6768</v>
          </cell>
          <cell r="AK106">
            <v>11825</v>
          </cell>
          <cell r="AL106">
            <v>3513</v>
          </cell>
          <cell r="AM106">
            <v>1718</v>
          </cell>
          <cell r="AN106">
            <v>1475</v>
          </cell>
          <cell r="AO106">
            <v>25006</v>
          </cell>
          <cell r="AP106">
            <v>0</v>
          </cell>
          <cell r="AQ106">
            <v>0</v>
          </cell>
          <cell r="AR106">
            <v>0</v>
          </cell>
          <cell r="AS106">
            <v>37099</v>
          </cell>
          <cell r="AT106">
            <v>0</v>
          </cell>
          <cell r="AU106">
            <v>0</v>
          </cell>
          <cell r="AV106">
            <v>0</v>
          </cell>
          <cell r="AW106">
            <v>3680.6939856358431</v>
          </cell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</row>
        <row r="107">
          <cell r="A107" t="str">
            <v>DAIMLER</v>
          </cell>
          <cell r="B107" t="str">
            <v>BR223 LTH</v>
          </cell>
          <cell r="D107" t="str">
            <v>Work days</v>
          </cell>
          <cell r="Z107">
            <v>5</v>
          </cell>
          <cell r="AA107">
            <v>5</v>
          </cell>
          <cell r="AB107">
            <v>5</v>
          </cell>
          <cell r="AC107">
            <v>5</v>
          </cell>
          <cell r="AD107">
            <v>3</v>
          </cell>
          <cell r="AE107">
            <v>5</v>
          </cell>
          <cell r="AF107">
            <v>5</v>
          </cell>
          <cell r="AG107">
            <v>5</v>
          </cell>
          <cell r="AH107">
            <v>5</v>
          </cell>
          <cell r="AI107">
            <v>5</v>
          </cell>
          <cell r="AJ107">
            <v>5</v>
          </cell>
          <cell r="AK107">
            <v>4</v>
          </cell>
          <cell r="AL107">
            <v>4</v>
          </cell>
          <cell r="AM107">
            <v>5</v>
          </cell>
          <cell r="AN107">
            <v>4</v>
          </cell>
          <cell r="AO107">
            <v>5</v>
          </cell>
          <cell r="AP107">
            <v>5</v>
          </cell>
          <cell r="AQ107">
            <v>5</v>
          </cell>
          <cell r="AR107">
            <v>5</v>
          </cell>
          <cell r="AS107">
            <v>5</v>
          </cell>
          <cell r="AT107">
            <v>5</v>
          </cell>
          <cell r="AU107">
            <v>5</v>
          </cell>
          <cell r="AV107">
            <v>5</v>
          </cell>
          <cell r="AW107">
            <v>5</v>
          </cell>
          <cell r="AX107">
            <v>5</v>
          </cell>
          <cell r="AY107">
            <v>5</v>
          </cell>
          <cell r="AZ107">
            <v>0</v>
          </cell>
          <cell r="BA107">
            <v>0</v>
          </cell>
          <cell r="BB107">
            <v>5</v>
          </cell>
          <cell r="BC107">
            <v>5</v>
          </cell>
          <cell r="BD107">
            <v>5</v>
          </cell>
          <cell r="BE107">
            <v>5</v>
          </cell>
          <cell r="BF107">
            <v>5</v>
          </cell>
          <cell r="BG107">
            <v>5</v>
          </cell>
          <cell r="BH107">
            <v>5</v>
          </cell>
          <cell r="BI107">
            <v>5</v>
          </cell>
          <cell r="BJ107">
            <v>5</v>
          </cell>
          <cell r="BK107">
            <v>5</v>
          </cell>
          <cell r="BL107">
            <v>5</v>
          </cell>
          <cell r="BM107">
            <v>5</v>
          </cell>
          <cell r="BN107">
            <v>5</v>
          </cell>
          <cell r="BO107">
            <v>5</v>
          </cell>
          <cell r="BP107">
            <v>5</v>
          </cell>
          <cell r="BQ107">
            <v>5</v>
          </cell>
          <cell r="BR107">
            <v>5</v>
          </cell>
          <cell r="BS107">
            <v>5</v>
          </cell>
          <cell r="BT107">
            <v>5</v>
          </cell>
          <cell r="BU107">
            <v>5</v>
          </cell>
          <cell r="BV107">
            <v>5</v>
          </cell>
        </row>
        <row r="108">
          <cell r="A108" t="str">
            <v>DAIMLER</v>
          </cell>
          <cell r="B108" t="str">
            <v>BR223 LTH</v>
          </cell>
          <cell r="D108" t="str">
            <v>SHIFT A HC - operators</v>
          </cell>
          <cell r="Z108">
            <v>4</v>
          </cell>
          <cell r="AA108">
            <v>2</v>
          </cell>
          <cell r="AB108">
            <v>2</v>
          </cell>
          <cell r="AC108">
            <v>1</v>
          </cell>
          <cell r="AD108">
            <v>2</v>
          </cell>
          <cell r="AE108">
            <v>1</v>
          </cell>
          <cell r="AF108">
            <v>2</v>
          </cell>
          <cell r="AG108">
            <v>2</v>
          </cell>
          <cell r="AH108">
            <v>2</v>
          </cell>
          <cell r="AI108">
            <v>2</v>
          </cell>
          <cell r="AJ108">
            <v>3</v>
          </cell>
          <cell r="AK108">
            <v>3</v>
          </cell>
          <cell r="AL108">
            <v>3</v>
          </cell>
          <cell r="AM108">
            <v>3</v>
          </cell>
          <cell r="AN108">
            <v>3</v>
          </cell>
          <cell r="AO108">
            <v>3</v>
          </cell>
          <cell r="AP108">
            <v>3</v>
          </cell>
          <cell r="AQ108">
            <v>3</v>
          </cell>
          <cell r="AR108">
            <v>3</v>
          </cell>
          <cell r="AS108">
            <v>3</v>
          </cell>
          <cell r="AT108">
            <v>3</v>
          </cell>
          <cell r="AU108">
            <v>3</v>
          </cell>
          <cell r="AV108">
            <v>3</v>
          </cell>
          <cell r="AW108">
            <v>3</v>
          </cell>
          <cell r="AX108">
            <v>3</v>
          </cell>
          <cell r="AY108">
            <v>3</v>
          </cell>
          <cell r="AZ108">
            <v>3</v>
          </cell>
          <cell r="BA108">
            <v>2</v>
          </cell>
          <cell r="BB108">
            <v>2</v>
          </cell>
          <cell r="BC108">
            <v>1</v>
          </cell>
          <cell r="BD108">
            <v>2</v>
          </cell>
          <cell r="BE108">
            <v>1</v>
          </cell>
          <cell r="BF108">
            <v>2</v>
          </cell>
          <cell r="BG108">
            <v>1</v>
          </cell>
          <cell r="BH108">
            <v>2</v>
          </cell>
          <cell r="BI108">
            <v>1</v>
          </cell>
          <cell r="BJ108">
            <v>2</v>
          </cell>
          <cell r="BK108">
            <v>1</v>
          </cell>
          <cell r="BL108">
            <v>3</v>
          </cell>
          <cell r="BM108">
            <v>1</v>
          </cell>
          <cell r="BN108">
            <v>3</v>
          </cell>
          <cell r="BO108">
            <v>1</v>
          </cell>
          <cell r="BP108">
            <v>3</v>
          </cell>
          <cell r="BQ108">
            <v>1</v>
          </cell>
          <cell r="BR108">
            <v>3</v>
          </cell>
          <cell r="BS108">
            <v>1</v>
          </cell>
          <cell r="BT108">
            <v>3</v>
          </cell>
          <cell r="BU108">
            <v>1</v>
          </cell>
          <cell r="BV108">
            <v>3</v>
          </cell>
        </row>
        <row r="109">
          <cell r="A109" t="str">
            <v>DAIMLER</v>
          </cell>
          <cell r="B109" t="str">
            <v>BR223 LTH</v>
          </cell>
          <cell r="D109" t="str">
            <v>SHIFT B HC  - operators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</row>
        <row r="110">
          <cell r="A110" t="str">
            <v>DAIMLER</v>
          </cell>
          <cell r="B110" t="str">
            <v>BR223 LTH</v>
          </cell>
          <cell r="D110" t="str">
            <v>SHIFT C HC  - operators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</row>
        <row r="111">
          <cell r="A111" t="str">
            <v>DAIMLER</v>
          </cell>
          <cell r="B111" t="str">
            <v>BR223 LTH</v>
          </cell>
          <cell r="D111" t="str">
            <v>Total HC</v>
          </cell>
          <cell r="Z111">
            <v>4</v>
          </cell>
          <cell r="AA111">
            <v>2</v>
          </cell>
          <cell r="AB111">
            <v>2</v>
          </cell>
          <cell r="AC111">
            <v>1</v>
          </cell>
          <cell r="AD111">
            <v>2</v>
          </cell>
          <cell r="AE111">
            <v>1</v>
          </cell>
          <cell r="AF111">
            <v>2</v>
          </cell>
          <cell r="AG111">
            <v>2</v>
          </cell>
          <cell r="AH111">
            <v>2</v>
          </cell>
          <cell r="AI111">
            <v>2</v>
          </cell>
          <cell r="AJ111">
            <v>3</v>
          </cell>
          <cell r="AK111">
            <v>3</v>
          </cell>
          <cell r="AL111">
            <v>3</v>
          </cell>
          <cell r="AM111">
            <v>3</v>
          </cell>
          <cell r="AN111">
            <v>3</v>
          </cell>
          <cell r="AO111">
            <v>3</v>
          </cell>
          <cell r="AP111">
            <v>3</v>
          </cell>
          <cell r="AQ111">
            <v>3</v>
          </cell>
          <cell r="AR111">
            <v>3</v>
          </cell>
          <cell r="AS111">
            <v>3</v>
          </cell>
          <cell r="AT111">
            <v>3</v>
          </cell>
          <cell r="AU111">
            <v>3</v>
          </cell>
          <cell r="AV111">
            <v>3</v>
          </cell>
          <cell r="AW111">
            <v>3</v>
          </cell>
          <cell r="AX111">
            <v>3</v>
          </cell>
          <cell r="AY111">
            <v>3</v>
          </cell>
          <cell r="AZ111">
            <v>3</v>
          </cell>
          <cell r="BA111">
            <v>2</v>
          </cell>
          <cell r="BB111">
            <v>2</v>
          </cell>
          <cell r="BC111">
            <v>1</v>
          </cell>
          <cell r="BD111">
            <v>2</v>
          </cell>
          <cell r="BE111">
            <v>1</v>
          </cell>
          <cell r="BF111">
            <v>2</v>
          </cell>
          <cell r="BG111">
            <v>1</v>
          </cell>
          <cell r="BH111">
            <v>2</v>
          </cell>
          <cell r="BI111">
            <v>1</v>
          </cell>
          <cell r="BJ111">
            <v>2</v>
          </cell>
          <cell r="BK111">
            <v>1</v>
          </cell>
          <cell r="BL111">
            <v>3</v>
          </cell>
          <cell r="BM111">
            <v>1</v>
          </cell>
          <cell r="BN111">
            <v>3</v>
          </cell>
          <cell r="BO111">
            <v>1</v>
          </cell>
          <cell r="BP111">
            <v>3</v>
          </cell>
          <cell r="BQ111">
            <v>1</v>
          </cell>
          <cell r="BR111">
            <v>3</v>
          </cell>
          <cell r="BS111">
            <v>1</v>
          </cell>
          <cell r="BT111">
            <v>3</v>
          </cell>
          <cell r="BU111">
            <v>1</v>
          </cell>
          <cell r="BV111">
            <v>3</v>
          </cell>
        </row>
        <row r="112">
          <cell r="A112" t="str">
            <v>DAIMLER</v>
          </cell>
          <cell r="B112" t="str">
            <v>BR223 LTH</v>
          </cell>
          <cell r="D112" t="str">
            <v>SHIFT A HC  - efficiency</v>
          </cell>
          <cell r="Z112">
            <v>0.55000000000000004</v>
          </cell>
          <cell r="AA112">
            <v>0.60000000000000009</v>
          </cell>
          <cell r="AB112">
            <v>0.65000000000000013</v>
          </cell>
          <cell r="AC112">
            <v>0.70000000000000018</v>
          </cell>
          <cell r="AD112">
            <v>0.75000000000000022</v>
          </cell>
          <cell r="AE112">
            <v>0.80000000000000027</v>
          </cell>
          <cell r="AF112">
            <v>0.85000000000000031</v>
          </cell>
          <cell r="AG112">
            <v>0.90000000000000036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1.2</v>
          </cell>
          <cell r="BL112">
            <v>1.2</v>
          </cell>
          <cell r="BM112">
            <v>1.2</v>
          </cell>
          <cell r="BN112">
            <v>1.2</v>
          </cell>
          <cell r="BO112">
            <v>1.2</v>
          </cell>
          <cell r="BP112">
            <v>1.2</v>
          </cell>
          <cell r="BQ112">
            <v>1.2</v>
          </cell>
          <cell r="BR112">
            <v>1.2</v>
          </cell>
          <cell r="BS112">
            <v>1.2</v>
          </cell>
          <cell r="BT112">
            <v>1.2</v>
          </cell>
          <cell r="BU112">
            <v>1.2</v>
          </cell>
          <cell r="BV112">
            <v>1.2</v>
          </cell>
        </row>
        <row r="113">
          <cell r="A113" t="str">
            <v>DAIMLER</v>
          </cell>
          <cell r="B113" t="str">
            <v>BR223 LTH</v>
          </cell>
          <cell r="D113" t="str">
            <v>SHIFT B HC  - efficiency</v>
          </cell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</row>
        <row r="114">
          <cell r="A114" t="str">
            <v>DAIMLER</v>
          </cell>
          <cell r="B114" t="str">
            <v>BR223 LTH</v>
          </cell>
          <cell r="D114" t="str">
            <v>SHIFT C HC  - efficiency</v>
          </cell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</row>
        <row r="115">
          <cell r="A115" t="str">
            <v>DAIMLER</v>
          </cell>
          <cell r="B115" t="str">
            <v>BR223 LTH</v>
          </cell>
          <cell r="D115" t="str">
            <v>Total efficiency</v>
          </cell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</row>
        <row r="116">
          <cell r="A116" t="str">
            <v>DAIMLER</v>
          </cell>
          <cell r="B116" t="str">
            <v>BR223 LTH</v>
          </cell>
          <cell r="D116" t="str">
            <v>SHIFT A - output</v>
          </cell>
          <cell r="Z116">
            <v>166.59094351052551</v>
          </cell>
          <cell r="AA116">
            <v>90.867787369377552</v>
          </cell>
          <cell r="AB116">
            <v>98.440102983492366</v>
          </cell>
          <cell r="AC116">
            <v>53.006209298803583</v>
          </cell>
          <cell r="AD116">
            <v>113.58473421172197</v>
          </cell>
          <cell r="AE116">
            <v>60.578524912918382</v>
          </cell>
          <cell r="AF116">
            <v>128.72936543995158</v>
          </cell>
          <cell r="AG116">
            <v>136.30168105406636</v>
          </cell>
          <cell r="AH116">
            <v>151.44631228229591</v>
          </cell>
          <cell r="AI116">
            <v>151.44631228229591</v>
          </cell>
          <cell r="AJ116">
            <v>227.16946842344385</v>
          </cell>
          <cell r="AK116">
            <v>227.16946842344385</v>
          </cell>
          <cell r="AL116">
            <v>227.16946842344385</v>
          </cell>
          <cell r="AM116">
            <v>227.16946842344385</v>
          </cell>
          <cell r="AN116">
            <v>227.16946842344385</v>
          </cell>
          <cell r="AO116">
            <v>227.16946842344385</v>
          </cell>
          <cell r="AP116">
            <v>227.16946842344385</v>
          </cell>
          <cell r="AQ116">
            <v>227.16946842344385</v>
          </cell>
          <cell r="AR116">
            <v>227.16946842344385</v>
          </cell>
          <cell r="AS116">
            <v>227.16946842344385</v>
          </cell>
          <cell r="AT116">
            <v>227.16946842344385</v>
          </cell>
          <cell r="AU116">
            <v>227.16946842344385</v>
          </cell>
          <cell r="AV116">
            <v>227.16946842344385</v>
          </cell>
          <cell r="AW116">
            <v>227.16946842344385</v>
          </cell>
          <cell r="AX116">
            <v>227.16946842344385</v>
          </cell>
          <cell r="AY116">
            <v>227.16946842344385</v>
          </cell>
          <cell r="AZ116">
            <v>227.16946842344385</v>
          </cell>
          <cell r="BA116">
            <v>151.44631228229591</v>
          </cell>
          <cell r="BB116">
            <v>151.44631228229591</v>
          </cell>
          <cell r="BC116">
            <v>75.723156141147953</v>
          </cell>
          <cell r="BD116">
            <v>151.44631228229591</v>
          </cell>
          <cell r="BE116">
            <v>75.723156141147953</v>
          </cell>
          <cell r="BF116">
            <v>151.44631228229591</v>
          </cell>
          <cell r="BG116">
            <v>75.723156141147953</v>
          </cell>
          <cell r="BH116">
            <v>151.44631228229591</v>
          </cell>
          <cell r="BI116">
            <v>75.723156141147953</v>
          </cell>
          <cell r="BJ116">
            <v>151.44631228229591</v>
          </cell>
          <cell r="BK116">
            <v>90.867787369377538</v>
          </cell>
          <cell r="BL116">
            <v>272.60336210813261</v>
          </cell>
          <cell r="BM116">
            <v>90.867787369377538</v>
          </cell>
          <cell r="BN116">
            <v>272.60336210813261</v>
          </cell>
          <cell r="BO116">
            <v>90.867787369377538</v>
          </cell>
          <cell r="BP116">
            <v>272.60336210813261</v>
          </cell>
          <cell r="BQ116">
            <v>90.867787369377538</v>
          </cell>
          <cell r="BR116">
            <v>272.60336210813261</v>
          </cell>
          <cell r="BS116">
            <v>90.867787369377538</v>
          </cell>
          <cell r="BT116">
            <v>272.60336210813261</v>
          </cell>
          <cell r="BU116">
            <v>90.867787369377538</v>
          </cell>
          <cell r="BV116">
            <v>272.60336210813261</v>
          </cell>
        </row>
        <row r="117">
          <cell r="A117" t="str">
            <v>DAIMLER</v>
          </cell>
          <cell r="B117" t="str">
            <v>BR223 LTH</v>
          </cell>
          <cell r="D117" t="str">
            <v>SHIFT B  - output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</row>
        <row r="118">
          <cell r="A118" t="str">
            <v>DAIMLER</v>
          </cell>
          <cell r="B118" t="str">
            <v>BR223 LTH</v>
          </cell>
          <cell r="D118" t="str">
            <v>SHIFT C  - output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</row>
        <row r="119">
          <cell r="A119" t="str">
            <v>DAIMLER</v>
          </cell>
          <cell r="B119" t="str">
            <v>BR223 LTH</v>
          </cell>
          <cell r="D119" t="str">
            <v>Est. Output (Pcs day)</v>
          </cell>
          <cell r="E119">
            <v>5.9427000000000003</v>
          </cell>
          <cell r="Z119">
            <v>166.59094351052551</v>
          </cell>
          <cell r="AA119">
            <v>90.867787369377552</v>
          </cell>
          <cell r="AB119">
            <v>98.440102983492366</v>
          </cell>
          <cell r="AC119">
            <v>53.006209298803583</v>
          </cell>
          <cell r="AD119">
            <v>113.58473421172197</v>
          </cell>
          <cell r="AE119">
            <v>60.578524912918382</v>
          </cell>
          <cell r="AF119">
            <v>128.72936543995158</v>
          </cell>
          <cell r="AG119">
            <v>136.30168105406636</v>
          </cell>
          <cell r="AH119">
            <v>151.44631228229591</v>
          </cell>
          <cell r="AI119">
            <v>151.44631228229591</v>
          </cell>
          <cell r="AJ119">
            <v>227.16946842344385</v>
          </cell>
          <cell r="AK119">
            <v>227.16946842344385</v>
          </cell>
          <cell r="AL119">
            <v>227.16946842344385</v>
          </cell>
          <cell r="AM119">
            <v>227.16946842344385</v>
          </cell>
          <cell r="AN119">
            <v>227.16946842344385</v>
          </cell>
          <cell r="AO119">
            <v>227.16946842344385</v>
          </cell>
          <cell r="AP119">
            <v>227.16946842344385</v>
          </cell>
          <cell r="AQ119">
            <v>227.16946842344385</v>
          </cell>
          <cell r="AR119">
            <v>227.16946842344385</v>
          </cell>
          <cell r="AS119">
            <v>227.16946842344385</v>
          </cell>
          <cell r="AT119">
            <v>227.16946842344385</v>
          </cell>
          <cell r="AU119">
            <v>227.16946842344385</v>
          </cell>
          <cell r="AV119">
            <v>227.16946842344385</v>
          </cell>
          <cell r="AW119">
            <v>227.16946842344385</v>
          </cell>
          <cell r="AX119">
            <v>227.16946842344385</v>
          </cell>
          <cell r="AY119">
            <v>227.16946842344385</v>
          </cell>
          <cell r="AZ119">
            <v>227.16946842344385</v>
          </cell>
          <cell r="BA119">
            <v>151.44631228229591</v>
          </cell>
          <cell r="BB119">
            <v>151.44631228229591</v>
          </cell>
          <cell r="BC119">
            <v>75.723156141147953</v>
          </cell>
          <cell r="BD119">
            <v>151.44631228229591</v>
          </cell>
          <cell r="BE119">
            <v>75.723156141147953</v>
          </cell>
          <cell r="BF119">
            <v>151.44631228229591</v>
          </cell>
          <cell r="BG119">
            <v>75.723156141147953</v>
          </cell>
          <cell r="BH119">
            <v>151.44631228229591</v>
          </cell>
          <cell r="BI119">
            <v>75.723156141147953</v>
          </cell>
          <cell r="BJ119">
            <v>151.44631228229591</v>
          </cell>
          <cell r="BK119">
            <v>90.867787369377538</v>
          </cell>
          <cell r="BL119">
            <v>272.60336210813261</v>
          </cell>
          <cell r="BM119">
            <v>90.867787369377538</v>
          </cell>
          <cell r="BN119">
            <v>272.60336210813261</v>
          </cell>
          <cell r="BO119">
            <v>90.867787369377538</v>
          </cell>
          <cell r="BP119">
            <v>272.60336210813261</v>
          </cell>
          <cell r="BQ119">
            <v>90.867787369377538</v>
          </cell>
          <cell r="BR119">
            <v>272.60336210813261</v>
          </cell>
          <cell r="BS119">
            <v>90.867787369377538</v>
          </cell>
          <cell r="BT119">
            <v>272.60336210813261</v>
          </cell>
          <cell r="BU119">
            <v>90.867787369377538</v>
          </cell>
          <cell r="BV119">
            <v>272.60336210813261</v>
          </cell>
        </row>
        <row r="120">
          <cell r="A120" t="str">
            <v>DAIMLER</v>
          </cell>
          <cell r="B120" t="str">
            <v>BR223 LTH</v>
          </cell>
          <cell r="D120" t="str">
            <v>Weekly Output PLAN</v>
          </cell>
          <cell r="E120" t="str">
            <v>SEW</v>
          </cell>
          <cell r="Z120">
            <v>832.95471755262747</v>
          </cell>
          <cell r="AA120">
            <v>454.33893684688775</v>
          </cell>
          <cell r="AB120">
            <v>492.20051491746182</v>
          </cell>
          <cell r="AC120">
            <v>265.03104649401791</v>
          </cell>
          <cell r="AD120">
            <v>340.75420263516588</v>
          </cell>
          <cell r="AE120">
            <v>302.89262456459193</v>
          </cell>
          <cell r="AF120">
            <v>643.64682719975792</v>
          </cell>
          <cell r="AG120">
            <v>681.50840527033188</v>
          </cell>
          <cell r="AH120">
            <v>757.23156141147956</v>
          </cell>
          <cell r="AI120">
            <v>757.23156141147956</v>
          </cell>
          <cell r="AJ120">
            <v>1135.8473421172193</v>
          </cell>
          <cell r="AK120">
            <v>908.67787369377538</v>
          </cell>
          <cell r="AL120">
            <v>908.67787369377538</v>
          </cell>
          <cell r="AM120">
            <v>1135.8473421172193</v>
          </cell>
          <cell r="AN120">
            <v>908.67787369377538</v>
          </cell>
          <cell r="AO120">
            <v>1135.8473421172193</v>
          </cell>
          <cell r="AP120">
            <v>1135.8473421172193</v>
          </cell>
          <cell r="AQ120">
            <v>1135.8473421172193</v>
          </cell>
          <cell r="AR120">
            <v>1135.8473421172193</v>
          </cell>
          <cell r="AS120">
            <v>1135.8473421172193</v>
          </cell>
          <cell r="AT120">
            <v>1135.8473421172193</v>
          </cell>
          <cell r="AU120">
            <v>1135.8473421172193</v>
          </cell>
          <cell r="AV120">
            <v>1135.8473421172193</v>
          </cell>
          <cell r="AW120">
            <v>1135.8473421172193</v>
          </cell>
          <cell r="AX120">
            <v>1135.8473421172193</v>
          </cell>
          <cell r="AY120">
            <v>1135.8473421172193</v>
          </cell>
          <cell r="AZ120">
            <v>0</v>
          </cell>
          <cell r="BA120">
            <v>0</v>
          </cell>
          <cell r="BB120">
            <v>757.23156141147956</v>
          </cell>
          <cell r="BC120">
            <v>378.61578070573978</v>
          </cell>
          <cell r="BD120">
            <v>757.23156141147956</v>
          </cell>
          <cell r="BE120">
            <v>378.61578070573978</v>
          </cell>
          <cell r="BF120">
            <v>757.23156141147956</v>
          </cell>
          <cell r="BG120">
            <v>378.61578070573978</v>
          </cell>
          <cell r="BH120">
            <v>757.23156141147956</v>
          </cell>
          <cell r="BI120">
            <v>378.61578070573978</v>
          </cell>
          <cell r="BJ120">
            <v>757.23156141147956</v>
          </cell>
          <cell r="BK120">
            <v>454.33893684688769</v>
          </cell>
          <cell r="BL120">
            <v>1363.0168105406631</v>
          </cell>
          <cell r="BM120">
            <v>454.33893684688769</v>
          </cell>
          <cell r="BN120">
            <v>1363.0168105406631</v>
          </cell>
          <cell r="BO120">
            <v>454.33893684688769</v>
          </cell>
          <cell r="BP120">
            <v>1363.0168105406631</v>
          </cell>
          <cell r="BQ120">
            <v>454.33893684688769</v>
          </cell>
          <cell r="BR120">
            <v>1363.0168105406631</v>
          </cell>
          <cell r="BS120">
            <v>454.33893684688769</v>
          </cell>
          <cell r="BT120">
            <v>1363.0168105406631</v>
          </cell>
          <cell r="BU120">
            <v>454.33893684688769</v>
          </cell>
          <cell r="BV120">
            <v>1363.0168105406631</v>
          </cell>
        </row>
        <row r="121">
          <cell r="A121" t="str">
            <v>DAIMLER</v>
          </cell>
          <cell r="B121" t="str">
            <v>BR223 LTH</v>
          </cell>
          <cell r="D121" t="str">
            <v>LTH</v>
          </cell>
          <cell r="E121">
            <v>5.9427000000000003</v>
          </cell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</row>
        <row r="122">
          <cell r="A122" t="str">
            <v>DAIMLER</v>
          </cell>
          <cell r="B122" t="str">
            <v>BR223 LTH</v>
          </cell>
          <cell r="D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</row>
        <row r="123">
          <cell r="A123" t="str">
            <v>DAIMLER</v>
          </cell>
          <cell r="B123" t="str">
            <v>BR223 LTH</v>
          </cell>
          <cell r="D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</row>
        <row r="124">
          <cell r="A124" t="str">
            <v>DAIMLER</v>
          </cell>
          <cell r="B124" t="str">
            <v>BR223 LTH</v>
          </cell>
          <cell r="D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</row>
        <row r="125">
          <cell r="A125" t="str">
            <v>DAIMLER</v>
          </cell>
          <cell r="B125" t="str">
            <v>BR223 LTH</v>
          </cell>
          <cell r="D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</row>
        <row r="126">
          <cell r="A126" t="str">
            <v>DAIMLER</v>
          </cell>
          <cell r="B126" t="str">
            <v>BR223 LTH</v>
          </cell>
          <cell r="D126" t="str">
            <v>Weekly Output PLAN - SUM of models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</row>
        <row r="127">
          <cell r="A127" t="str">
            <v>DAIMLER</v>
          </cell>
          <cell r="B127" t="str">
            <v>BR223 LTH</v>
          </cell>
          <cell r="D127" t="str">
            <v>Weekly Output CHECK with TO time multiple</v>
          </cell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</row>
        <row r="128">
          <cell r="A128" t="str">
            <v>DAIMLER</v>
          </cell>
          <cell r="B128" t="str">
            <v>BR223 LTH</v>
          </cell>
          <cell r="D128" t="str">
            <v>Weekly Output ACT</v>
          </cell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</row>
        <row r="129">
          <cell r="A129" t="str">
            <v>DAIMLER</v>
          </cell>
          <cell r="B129" t="str">
            <v>BR223 LTH</v>
          </cell>
          <cell r="D129" t="str">
            <v>LTH</v>
          </cell>
          <cell r="Z129">
            <v>268</v>
          </cell>
          <cell r="AA129">
            <v>0</v>
          </cell>
          <cell r="AB129">
            <v>40</v>
          </cell>
          <cell r="AC129">
            <v>1800</v>
          </cell>
          <cell r="AD129">
            <v>54</v>
          </cell>
          <cell r="AE129">
            <v>12</v>
          </cell>
          <cell r="AF129">
            <v>0</v>
          </cell>
          <cell r="AG129">
            <v>3172</v>
          </cell>
          <cell r="AH129">
            <v>72</v>
          </cell>
          <cell r="AI129">
            <v>36</v>
          </cell>
          <cell r="AJ129">
            <v>0</v>
          </cell>
          <cell r="AK129">
            <v>3480</v>
          </cell>
          <cell r="AL129">
            <v>58</v>
          </cell>
          <cell r="AM129">
            <v>12</v>
          </cell>
          <cell r="AN129">
            <v>84</v>
          </cell>
          <cell r="AO129">
            <v>4036</v>
          </cell>
          <cell r="AP129">
            <v>0</v>
          </cell>
          <cell r="AQ129">
            <v>0</v>
          </cell>
          <cell r="AR129">
            <v>0</v>
          </cell>
          <cell r="AS129">
            <v>4836</v>
          </cell>
          <cell r="AT129">
            <v>0</v>
          </cell>
          <cell r="AU129">
            <v>0</v>
          </cell>
          <cell r="AV129">
            <v>0</v>
          </cell>
          <cell r="AW129">
            <v>623</v>
          </cell>
          <cell r="AX129">
            <v>623</v>
          </cell>
          <cell r="AY129">
            <v>623</v>
          </cell>
          <cell r="AZ129">
            <v>623</v>
          </cell>
          <cell r="BA129">
            <v>623</v>
          </cell>
          <cell r="BB129">
            <v>623</v>
          </cell>
          <cell r="BC129">
            <v>623</v>
          </cell>
          <cell r="BD129">
            <v>623</v>
          </cell>
          <cell r="BE129">
            <v>623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</row>
        <row r="130">
          <cell r="A130" t="str">
            <v>DAIMLER</v>
          </cell>
          <cell r="B130" t="str">
            <v>BR223 LTH</v>
          </cell>
          <cell r="D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</row>
        <row r="131">
          <cell r="A131" t="str">
            <v>DAIMLER</v>
          </cell>
          <cell r="B131" t="str">
            <v>BR223 LTH</v>
          </cell>
          <cell r="D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</row>
        <row r="132">
          <cell r="A132" t="str">
            <v>DAIMLER</v>
          </cell>
          <cell r="B132" t="str">
            <v>BR223 LTH</v>
          </cell>
          <cell r="D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</row>
        <row r="133">
          <cell r="A133" t="str">
            <v>DAIMLER</v>
          </cell>
          <cell r="B133" t="str">
            <v>BR223 LTH</v>
          </cell>
          <cell r="D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</row>
        <row r="134">
          <cell r="A134" t="str">
            <v>DAIMLER</v>
          </cell>
          <cell r="B134" t="str">
            <v>BR223 LTH</v>
          </cell>
          <cell r="D134" t="str">
            <v>Weekly demand</v>
          </cell>
          <cell r="Z134">
            <v>268</v>
          </cell>
          <cell r="AA134">
            <v>0</v>
          </cell>
          <cell r="AB134">
            <v>40</v>
          </cell>
          <cell r="AC134">
            <v>1800</v>
          </cell>
          <cell r="AD134">
            <v>54</v>
          </cell>
          <cell r="AE134">
            <v>12</v>
          </cell>
          <cell r="AF134">
            <v>0</v>
          </cell>
          <cell r="AG134">
            <v>3172</v>
          </cell>
          <cell r="AH134">
            <v>72</v>
          </cell>
          <cell r="AI134">
            <v>36</v>
          </cell>
          <cell r="AJ134">
            <v>0</v>
          </cell>
          <cell r="AK134">
            <v>3480</v>
          </cell>
          <cell r="AL134">
            <v>58</v>
          </cell>
          <cell r="AM134">
            <v>12</v>
          </cell>
          <cell r="AN134">
            <v>84</v>
          </cell>
          <cell r="AO134">
            <v>4036</v>
          </cell>
          <cell r="AP134">
            <v>0</v>
          </cell>
          <cell r="AQ134">
            <v>0</v>
          </cell>
          <cell r="AR134">
            <v>0</v>
          </cell>
          <cell r="AS134">
            <v>4836</v>
          </cell>
          <cell r="AT134">
            <v>0</v>
          </cell>
          <cell r="AU134">
            <v>0</v>
          </cell>
          <cell r="AV134">
            <v>0</v>
          </cell>
          <cell r="AW134">
            <v>623</v>
          </cell>
          <cell r="AX134">
            <v>623</v>
          </cell>
          <cell r="AY134">
            <v>623</v>
          </cell>
          <cell r="AZ134">
            <v>623</v>
          </cell>
          <cell r="BA134">
            <v>623</v>
          </cell>
          <cell r="BB134">
            <v>623</v>
          </cell>
          <cell r="BC134">
            <v>623</v>
          </cell>
          <cell r="BD134">
            <v>623</v>
          </cell>
          <cell r="BE134">
            <v>623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23597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</row>
        <row r="135">
          <cell r="A135" t="str">
            <v>DAIMLER</v>
          </cell>
          <cell r="B135" t="str">
            <v>BR223 LTH</v>
          </cell>
          <cell r="D135" t="str">
            <v>Stock Target</v>
          </cell>
          <cell r="Z135">
            <v>750</v>
          </cell>
          <cell r="AA135">
            <v>750</v>
          </cell>
          <cell r="AB135">
            <v>750</v>
          </cell>
          <cell r="AC135">
            <v>750</v>
          </cell>
          <cell r="AD135">
            <v>750</v>
          </cell>
          <cell r="AE135">
            <v>750</v>
          </cell>
          <cell r="AF135">
            <v>750</v>
          </cell>
          <cell r="AG135">
            <v>750</v>
          </cell>
          <cell r="AH135">
            <v>750</v>
          </cell>
          <cell r="AI135">
            <v>750</v>
          </cell>
          <cell r="AJ135">
            <v>750</v>
          </cell>
          <cell r="AK135">
            <v>750</v>
          </cell>
          <cell r="AL135">
            <v>750</v>
          </cell>
          <cell r="AM135">
            <v>750</v>
          </cell>
          <cell r="AN135">
            <v>750</v>
          </cell>
          <cell r="AO135">
            <v>750</v>
          </cell>
          <cell r="AP135">
            <v>750</v>
          </cell>
          <cell r="AQ135">
            <v>750</v>
          </cell>
          <cell r="AR135">
            <v>750</v>
          </cell>
          <cell r="AS135">
            <v>750</v>
          </cell>
          <cell r="AT135">
            <v>750</v>
          </cell>
          <cell r="AU135">
            <v>750</v>
          </cell>
          <cell r="AV135">
            <v>750</v>
          </cell>
          <cell r="AW135">
            <v>750</v>
          </cell>
          <cell r="AX135">
            <v>750</v>
          </cell>
          <cell r="AY135">
            <v>750</v>
          </cell>
          <cell r="AZ135">
            <v>750</v>
          </cell>
          <cell r="BA135">
            <v>750</v>
          </cell>
          <cell r="BB135">
            <v>750</v>
          </cell>
          <cell r="BC135">
            <v>750</v>
          </cell>
          <cell r="BD135">
            <v>750</v>
          </cell>
          <cell r="BE135">
            <v>750</v>
          </cell>
          <cell r="BF135">
            <v>750</v>
          </cell>
          <cell r="BG135">
            <v>750</v>
          </cell>
          <cell r="BH135">
            <v>750</v>
          </cell>
          <cell r="BI135">
            <v>750</v>
          </cell>
          <cell r="BJ135">
            <v>750</v>
          </cell>
          <cell r="BK135">
            <v>750</v>
          </cell>
          <cell r="BL135">
            <v>750</v>
          </cell>
          <cell r="BM135">
            <v>750</v>
          </cell>
          <cell r="BN135">
            <v>750</v>
          </cell>
          <cell r="BO135">
            <v>750</v>
          </cell>
          <cell r="BP135">
            <v>750</v>
          </cell>
          <cell r="BQ135">
            <v>750</v>
          </cell>
          <cell r="BR135">
            <v>750</v>
          </cell>
          <cell r="BS135">
            <v>750</v>
          </cell>
          <cell r="BT135">
            <v>750</v>
          </cell>
          <cell r="BU135">
            <v>750</v>
          </cell>
          <cell r="BV135">
            <v>750</v>
          </cell>
        </row>
        <row r="136">
          <cell r="A136" t="str">
            <v>DAIMLER</v>
          </cell>
          <cell r="B136" t="str">
            <v>BR223 LTH</v>
          </cell>
          <cell r="D136" t="str">
            <v>LTH</v>
          </cell>
          <cell r="Z136">
            <v>911</v>
          </cell>
          <cell r="AA136">
            <v>1431</v>
          </cell>
          <cell r="AB136">
            <v>1391</v>
          </cell>
          <cell r="AC136">
            <v>-409</v>
          </cell>
          <cell r="AD136">
            <v>-463</v>
          </cell>
          <cell r="AE136">
            <v>-475</v>
          </cell>
          <cell r="AF136">
            <v>-475</v>
          </cell>
          <cell r="AG136">
            <v>-3647</v>
          </cell>
          <cell r="AH136">
            <v>-3719</v>
          </cell>
          <cell r="AI136">
            <v>-3755</v>
          </cell>
          <cell r="AJ136">
            <v>-3755</v>
          </cell>
          <cell r="AK136">
            <v>-7235</v>
          </cell>
          <cell r="AL136">
            <v>-7293</v>
          </cell>
          <cell r="AM136">
            <v>-7305</v>
          </cell>
          <cell r="AN136">
            <v>-7389</v>
          </cell>
          <cell r="AO136">
            <v>-11425</v>
          </cell>
          <cell r="AP136">
            <v>-11425</v>
          </cell>
          <cell r="AQ136">
            <v>-11425</v>
          </cell>
          <cell r="AR136">
            <v>-11425</v>
          </cell>
          <cell r="AS136">
            <v>-16261</v>
          </cell>
          <cell r="AT136">
            <v>-16261</v>
          </cell>
          <cell r="AU136">
            <v>-16261</v>
          </cell>
          <cell r="AV136">
            <v>-16261</v>
          </cell>
          <cell r="AW136">
            <v>-16884</v>
          </cell>
          <cell r="AX136">
            <v>-17507</v>
          </cell>
          <cell r="AY136">
            <v>-18130</v>
          </cell>
          <cell r="AZ136">
            <v>-18753</v>
          </cell>
          <cell r="BA136">
            <v>-19376</v>
          </cell>
          <cell r="BB136">
            <v>-19999</v>
          </cell>
          <cell r="BC136">
            <v>-20622</v>
          </cell>
          <cell r="BD136">
            <v>-21245</v>
          </cell>
          <cell r="BE136">
            <v>-21868</v>
          </cell>
          <cell r="BF136">
            <v>-21868</v>
          </cell>
          <cell r="BG136">
            <v>-21868</v>
          </cell>
          <cell r="BH136">
            <v>-21868</v>
          </cell>
          <cell r="BI136">
            <v>-21868</v>
          </cell>
          <cell r="BJ136">
            <v>-21868</v>
          </cell>
          <cell r="BK136">
            <v>-21868</v>
          </cell>
          <cell r="BL136">
            <v>-21868</v>
          </cell>
          <cell r="BM136">
            <v>-21868</v>
          </cell>
          <cell r="BN136">
            <v>-21868</v>
          </cell>
          <cell r="BO136">
            <v>-21868</v>
          </cell>
          <cell r="BP136">
            <v>-21868</v>
          </cell>
          <cell r="BQ136">
            <v>-21868</v>
          </cell>
          <cell r="BR136">
            <v>-21868</v>
          </cell>
          <cell r="BS136">
            <v>-21868</v>
          </cell>
          <cell r="BT136">
            <v>-21868</v>
          </cell>
          <cell r="BU136">
            <v>-21868</v>
          </cell>
          <cell r="BV136">
            <v>-21868</v>
          </cell>
        </row>
        <row r="137">
          <cell r="A137" t="str">
            <v>DAIMLER</v>
          </cell>
          <cell r="B137" t="str">
            <v>BR223 LTH</v>
          </cell>
          <cell r="D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</row>
        <row r="138">
          <cell r="A138" t="str">
            <v>DAIMLER</v>
          </cell>
          <cell r="B138" t="str">
            <v>BR223 LTH</v>
          </cell>
          <cell r="D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</row>
        <row r="139">
          <cell r="A139" t="str">
            <v>DAIMLER</v>
          </cell>
          <cell r="B139" t="str">
            <v>BR223 LTH</v>
          </cell>
          <cell r="D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</row>
        <row r="140">
          <cell r="A140" t="str">
            <v>DAIMLER</v>
          </cell>
          <cell r="B140" t="str">
            <v>BR223 LTH</v>
          </cell>
          <cell r="D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</row>
        <row r="141">
          <cell r="A141" t="str">
            <v>DAIMLER</v>
          </cell>
          <cell r="B141" t="str">
            <v>BR223 LTH</v>
          </cell>
          <cell r="D141" t="str">
            <v>STOCK</v>
          </cell>
          <cell r="Z141">
            <v>911</v>
          </cell>
          <cell r="AA141">
            <v>1365.3389368468877</v>
          </cell>
          <cell r="AB141">
            <v>1817.5394517643495</v>
          </cell>
          <cell r="AC141">
            <v>282.57049825836737</v>
          </cell>
          <cell r="AD141">
            <v>569.32470089353319</v>
          </cell>
          <cell r="AE141">
            <v>860.21732545812506</v>
          </cell>
          <cell r="AF141">
            <v>1503.8641526578831</v>
          </cell>
          <cell r="AG141">
            <v>-986.62744207178503</v>
          </cell>
          <cell r="AH141">
            <v>-301.39588066030547</v>
          </cell>
          <cell r="AI141">
            <v>419.8356807511741</v>
          </cell>
          <cell r="AJ141">
            <v>1555.6830228683934</v>
          </cell>
          <cell r="AK141">
            <v>-1015.6391034378312</v>
          </cell>
          <cell r="AL141">
            <v>-164.9612297440558</v>
          </cell>
          <cell r="AM141">
            <v>958.88611237316354</v>
          </cell>
          <cell r="AN141">
            <v>1783.5639860669389</v>
          </cell>
          <cell r="AO141">
            <v>-1116.5886718158417</v>
          </cell>
          <cell r="AP141">
            <v>19.258670301377606</v>
          </cell>
          <cell r="AQ141">
            <v>1155.1060124185969</v>
          </cell>
          <cell r="AR141">
            <v>2290.9533545358163</v>
          </cell>
          <cell r="AS141">
            <v>-1409.1993033469644</v>
          </cell>
          <cell r="AT141">
            <v>-273.35196122974503</v>
          </cell>
          <cell r="AU141">
            <v>862.49538088747431</v>
          </cell>
          <cell r="AV141">
            <v>1998.3427230046937</v>
          </cell>
          <cell r="AW141">
            <v>2511.190065121913</v>
          </cell>
          <cell r="AX141">
            <v>3024.0374072391323</v>
          </cell>
          <cell r="AY141">
            <v>3536.8847493563517</v>
          </cell>
          <cell r="AZ141">
            <v>2913.8847493563517</v>
          </cell>
          <cell r="BA141">
            <v>2290.8847493563517</v>
          </cell>
          <cell r="BB141">
            <v>2425.1163107678312</v>
          </cell>
          <cell r="BC141">
            <v>2180.732091473571</v>
          </cell>
          <cell r="BD141">
            <v>2314.9636528850506</v>
          </cell>
          <cell r="BE141">
            <v>2070.5794335907904</v>
          </cell>
          <cell r="BF141">
            <v>2827.8109950022699</v>
          </cell>
          <cell r="BG141">
            <v>3206.4267757080097</v>
          </cell>
          <cell r="BH141">
            <v>3963.6583371194893</v>
          </cell>
          <cell r="BI141">
            <v>4342.274117825229</v>
          </cell>
          <cell r="BJ141">
            <v>5099.5056792367086</v>
          </cell>
          <cell r="BK141">
            <v>5553.8446160835965</v>
          </cell>
          <cell r="BL141">
            <v>-16680.138573375742</v>
          </cell>
          <cell r="BM141">
            <v>-16225.799636528855</v>
          </cell>
          <cell r="BN141">
            <v>-14862.782825988192</v>
          </cell>
          <cell r="BO141">
            <v>-14408.443889141305</v>
          </cell>
          <cell r="BP141">
            <v>-13045.427078600642</v>
          </cell>
          <cell r="BQ141">
            <v>-12591.088141753755</v>
          </cell>
          <cell r="BR141">
            <v>-11228.071331213092</v>
          </cell>
          <cell r="BS141">
            <v>-10773.732394366205</v>
          </cell>
          <cell r="BT141">
            <v>-9410.7155838255421</v>
          </cell>
          <cell r="BU141">
            <v>-8956.3766469786551</v>
          </cell>
          <cell r="BV141">
            <v>-7593.3598364379923</v>
          </cell>
        </row>
        <row r="142">
          <cell r="A142" t="str">
            <v>Blank</v>
          </cell>
          <cell r="B142" t="str">
            <v>Blank</v>
          </cell>
          <cell r="D142" t="str">
            <v>Blank</v>
          </cell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</row>
        <row r="143">
          <cell r="A143" t="str">
            <v>FIAT</v>
          </cell>
          <cell r="B143" t="str">
            <v>J516 / VINYL</v>
          </cell>
          <cell r="D143" t="str">
            <v>Work days</v>
          </cell>
          <cell r="Z143">
            <v>4.5</v>
          </cell>
          <cell r="AA143">
            <v>5</v>
          </cell>
          <cell r="AB143">
            <v>5</v>
          </cell>
          <cell r="AC143">
            <v>6</v>
          </cell>
          <cell r="AD143">
            <v>3</v>
          </cell>
          <cell r="AE143">
            <v>6</v>
          </cell>
          <cell r="AF143">
            <v>6</v>
          </cell>
          <cell r="AG143">
            <v>6</v>
          </cell>
          <cell r="AH143">
            <v>5</v>
          </cell>
          <cell r="AI143">
            <v>5</v>
          </cell>
          <cell r="AJ143">
            <v>5</v>
          </cell>
          <cell r="AK143">
            <v>4</v>
          </cell>
          <cell r="AL143">
            <v>4</v>
          </cell>
          <cell r="AM143">
            <v>5</v>
          </cell>
          <cell r="AN143">
            <v>4</v>
          </cell>
          <cell r="AO143">
            <v>5</v>
          </cell>
          <cell r="AP143">
            <v>5</v>
          </cell>
          <cell r="AQ143">
            <v>5</v>
          </cell>
          <cell r="AR143">
            <v>5</v>
          </cell>
          <cell r="AS143">
            <v>5</v>
          </cell>
          <cell r="AT143">
            <v>5</v>
          </cell>
          <cell r="AU143">
            <v>5</v>
          </cell>
          <cell r="AV143">
            <v>5</v>
          </cell>
          <cell r="AW143">
            <v>5</v>
          </cell>
          <cell r="AX143">
            <v>5</v>
          </cell>
          <cell r="AY143">
            <v>5</v>
          </cell>
          <cell r="AZ143">
            <v>0</v>
          </cell>
          <cell r="BA143">
            <v>0</v>
          </cell>
          <cell r="BB143">
            <v>5</v>
          </cell>
          <cell r="BC143">
            <v>5</v>
          </cell>
          <cell r="BD143">
            <v>5</v>
          </cell>
          <cell r="BE143">
            <v>5</v>
          </cell>
          <cell r="BF143">
            <v>5</v>
          </cell>
          <cell r="BG143">
            <v>5</v>
          </cell>
          <cell r="BH143">
            <v>5</v>
          </cell>
          <cell r="BI143">
            <v>5</v>
          </cell>
          <cell r="BJ143">
            <v>5</v>
          </cell>
          <cell r="BK143">
            <v>5</v>
          </cell>
          <cell r="BL143">
            <v>24</v>
          </cell>
          <cell r="BM143">
            <v>24</v>
          </cell>
          <cell r="BN143">
            <v>24</v>
          </cell>
          <cell r="BO143">
            <v>24</v>
          </cell>
          <cell r="BP143">
            <v>24</v>
          </cell>
          <cell r="BQ143">
            <v>24</v>
          </cell>
          <cell r="BR143">
            <v>24</v>
          </cell>
          <cell r="BS143">
            <v>24</v>
          </cell>
          <cell r="BT143">
            <v>3</v>
          </cell>
          <cell r="BU143">
            <v>3</v>
          </cell>
          <cell r="BV143">
            <v>3</v>
          </cell>
        </row>
        <row r="144">
          <cell r="A144" t="str">
            <v>FIAT</v>
          </cell>
          <cell r="B144" t="str">
            <v>J516 / VINYL</v>
          </cell>
          <cell r="D144" t="str">
            <v>SHIFT A HC - operators</v>
          </cell>
          <cell r="Z144">
            <v>8</v>
          </cell>
          <cell r="AA144">
            <v>8</v>
          </cell>
          <cell r="AB144">
            <v>8</v>
          </cell>
          <cell r="AC144">
            <v>8</v>
          </cell>
          <cell r="AD144">
            <v>8</v>
          </cell>
          <cell r="AE144">
            <v>8</v>
          </cell>
          <cell r="AF144">
            <v>7</v>
          </cell>
          <cell r="AG144">
            <v>7</v>
          </cell>
          <cell r="AH144">
            <v>7</v>
          </cell>
          <cell r="AI144">
            <v>7</v>
          </cell>
          <cell r="AJ144">
            <v>7</v>
          </cell>
          <cell r="AK144">
            <v>6</v>
          </cell>
          <cell r="AL144">
            <v>6</v>
          </cell>
          <cell r="AM144">
            <v>6</v>
          </cell>
          <cell r="AN144">
            <v>6</v>
          </cell>
          <cell r="AO144">
            <v>6</v>
          </cell>
          <cell r="AP144">
            <v>6</v>
          </cell>
          <cell r="AQ144">
            <v>6</v>
          </cell>
          <cell r="AR144">
            <v>6</v>
          </cell>
          <cell r="AS144">
            <v>6</v>
          </cell>
          <cell r="AT144">
            <v>6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6</v>
          </cell>
          <cell r="BA144">
            <v>6</v>
          </cell>
          <cell r="BB144">
            <v>6</v>
          </cell>
          <cell r="BC144">
            <v>6</v>
          </cell>
          <cell r="BD144">
            <v>6</v>
          </cell>
          <cell r="BE144">
            <v>6</v>
          </cell>
          <cell r="BF144">
            <v>6</v>
          </cell>
          <cell r="BG144">
            <v>6</v>
          </cell>
          <cell r="BH144">
            <v>6</v>
          </cell>
          <cell r="BI144">
            <v>6</v>
          </cell>
          <cell r="BJ144">
            <v>6</v>
          </cell>
          <cell r="BK144">
            <v>12</v>
          </cell>
          <cell r="BL144">
            <v>12</v>
          </cell>
          <cell r="BM144">
            <v>12</v>
          </cell>
          <cell r="BN144">
            <v>12</v>
          </cell>
          <cell r="BO144">
            <v>12</v>
          </cell>
          <cell r="BP144">
            <v>12</v>
          </cell>
          <cell r="BQ144">
            <v>12</v>
          </cell>
          <cell r="BR144">
            <v>12</v>
          </cell>
          <cell r="BS144">
            <v>12</v>
          </cell>
          <cell r="BT144">
            <v>3</v>
          </cell>
          <cell r="BU144">
            <v>3</v>
          </cell>
          <cell r="BV144">
            <v>3</v>
          </cell>
        </row>
        <row r="145">
          <cell r="A145" t="str">
            <v>FIAT</v>
          </cell>
          <cell r="B145" t="str">
            <v>J516 / VINYL</v>
          </cell>
          <cell r="D145" t="str">
            <v>SHIFT B HC  - operators</v>
          </cell>
          <cell r="Z145">
            <v>8</v>
          </cell>
          <cell r="AA145">
            <v>8</v>
          </cell>
          <cell r="AB145">
            <v>8</v>
          </cell>
          <cell r="AC145">
            <v>8</v>
          </cell>
          <cell r="AD145">
            <v>8</v>
          </cell>
          <cell r="AE145">
            <v>8</v>
          </cell>
          <cell r="AF145">
            <v>7</v>
          </cell>
          <cell r="AG145">
            <v>7</v>
          </cell>
          <cell r="AH145">
            <v>7</v>
          </cell>
          <cell r="AI145">
            <v>7</v>
          </cell>
          <cell r="AJ145">
            <v>7</v>
          </cell>
          <cell r="AK145">
            <v>6</v>
          </cell>
          <cell r="AL145">
            <v>6</v>
          </cell>
          <cell r="AM145">
            <v>6</v>
          </cell>
          <cell r="AN145">
            <v>6</v>
          </cell>
          <cell r="AO145">
            <v>6</v>
          </cell>
          <cell r="AP145">
            <v>6</v>
          </cell>
          <cell r="AQ145">
            <v>6</v>
          </cell>
          <cell r="AR145">
            <v>6</v>
          </cell>
          <cell r="AS145">
            <v>6</v>
          </cell>
          <cell r="AT145">
            <v>6</v>
          </cell>
          <cell r="AU145">
            <v>6</v>
          </cell>
          <cell r="AV145">
            <v>6</v>
          </cell>
          <cell r="AW145">
            <v>6</v>
          </cell>
          <cell r="AX145">
            <v>6</v>
          </cell>
          <cell r="AY145">
            <v>6</v>
          </cell>
          <cell r="AZ145">
            <v>6</v>
          </cell>
          <cell r="BA145">
            <v>6</v>
          </cell>
          <cell r="BB145">
            <v>6</v>
          </cell>
          <cell r="BC145">
            <v>6</v>
          </cell>
          <cell r="BD145">
            <v>6</v>
          </cell>
          <cell r="BE145">
            <v>6</v>
          </cell>
          <cell r="BF145">
            <v>6</v>
          </cell>
          <cell r="BG145">
            <v>6</v>
          </cell>
          <cell r="BH145">
            <v>6</v>
          </cell>
          <cell r="BI145">
            <v>6</v>
          </cell>
          <cell r="BJ145">
            <v>6</v>
          </cell>
          <cell r="BK145">
            <v>12</v>
          </cell>
          <cell r="BL145">
            <v>12</v>
          </cell>
          <cell r="BM145">
            <v>12</v>
          </cell>
          <cell r="BN145">
            <v>12</v>
          </cell>
          <cell r="BO145">
            <v>12</v>
          </cell>
          <cell r="BP145">
            <v>12</v>
          </cell>
          <cell r="BQ145">
            <v>12</v>
          </cell>
          <cell r="BR145">
            <v>12</v>
          </cell>
          <cell r="BS145">
            <v>12</v>
          </cell>
          <cell r="BT145">
            <v>0</v>
          </cell>
          <cell r="BU145">
            <v>0</v>
          </cell>
          <cell r="BV145">
            <v>0</v>
          </cell>
        </row>
        <row r="146">
          <cell r="A146" t="str">
            <v>FIAT</v>
          </cell>
          <cell r="B146" t="str">
            <v>J516 / VINYL</v>
          </cell>
          <cell r="D146" t="str">
            <v>SHIFT C HC  - operators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</row>
        <row r="147">
          <cell r="A147" t="str">
            <v>FIAT</v>
          </cell>
          <cell r="B147" t="str">
            <v>J516 / VINYL</v>
          </cell>
          <cell r="D147" t="str">
            <v>Total HC</v>
          </cell>
          <cell r="Z147">
            <v>16</v>
          </cell>
          <cell r="AA147">
            <v>16</v>
          </cell>
          <cell r="AB147">
            <v>16</v>
          </cell>
          <cell r="AC147">
            <v>16</v>
          </cell>
          <cell r="AD147">
            <v>16</v>
          </cell>
          <cell r="AE147">
            <v>16</v>
          </cell>
          <cell r="AF147">
            <v>14</v>
          </cell>
          <cell r="AG147">
            <v>14</v>
          </cell>
          <cell r="AH147">
            <v>14</v>
          </cell>
          <cell r="AI147">
            <v>14</v>
          </cell>
          <cell r="AJ147">
            <v>14</v>
          </cell>
          <cell r="AK147">
            <v>12</v>
          </cell>
          <cell r="AL147">
            <v>12</v>
          </cell>
          <cell r="AM147">
            <v>12</v>
          </cell>
          <cell r="AN147">
            <v>12</v>
          </cell>
          <cell r="AO147">
            <v>12</v>
          </cell>
          <cell r="AP147">
            <v>12</v>
          </cell>
          <cell r="AQ147">
            <v>12</v>
          </cell>
          <cell r="AR147">
            <v>12</v>
          </cell>
          <cell r="AS147">
            <v>12</v>
          </cell>
          <cell r="AT147">
            <v>12</v>
          </cell>
          <cell r="AU147">
            <v>12</v>
          </cell>
          <cell r="AV147">
            <v>12</v>
          </cell>
          <cell r="AW147">
            <v>12</v>
          </cell>
          <cell r="AX147">
            <v>12</v>
          </cell>
          <cell r="AY147">
            <v>12</v>
          </cell>
          <cell r="AZ147">
            <v>12</v>
          </cell>
          <cell r="BA147">
            <v>12</v>
          </cell>
          <cell r="BB147">
            <v>12</v>
          </cell>
          <cell r="BC147">
            <v>12</v>
          </cell>
          <cell r="BD147">
            <v>12</v>
          </cell>
          <cell r="BE147">
            <v>12</v>
          </cell>
          <cell r="BF147">
            <v>12</v>
          </cell>
          <cell r="BG147">
            <v>12</v>
          </cell>
          <cell r="BH147">
            <v>12</v>
          </cell>
          <cell r="BI147">
            <v>12</v>
          </cell>
          <cell r="BJ147">
            <v>12</v>
          </cell>
          <cell r="BK147">
            <v>24</v>
          </cell>
          <cell r="BL147">
            <v>24</v>
          </cell>
          <cell r="BM147">
            <v>24</v>
          </cell>
          <cell r="BN147">
            <v>24</v>
          </cell>
          <cell r="BO147">
            <v>24</v>
          </cell>
          <cell r="BP147">
            <v>24</v>
          </cell>
          <cell r="BQ147">
            <v>24</v>
          </cell>
          <cell r="BR147">
            <v>24</v>
          </cell>
          <cell r="BS147">
            <v>24</v>
          </cell>
          <cell r="BT147">
            <v>3</v>
          </cell>
          <cell r="BU147">
            <v>3</v>
          </cell>
          <cell r="BV147">
            <v>3</v>
          </cell>
        </row>
        <row r="148">
          <cell r="A148" t="str">
            <v>FIAT</v>
          </cell>
          <cell r="B148" t="str">
            <v>J516 / VINYL</v>
          </cell>
          <cell r="D148" t="str">
            <v>SHIFT A HC  - efficiency</v>
          </cell>
          <cell r="Z148">
            <v>1.2</v>
          </cell>
          <cell r="AA148">
            <v>1.2</v>
          </cell>
          <cell r="AB148">
            <v>1.2</v>
          </cell>
          <cell r="AC148">
            <v>1.2</v>
          </cell>
          <cell r="AD148">
            <v>1.2</v>
          </cell>
          <cell r="AE148">
            <v>1.2</v>
          </cell>
          <cell r="AF148">
            <v>1.2</v>
          </cell>
          <cell r="AG148">
            <v>1.2</v>
          </cell>
          <cell r="AH148">
            <v>1.2</v>
          </cell>
          <cell r="AI148">
            <v>1.2</v>
          </cell>
          <cell r="AJ148">
            <v>1.2</v>
          </cell>
          <cell r="AK148">
            <v>1.2</v>
          </cell>
          <cell r="AL148">
            <v>1.2</v>
          </cell>
          <cell r="AM148">
            <v>1.2</v>
          </cell>
          <cell r="AN148">
            <v>1.2</v>
          </cell>
          <cell r="AO148">
            <v>1.1000000000000001</v>
          </cell>
          <cell r="AP148">
            <v>1.1000000000000001</v>
          </cell>
          <cell r="AQ148">
            <v>1.1000000000000001</v>
          </cell>
          <cell r="AR148">
            <v>1.1000000000000001</v>
          </cell>
          <cell r="AS148">
            <v>1.1000000000000001</v>
          </cell>
          <cell r="AT148">
            <v>1.1000000000000001</v>
          </cell>
          <cell r="AU148">
            <v>1.1000000000000001</v>
          </cell>
          <cell r="AV148">
            <v>1.1000000000000001</v>
          </cell>
          <cell r="AW148">
            <v>1.1000000000000001</v>
          </cell>
          <cell r="AX148">
            <v>1.1000000000000001</v>
          </cell>
          <cell r="AY148">
            <v>1.1000000000000001</v>
          </cell>
          <cell r="AZ148">
            <v>1.1000000000000001</v>
          </cell>
          <cell r="BA148">
            <v>1.1000000000000001</v>
          </cell>
          <cell r="BB148">
            <v>1.1000000000000001</v>
          </cell>
          <cell r="BC148">
            <v>1.1000000000000001</v>
          </cell>
          <cell r="BD148">
            <v>1.1000000000000001</v>
          </cell>
          <cell r="BE148">
            <v>1.1000000000000001</v>
          </cell>
          <cell r="BF148">
            <v>1.1000000000000001</v>
          </cell>
          <cell r="BG148">
            <v>1.1000000000000001</v>
          </cell>
          <cell r="BH148">
            <v>1.1000000000000001</v>
          </cell>
          <cell r="BI148">
            <v>1.1000000000000001</v>
          </cell>
          <cell r="BJ148">
            <v>1.2</v>
          </cell>
          <cell r="BK148">
            <v>1.1000000000000001</v>
          </cell>
          <cell r="BL148">
            <v>1.1000000000000001</v>
          </cell>
          <cell r="BM148">
            <v>1.1000000000000001</v>
          </cell>
          <cell r="BN148">
            <v>1.1000000000000001</v>
          </cell>
          <cell r="BO148">
            <v>1.1000000000000001</v>
          </cell>
          <cell r="BP148">
            <v>1.1000000000000001</v>
          </cell>
          <cell r="BQ148">
            <v>1.1000000000000001</v>
          </cell>
          <cell r="BR148">
            <v>1.1000000000000001</v>
          </cell>
          <cell r="BS148">
            <v>1.1000000000000001</v>
          </cell>
          <cell r="BT148">
            <v>1.1000000000000001</v>
          </cell>
          <cell r="BU148">
            <v>1.1000000000000001</v>
          </cell>
          <cell r="BV148">
            <v>1.1000000000000001</v>
          </cell>
        </row>
        <row r="149">
          <cell r="A149" t="str">
            <v>FIAT</v>
          </cell>
          <cell r="B149" t="str">
            <v>J516 / VINYL</v>
          </cell>
          <cell r="D149" t="str">
            <v>SHIFT B HC  - efficiency</v>
          </cell>
          <cell r="Z149">
            <v>1.2</v>
          </cell>
          <cell r="AA149">
            <v>1.2</v>
          </cell>
          <cell r="AB149">
            <v>1.2</v>
          </cell>
          <cell r="AC149">
            <v>1.2</v>
          </cell>
          <cell r="AD149">
            <v>1.2</v>
          </cell>
          <cell r="AE149">
            <v>1.2</v>
          </cell>
          <cell r="AF149">
            <v>1.2</v>
          </cell>
          <cell r="AG149">
            <v>1.2</v>
          </cell>
          <cell r="AH149">
            <v>1.2</v>
          </cell>
          <cell r="AI149">
            <v>1.2</v>
          </cell>
          <cell r="AJ149">
            <v>1.2</v>
          </cell>
          <cell r="AK149">
            <v>1.2</v>
          </cell>
          <cell r="AL149">
            <v>1.2</v>
          </cell>
          <cell r="AM149">
            <v>1.2</v>
          </cell>
          <cell r="AN149">
            <v>1.2</v>
          </cell>
          <cell r="AO149">
            <v>1.1000000000000001</v>
          </cell>
          <cell r="AP149">
            <v>1.1000000000000001</v>
          </cell>
          <cell r="AQ149">
            <v>1.1000000000000001</v>
          </cell>
          <cell r="AR149">
            <v>1.1000000000000001</v>
          </cell>
          <cell r="AS149">
            <v>1.1000000000000001</v>
          </cell>
          <cell r="AT149">
            <v>1.1000000000000001</v>
          </cell>
          <cell r="AU149">
            <v>1.1000000000000001</v>
          </cell>
          <cell r="AV149">
            <v>1.1000000000000001</v>
          </cell>
          <cell r="AW149">
            <v>1.1000000000000001</v>
          </cell>
          <cell r="AX149">
            <v>1.1000000000000001</v>
          </cell>
          <cell r="AY149">
            <v>1.1000000000000001</v>
          </cell>
          <cell r="AZ149">
            <v>1.1000000000000001</v>
          </cell>
          <cell r="BA149">
            <v>1.1000000000000001</v>
          </cell>
          <cell r="BB149">
            <v>1.1000000000000001</v>
          </cell>
          <cell r="BC149">
            <v>1.1000000000000001</v>
          </cell>
          <cell r="BD149">
            <v>1.1000000000000001</v>
          </cell>
          <cell r="BE149">
            <v>1.1000000000000001</v>
          </cell>
          <cell r="BF149">
            <v>1.1000000000000001</v>
          </cell>
          <cell r="BG149">
            <v>1.1000000000000001</v>
          </cell>
          <cell r="BH149">
            <v>1.1000000000000001</v>
          </cell>
          <cell r="BI149">
            <v>1.1000000000000001</v>
          </cell>
          <cell r="BJ149">
            <v>1.2</v>
          </cell>
          <cell r="BK149">
            <v>1.1000000000000001</v>
          </cell>
          <cell r="BL149">
            <v>1.1000000000000001</v>
          </cell>
          <cell r="BM149">
            <v>1.1000000000000001</v>
          </cell>
          <cell r="BN149">
            <v>1.1000000000000001</v>
          </cell>
          <cell r="BO149">
            <v>1.1000000000000001</v>
          </cell>
          <cell r="BP149">
            <v>1.1000000000000001</v>
          </cell>
          <cell r="BQ149">
            <v>1.1000000000000001</v>
          </cell>
          <cell r="BR149">
            <v>1.1000000000000001</v>
          </cell>
          <cell r="BS149">
            <v>1.1000000000000001</v>
          </cell>
          <cell r="BT149">
            <v>1.1000000000000001</v>
          </cell>
          <cell r="BU149">
            <v>1.1000000000000001</v>
          </cell>
          <cell r="BV149">
            <v>1.1000000000000001</v>
          </cell>
        </row>
        <row r="150">
          <cell r="A150" t="str">
            <v>FIAT</v>
          </cell>
          <cell r="B150" t="str">
            <v>J516 / VINYL</v>
          </cell>
          <cell r="D150" t="str">
            <v>SHIFT C HC  - efficiency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1</v>
          </cell>
          <cell r="AY150">
            <v>1</v>
          </cell>
          <cell r="AZ150">
            <v>1</v>
          </cell>
          <cell r="BA150">
            <v>1</v>
          </cell>
          <cell r="BB150">
            <v>1</v>
          </cell>
          <cell r="BC150">
            <v>1</v>
          </cell>
          <cell r="BD150">
            <v>1</v>
          </cell>
          <cell r="BE150">
            <v>1</v>
          </cell>
          <cell r="BF150">
            <v>1</v>
          </cell>
          <cell r="BG150">
            <v>1</v>
          </cell>
          <cell r="BH150">
            <v>1</v>
          </cell>
          <cell r="BI150">
            <v>1</v>
          </cell>
          <cell r="BJ150">
            <v>1</v>
          </cell>
          <cell r="BK150">
            <v>1</v>
          </cell>
          <cell r="BL150">
            <v>1</v>
          </cell>
          <cell r="BM150">
            <v>1</v>
          </cell>
          <cell r="BN150">
            <v>1</v>
          </cell>
          <cell r="BO150">
            <v>1</v>
          </cell>
          <cell r="BP150">
            <v>1</v>
          </cell>
          <cell r="BQ150">
            <v>1</v>
          </cell>
          <cell r="BR150">
            <v>1</v>
          </cell>
          <cell r="BS150">
            <v>1</v>
          </cell>
          <cell r="BT150">
            <v>1</v>
          </cell>
          <cell r="BU150">
            <v>1</v>
          </cell>
          <cell r="BV150">
            <v>1</v>
          </cell>
        </row>
        <row r="151">
          <cell r="A151" t="str">
            <v>FIAT</v>
          </cell>
          <cell r="B151" t="str">
            <v>J516 / VINYL</v>
          </cell>
          <cell r="D151" t="str">
            <v>Total efficiency</v>
          </cell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</row>
        <row r="152">
          <cell r="A152" t="str">
            <v>FIAT</v>
          </cell>
          <cell r="B152" t="str">
            <v>J516 / VINYL</v>
          </cell>
          <cell r="D152" t="str">
            <v>SHIFT A - output</v>
          </cell>
          <cell r="Z152">
            <v>541.35338345864659</v>
          </cell>
          <cell r="AA152">
            <v>541.35338345864659</v>
          </cell>
          <cell r="AB152">
            <v>541.35338345864659</v>
          </cell>
          <cell r="AC152">
            <v>541.35338345864659</v>
          </cell>
          <cell r="AD152">
            <v>541.35338345864659</v>
          </cell>
          <cell r="AE152">
            <v>541.35338345864659</v>
          </cell>
          <cell r="AF152">
            <v>473.68421052631572</v>
          </cell>
          <cell r="AG152">
            <v>473.68421052631572</v>
          </cell>
          <cell r="AH152">
            <v>473.68421052631572</v>
          </cell>
          <cell r="AI152">
            <v>473.68421052631572</v>
          </cell>
          <cell r="AJ152">
            <v>473.68421052631572</v>
          </cell>
          <cell r="AK152">
            <v>406.01503759398491</v>
          </cell>
          <cell r="AL152">
            <v>406.01503759398491</v>
          </cell>
          <cell r="AM152">
            <v>406.01503759398491</v>
          </cell>
          <cell r="AN152">
            <v>406.01503759398491</v>
          </cell>
          <cell r="AO152">
            <v>372.18045112781954</v>
          </cell>
          <cell r="AP152">
            <v>372.18045112781954</v>
          </cell>
          <cell r="AQ152">
            <v>372.18045112781954</v>
          </cell>
          <cell r="AR152">
            <v>372.18045112781954</v>
          </cell>
          <cell r="AS152">
            <v>372.18045112781954</v>
          </cell>
          <cell r="AT152">
            <v>372.18045112781954</v>
          </cell>
          <cell r="AU152">
            <v>372.18045112781954</v>
          </cell>
          <cell r="AV152">
            <v>372.18045112781954</v>
          </cell>
          <cell r="AW152">
            <v>372.18045112781954</v>
          </cell>
          <cell r="AX152">
            <v>372.18045112781954</v>
          </cell>
          <cell r="AY152">
            <v>372.18045112781954</v>
          </cell>
          <cell r="AZ152">
            <v>372.18045112781954</v>
          </cell>
          <cell r="BA152">
            <v>372.18045112781954</v>
          </cell>
          <cell r="BB152">
            <v>372.18045112781954</v>
          </cell>
          <cell r="BC152">
            <v>372.18045112781954</v>
          </cell>
          <cell r="BD152">
            <v>372.18045112781954</v>
          </cell>
          <cell r="BE152">
            <v>372.18045112781954</v>
          </cell>
          <cell r="BF152">
            <v>372.18045112781954</v>
          </cell>
          <cell r="BG152">
            <v>372.18045112781954</v>
          </cell>
          <cell r="BH152">
            <v>372.18045112781954</v>
          </cell>
          <cell r="BI152">
            <v>372.18045112781954</v>
          </cell>
          <cell r="BJ152">
            <v>406.01503759398491</v>
          </cell>
          <cell r="BK152">
            <v>744.36090225563908</v>
          </cell>
          <cell r="BL152">
            <v>744.36090225563908</v>
          </cell>
          <cell r="BM152">
            <v>744.36090225563908</v>
          </cell>
          <cell r="BN152">
            <v>744.36090225563908</v>
          </cell>
          <cell r="BO152">
            <v>744.36090225563908</v>
          </cell>
          <cell r="BP152">
            <v>744.36090225563908</v>
          </cell>
          <cell r="BQ152">
            <v>744.36090225563908</v>
          </cell>
          <cell r="BR152">
            <v>744.36090225563908</v>
          </cell>
          <cell r="BS152">
            <v>744.36090225563908</v>
          </cell>
          <cell r="BT152">
            <v>186.09022556390977</v>
          </cell>
          <cell r="BU152">
            <v>186.09022556390977</v>
          </cell>
          <cell r="BV152">
            <v>186.09022556390977</v>
          </cell>
        </row>
        <row r="153">
          <cell r="A153" t="str">
            <v>FIAT</v>
          </cell>
          <cell r="B153" t="str">
            <v>J516 / VINYL</v>
          </cell>
          <cell r="D153" t="str">
            <v>SHIFT B  - output</v>
          </cell>
          <cell r="Z153">
            <v>541.35338345864659</v>
          </cell>
          <cell r="AA153">
            <v>541.35338345864659</v>
          </cell>
          <cell r="AB153">
            <v>541.35338345864659</v>
          </cell>
          <cell r="AC153">
            <v>541.35338345864659</v>
          </cell>
          <cell r="AD153">
            <v>541.35338345864659</v>
          </cell>
          <cell r="AE153">
            <v>541.35338345864659</v>
          </cell>
          <cell r="AF153">
            <v>473.68421052631572</v>
          </cell>
          <cell r="AG153">
            <v>473.68421052631572</v>
          </cell>
          <cell r="AH153">
            <v>473.68421052631572</v>
          </cell>
          <cell r="AI153">
            <v>473.68421052631572</v>
          </cell>
          <cell r="AJ153">
            <v>473.68421052631572</v>
          </cell>
          <cell r="AK153">
            <v>406.01503759398491</v>
          </cell>
          <cell r="AL153">
            <v>406.01503759398491</v>
          </cell>
          <cell r="AM153">
            <v>406.01503759398491</v>
          </cell>
          <cell r="AN153">
            <v>406.01503759398491</v>
          </cell>
          <cell r="AO153">
            <v>372.18045112781954</v>
          </cell>
          <cell r="AP153">
            <v>372.18045112781954</v>
          </cell>
          <cell r="AQ153">
            <v>372.18045112781954</v>
          </cell>
          <cell r="AR153">
            <v>372.18045112781954</v>
          </cell>
          <cell r="AS153">
            <v>372.18045112781954</v>
          </cell>
          <cell r="AT153">
            <v>372.18045112781954</v>
          </cell>
          <cell r="AU153">
            <v>372.18045112781954</v>
          </cell>
          <cell r="AV153">
            <v>372.18045112781954</v>
          </cell>
          <cell r="AW153">
            <v>372.18045112781954</v>
          </cell>
          <cell r="AX153">
            <v>372.18045112781954</v>
          </cell>
          <cell r="AY153">
            <v>372.18045112781954</v>
          </cell>
          <cell r="AZ153">
            <v>372.18045112781954</v>
          </cell>
          <cell r="BA153">
            <v>372.18045112781954</v>
          </cell>
          <cell r="BB153">
            <v>372.18045112781954</v>
          </cell>
          <cell r="BC153">
            <v>372.18045112781954</v>
          </cell>
          <cell r="BD153">
            <v>372.18045112781954</v>
          </cell>
          <cell r="BE153">
            <v>372.18045112781954</v>
          </cell>
          <cell r="BF153">
            <v>372.18045112781954</v>
          </cell>
          <cell r="BG153">
            <v>372.18045112781954</v>
          </cell>
          <cell r="BH153">
            <v>372.18045112781954</v>
          </cell>
          <cell r="BI153">
            <v>372.18045112781954</v>
          </cell>
          <cell r="BJ153">
            <v>406.01503759398491</v>
          </cell>
          <cell r="BK153">
            <v>744.36090225563908</v>
          </cell>
          <cell r="BL153">
            <v>744.36090225563908</v>
          </cell>
          <cell r="BM153">
            <v>744.36090225563908</v>
          </cell>
          <cell r="BN153">
            <v>744.36090225563908</v>
          </cell>
          <cell r="BO153">
            <v>744.36090225563908</v>
          </cell>
          <cell r="BP153">
            <v>744.36090225563908</v>
          </cell>
          <cell r="BQ153">
            <v>744.36090225563908</v>
          </cell>
          <cell r="BR153">
            <v>744.36090225563908</v>
          </cell>
          <cell r="BS153">
            <v>744.36090225563908</v>
          </cell>
          <cell r="BT153">
            <v>0</v>
          </cell>
          <cell r="BU153">
            <v>0</v>
          </cell>
          <cell r="BV153">
            <v>0</v>
          </cell>
        </row>
        <row r="154">
          <cell r="A154" t="str">
            <v>FIAT</v>
          </cell>
          <cell r="B154" t="str">
            <v>J516 / VINYL</v>
          </cell>
          <cell r="D154" t="str">
            <v>SHIFT C  - output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</row>
        <row r="155">
          <cell r="A155" t="str">
            <v>FIAT</v>
          </cell>
          <cell r="B155" t="str">
            <v>J516 / VINYL</v>
          </cell>
          <cell r="D155" t="str">
            <v>Est. Output (Pcs day)</v>
          </cell>
          <cell r="E155">
            <v>7.98</v>
          </cell>
          <cell r="Z155">
            <v>1082.7067669172932</v>
          </cell>
          <cell r="AA155">
            <v>1082.7067669172932</v>
          </cell>
          <cell r="AB155">
            <v>1082.7067669172932</v>
          </cell>
          <cell r="AC155">
            <v>1082.7067669172932</v>
          </cell>
          <cell r="AD155">
            <v>1082.7067669172932</v>
          </cell>
          <cell r="AE155">
            <v>1082.7067669172932</v>
          </cell>
          <cell r="AF155">
            <v>947.36842105263145</v>
          </cell>
          <cell r="AG155">
            <v>947.36842105263145</v>
          </cell>
          <cell r="AH155">
            <v>947.36842105263145</v>
          </cell>
          <cell r="AI155">
            <v>947.36842105263145</v>
          </cell>
          <cell r="AJ155">
            <v>947.36842105263145</v>
          </cell>
          <cell r="AK155">
            <v>812.03007518796983</v>
          </cell>
          <cell r="AL155">
            <v>812.03007518796983</v>
          </cell>
          <cell r="AM155">
            <v>812.03007518796983</v>
          </cell>
          <cell r="AN155">
            <v>812.03007518796983</v>
          </cell>
          <cell r="AO155">
            <v>744.36090225563908</v>
          </cell>
          <cell r="AP155">
            <v>744.36090225563908</v>
          </cell>
          <cell r="AQ155">
            <v>744.36090225563908</v>
          </cell>
          <cell r="AR155">
            <v>744.36090225563908</v>
          </cell>
          <cell r="AS155">
            <v>744.36090225563908</v>
          </cell>
          <cell r="AT155">
            <v>744.36090225563908</v>
          </cell>
          <cell r="AU155">
            <v>744.36090225563908</v>
          </cell>
          <cell r="AV155">
            <v>744.36090225563908</v>
          </cell>
          <cell r="AW155">
            <v>744.36090225563908</v>
          </cell>
          <cell r="AX155">
            <v>744.36090225563908</v>
          </cell>
          <cell r="AY155">
            <v>744.36090225563908</v>
          </cell>
          <cell r="AZ155">
            <v>744.36090225563908</v>
          </cell>
          <cell r="BA155">
            <v>744.36090225563908</v>
          </cell>
          <cell r="BB155">
            <v>744.36090225563908</v>
          </cell>
          <cell r="BC155">
            <v>744.36090225563908</v>
          </cell>
          <cell r="BD155">
            <v>744.36090225563908</v>
          </cell>
          <cell r="BE155">
            <v>744.36090225563908</v>
          </cell>
          <cell r="BF155">
            <v>744.36090225563908</v>
          </cell>
          <cell r="BG155">
            <v>744.36090225563908</v>
          </cell>
          <cell r="BH155">
            <v>744.36090225563908</v>
          </cell>
          <cell r="BI155">
            <v>744.36090225563908</v>
          </cell>
          <cell r="BJ155">
            <v>812.03007518796983</v>
          </cell>
          <cell r="BK155">
            <v>1488.7218045112782</v>
          </cell>
          <cell r="BL155">
            <v>1488.7218045112782</v>
          </cell>
          <cell r="BM155">
            <v>1488.7218045112782</v>
          </cell>
          <cell r="BN155">
            <v>1488.7218045112782</v>
          </cell>
          <cell r="BO155">
            <v>1488.7218045112782</v>
          </cell>
          <cell r="BP155">
            <v>1488.7218045112782</v>
          </cell>
          <cell r="BQ155">
            <v>1488.7218045112782</v>
          </cell>
          <cell r="BR155">
            <v>1488.7218045112782</v>
          </cell>
          <cell r="BS155">
            <v>1488.7218045112782</v>
          </cell>
          <cell r="BT155">
            <v>186.09022556390977</v>
          </cell>
          <cell r="BU155">
            <v>186.09022556390977</v>
          </cell>
          <cell r="BV155">
            <v>186.09022556390977</v>
          </cell>
        </row>
        <row r="156">
          <cell r="A156" t="str">
            <v>FIAT</v>
          </cell>
          <cell r="B156" t="str">
            <v>J516 / VINYL</v>
          </cell>
          <cell r="D156" t="str">
            <v>Weekly Output PLAN</v>
          </cell>
          <cell r="E156" t="str">
            <v>SEW</v>
          </cell>
          <cell r="Z156">
            <v>4872.1804511278197</v>
          </cell>
          <cell r="AA156">
            <v>5413.5338345864657</v>
          </cell>
          <cell r="AB156">
            <v>5413.5338345864657</v>
          </cell>
          <cell r="AC156">
            <v>6496.2406015037595</v>
          </cell>
          <cell r="AD156">
            <v>3248.1203007518798</v>
          </cell>
          <cell r="AE156">
            <v>6496.2406015037595</v>
          </cell>
          <cell r="AF156">
            <v>5684.2105263157882</v>
          </cell>
          <cell r="AG156">
            <v>5684.2105263157882</v>
          </cell>
          <cell r="AH156">
            <v>4736.8421052631575</v>
          </cell>
          <cell r="AI156">
            <v>4736.8421052631575</v>
          </cell>
          <cell r="AJ156">
            <v>4736.8421052631575</v>
          </cell>
          <cell r="AK156">
            <v>3248.1203007518793</v>
          </cell>
          <cell r="AL156">
            <v>3248.1203007518793</v>
          </cell>
          <cell r="AM156">
            <v>4060.1503759398493</v>
          </cell>
          <cell r="AN156">
            <v>3248.1203007518793</v>
          </cell>
          <cell r="AO156">
            <v>3721.8045112781956</v>
          </cell>
          <cell r="AP156">
            <v>3721.8045112781956</v>
          </cell>
          <cell r="AQ156">
            <v>3721.8045112781956</v>
          </cell>
          <cell r="AR156">
            <v>3721.8045112781956</v>
          </cell>
          <cell r="AS156">
            <v>3721.8045112781956</v>
          </cell>
          <cell r="AT156">
            <v>3721.8045112781956</v>
          </cell>
          <cell r="AU156">
            <v>3721.8045112781956</v>
          </cell>
          <cell r="AV156">
            <v>3721.8045112781956</v>
          </cell>
          <cell r="AW156">
            <v>3721.8045112781956</v>
          </cell>
          <cell r="AX156">
            <v>3721.8045112781956</v>
          </cell>
          <cell r="AY156">
            <v>3721.8045112781956</v>
          </cell>
          <cell r="AZ156">
            <v>0</v>
          </cell>
          <cell r="BA156">
            <v>0</v>
          </cell>
          <cell r="BB156">
            <v>3721.8045112781956</v>
          </cell>
          <cell r="BC156">
            <v>3721.8045112781956</v>
          </cell>
          <cell r="BD156">
            <v>3721.8045112781956</v>
          </cell>
          <cell r="BE156">
            <v>3721.8045112781956</v>
          </cell>
          <cell r="BF156">
            <v>3721.8045112781956</v>
          </cell>
          <cell r="BG156">
            <v>3721.8045112781956</v>
          </cell>
          <cell r="BH156">
            <v>3721.8045112781956</v>
          </cell>
          <cell r="BI156">
            <v>3721.8045112781956</v>
          </cell>
          <cell r="BJ156">
            <v>4060.1503759398493</v>
          </cell>
          <cell r="BK156">
            <v>7443.6090225563912</v>
          </cell>
          <cell r="BL156">
            <v>35729.323308270672</v>
          </cell>
          <cell r="BM156">
            <v>35729.323308270672</v>
          </cell>
          <cell r="BN156">
            <v>35729.323308270672</v>
          </cell>
          <cell r="BO156">
            <v>35729.323308270672</v>
          </cell>
          <cell r="BP156">
            <v>35729.323308270672</v>
          </cell>
          <cell r="BQ156">
            <v>35729.323308270672</v>
          </cell>
          <cell r="BR156">
            <v>35729.323308270672</v>
          </cell>
          <cell r="BS156">
            <v>35729.323308270672</v>
          </cell>
          <cell r="BT156">
            <v>558.27067669172925</v>
          </cell>
          <cell r="BU156">
            <v>558.27067669172925</v>
          </cell>
          <cell r="BV156">
            <v>558.27067669172925</v>
          </cell>
        </row>
        <row r="157">
          <cell r="A157" t="str">
            <v>FIAT</v>
          </cell>
          <cell r="B157" t="str">
            <v>J516 / VINYL</v>
          </cell>
          <cell r="D157" t="str">
            <v>FHR Vinyl Feeltek</v>
          </cell>
          <cell r="E157">
            <v>8.1585000000000001</v>
          </cell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</row>
        <row r="158">
          <cell r="A158" t="str">
            <v>FIAT</v>
          </cell>
          <cell r="B158" t="str">
            <v>J516 / VINYL</v>
          </cell>
          <cell r="D158" t="str">
            <v>FHR Vinyl Scuba</v>
          </cell>
          <cell r="E158">
            <v>7.6337999999999999</v>
          </cell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</row>
        <row r="159">
          <cell r="A159" t="str">
            <v>FIAT</v>
          </cell>
          <cell r="B159" t="str">
            <v>J516 / VINYL</v>
          </cell>
          <cell r="D159" t="str">
            <v>Alfa Romeo Vinyl</v>
          </cell>
          <cell r="E159">
            <v>8.1585000000000001</v>
          </cell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</row>
        <row r="160">
          <cell r="A160" t="str">
            <v>FIAT</v>
          </cell>
          <cell r="B160" t="str">
            <v>J516 / VINYL</v>
          </cell>
          <cell r="D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</row>
        <row r="161">
          <cell r="A161" t="str">
            <v>FIAT</v>
          </cell>
          <cell r="B161" t="str">
            <v>J516 / VINYL</v>
          </cell>
          <cell r="D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</row>
        <row r="162">
          <cell r="A162" t="str">
            <v>FIAT</v>
          </cell>
          <cell r="B162" t="str">
            <v>J516 / VINYL</v>
          </cell>
          <cell r="D162" t="str">
            <v>Weekly Output PLAN - SUM of models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</row>
        <row r="163">
          <cell r="A163" t="str">
            <v>FIAT</v>
          </cell>
          <cell r="B163" t="str">
            <v>J516 / VINYL</v>
          </cell>
          <cell r="D163" t="str">
            <v>Weekly Output CHECK with TO time multiple</v>
          </cell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</row>
        <row r="164">
          <cell r="A164" t="str">
            <v>FIAT</v>
          </cell>
          <cell r="B164" t="str">
            <v>J516 / VINYL</v>
          </cell>
          <cell r="D164" t="str">
            <v>Weekly Output ACT</v>
          </cell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</row>
        <row r="165">
          <cell r="A165" t="str">
            <v>FIAT</v>
          </cell>
          <cell r="B165" t="str">
            <v>J516 / VINYL</v>
          </cell>
          <cell r="D165" t="str">
            <v>FHR Vinyl Feeltek</v>
          </cell>
          <cell r="Z165">
            <v>957</v>
          </cell>
          <cell r="AA165">
            <v>0</v>
          </cell>
          <cell r="AB165">
            <v>1819</v>
          </cell>
          <cell r="AC165">
            <v>783</v>
          </cell>
          <cell r="AD165">
            <v>1015</v>
          </cell>
          <cell r="AE165">
            <v>1305</v>
          </cell>
          <cell r="AF165">
            <v>1363</v>
          </cell>
          <cell r="AG165">
            <v>1102</v>
          </cell>
          <cell r="AH165">
            <v>1160</v>
          </cell>
          <cell r="AI165">
            <v>1044</v>
          </cell>
          <cell r="AJ165">
            <v>1218</v>
          </cell>
          <cell r="AK165">
            <v>1450</v>
          </cell>
          <cell r="AL165">
            <v>1740</v>
          </cell>
          <cell r="AM165">
            <v>1508</v>
          </cell>
          <cell r="AN165">
            <v>1479</v>
          </cell>
          <cell r="AO165">
            <v>4872</v>
          </cell>
          <cell r="AP165">
            <v>0</v>
          </cell>
          <cell r="AQ165">
            <v>0</v>
          </cell>
          <cell r="AR165">
            <v>0</v>
          </cell>
          <cell r="AS165">
            <v>4988</v>
          </cell>
          <cell r="AT165">
            <v>0</v>
          </cell>
          <cell r="AU165">
            <v>0</v>
          </cell>
          <cell r="AV165">
            <v>0</v>
          </cell>
          <cell r="AW165">
            <v>3517.3955555555558</v>
          </cell>
          <cell r="AX165">
            <v>3015.1022222222218</v>
          </cell>
          <cell r="AY165">
            <v>3015.1022222222218</v>
          </cell>
          <cell r="AZ165">
            <v>3015.1022222222218</v>
          </cell>
          <cell r="BA165">
            <v>3015.1022222222218</v>
          </cell>
          <cell r="BB165">
            <v>3015.1022222222218</v>
          </cell>
          <cell r="BC165">
            <v>3517.2444444444445</v>
          </cell>
          <cell r="BD165">
            <v>3517.2444444444445</v>
          </cell>
          <cell r="BE165">
            <v>3517.2444444444445</v>
          </cell>
          <cell r="BF165">
            <v>3517.2444444444445</v>
          </cell>
          <cell r="BG165">
            <v>3517.2444444444445</v>
          </cell>
          <cell r="BH165">
            <v>3517.2444444444445</v>
          </cell>
          <cell r="BI165">
            <v>3517.2444444444445</v>
          </cell>
          <cell r="BJ165">
            <v>3517.2444444444445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</row>
        <row r="166">
          <cell r="A166" t="str">
            <v>FIAT</v>
          </cell>
          <cell r="B166" t="str">
            <v>J516 / VINYL</v>
          </cell>
          <cell r="D166" t="str">
            <v>FHR Vinyl Scuba</v>
          </cell>
          <cell r="Z166">
            <v>10482</v>
          </cell>
          <cell r="AA166">
            <v>0</v>
          </cell>
          <cell r="AB166">
            <v>11267</v>
          </cell>
          <cell r="AC166">
            <v>5974</v>
          </cell>
          <cell r="AD166">
            <v>3509</v>
          </cell>
          <cell r="AE166">
            <v>2610</v>
          </cell>
          <cell r="AF166">
            <v>2494</v>
          </cell>
          <cell r="AG166">
            <v>2233</v>
          </cell>
          <cell r="AH166">
            <v>2030</v>
          </cell>
          <cell r="AI166">
            <v>1943</v>
          </cell>
          <cell r="AJ166">
            <v>2378</v>
          </cell>
          <cell r="AK166">
            <v>1827</v>
          </cell>
          <cell r="AL166">
            <v>2001</v>
          </cell>
          <cell r="AM166">
            <v>1856</v>
          </cell>
          <cell r="AN166">
            <v>1880</v>
          </cell>
          <cell r="AO166">
            <v>8246</v>
          </cell>
          <cell r="AP166">
            <v>0</v>
          </cell>
          <cell r="AQ166">
            <v>0</v>
          </cell>
          <cell r="AR166">
            <v>0</v>
          </cell>
          <cell r="AS166">
            <v>7648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</row>
        <row r="167">
          <cell r="A167" t="str">
            <v>FIAT</v>
          </cell>
          <cell r="B167" t="str">
            <v>J516 / VINYL</v>
          </cell>
          <cell r="D167" t="str">
            <v>Alfa Romeo Vinyl</v>
          </cell>
          <cell r="Z167">
            <v>1733</v>
          </cell>
          <cell r="AA167">
            <v>0</v>
          </cell>
          <cell r="AB167">
            <v>1582</v>
          </cell>
          <cell r="AC167">
            <v>957</v>
          </cell>
          <cell r="AD167">
            <v>525</v>
          </cell>
          <cell r="AE167">
            <v>855</v>
          </cell>
          <cell r="AF167">
            <v>882</v>
          </cell>
          <cell r="AG167">
            <v>675</v>
          </cell>
          <cell r="AH167">
            <v>703</v>
          </cell>
          <cell r="AI167">
            <v>587</v>
          </cell>
          <cell r="AJ167">
            <v>614</v>
          </cell>
          <cell r="AK167">
            <v>705</v>
          </cell>
          <cell r="AL167">
            <v>885</v>
          </cell>
          <cell r="AM167">
            <v>587</v>
          </cell>
          <cell r="AN167">
            <v>619</v>
          </cell>
          <cell r="AO167">
            <v>2774</v>
          </cell>
          <cell r="AP167">
            <v>0</v>
          </cell>
          <cell r="AQ167">
            <v>0</v>
          </cell>
          <cell r="AR167">
            <v>0</v>
          </cell>
          <cell r="AS167">
            <v>3786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</row>
        <row r="168">
          <cell r="A168" t="str">
            <v>FIAT</v>
          </cell>
          <cell r="B168" t="str">
            <v>J516 / VINYL</v>
          </cell>
          <cell r="D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</row>
        <row r="169">
          <cell r="A169" t="str">
            <v>FIAT</v>
          </cell>
          <cell r="B169" t="str">
            <v>J516 / VINYL</v>
          </cell>
          <cell r="D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</row>
        <row r="170">
          <cell r="A170" t="str">
            <v>FIAT</v>
          </cell>
          <cell r="B170" t="str">
            <v>J516 / VINYL</v>
          </cell>
          <cell r="D170" t="str">
            <v>Weekly demand</v>
          </cell>
          <cell r="Z170">
            <v>13172</v>
          </cell>
          <cell r="AA170">
            <v>0</v>
          </cell>
          <cell r="AB170">
            <v>14668</v>
          </cell>
          <cell r="AC170">
            <v>7714</v>
          </cell>
          <cell r="AD170">
            <v>5049</v>
          </cell>
          <cell r="AE170">
            <v>4770</v>
          </cell>
          <cell r="AF170">
            <v>4739</v>
          </cell>
          <cell r="AG170">
            <v>4010</v>
          </cell>
          <cell r="AH170">
            <v>3893</v>
          </cell>
          <cell r="AI170">
            <v>3574</v>
          </cell>
          <cell r="AJ170">
            <v>4210</v>
          </cell>
          <cell r="AK170">
            <v>3982</v>
          </cell>
          <cell r="AL170">
            <v>0</v>
          </cell>
          <cell r="AM170">
            <v>0</v>
          </cell>
          <cell r="AN170">
            <v>0</v>
          </cell>
          <cell r="AO170">
            <v>15892</v>
          </cell>
          <cell r="AP170">
            <v>0</v>
          </cell>
          <cell r="AQ170">
            <v>0</v>
          </cell>
          <cell r="AR170">
            <v>0</v>
          </cell>
          <cell r="AS170">
            <v>16422</v>
          </cell>
          <cell r="AT170">
            <v>0</v>
          </cell>
          <cell r="AU170">
            <v>0</v>
          </cell>
          <cell r="AV170">
            <v>0</v>
          </cell>
          <cell r="AW170">
            <v>3517.3955555555558</v>
          </cell>
          <cell r="AX170">
            <v>3015.1022222222218</v>
          </cell>
          <cell r="AY170">
            <v>3015.1022222222218</v>
          </cell>
          <cell r="AZ170">
            <v>3015.1022222222218</v>
          </cell>
          <cell r="BA170">
            <v>3015.1022222222218</v>
          </cell>
          <cell r="BB170">
            <v>3015.1022222222218</v>
          </cell>
          <cell r="BC170">
            <v>3517.2444444444445</v>
          </cell>
          <cell r="BD170">
            <v>3517.2444444444445</v>
          </cell>
          <cell r="BE170">
            <v>3517.2444444444445</v>
          </cell>
          <cell r="BF170">
            <v>3517.2444444444445</v>
          </cell>
          <cell r="BG170">
            <v>3517.2444444444445</v>
          </cell>
          <cell r="BH170">
            <v>3517.2444444444445</v>
          </cell>
          <cell r="BI170">
            <v>3517.2444444444445</v>
          </cell>
          <cell r="BJ170">
            <v>3517.2444444444445</v>
          </cell>
          <cell r="BK170">
            <v>0</v>
          </cell>
          <cell r="BL170">
            <v>151795.86222222229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</row>
        <row r="171">
          <cell r="A171" t="str">
            <v>FIAT</v>
          </cell>
          <cell r="B171" t="str">
            <v>J516 / VINYL</v>
          </cell>
          <cell r="D171" t="str">
            <v>Stock Target</v>
          </cell>
          <cell r="Z171">
            <v>3000</v>
          </cell>
          <cell r="AA171">
            <v>3000</v>
          </cell>
          <cell r="AB171">
            <v>3000</v>
          </cell>
          <cell r="AC171">
            <v>3000</v>
          </cell>
          <cell r="AD171">
            <v>3000</v>
          </cell>
          <cell r="AE171">
            <v>3000</v>
          </cell>
          <cell r="AF171">
            <v>3000</v>
          </cell>
          <cell r="AG171">
            <v>3000</v>
          </cell>
          <cell r="AH171">
            <v>3000</v>
          </cell>
          <cell r="AI171">
            <v>3000</v>
          </cell>
          <cell r="AJ171">
            <v>3000</v>
          </cell>
          <cell r="AK171">
            <v>3000</v>
          </cell>
          <cell r="AL171">
            <v>3000</v>
          </cell>
          <cell r="AM171">
            <v>3000</v>
          </cell>
          <cell r="AN171">
            <v>3000</v>
          </cell>
          <cell r="AO171">
            <v>3000</v>
          </cell>
          <cell r="AP171">
            <v>3000</v>
          </cell>
          <cell r="AQ171">
            <v>3000</v>
          </cell>
          <cell r="AR171">
            <v>3000</v>
          </cell>
          <cell r="AS171">
            <v>3000</v>
          </cell>
          <cell r="AT171">
            <v>3000</v>
          </cell>
          <cell r="AU171">
            <v>3000</v>
          </cell>
          <cell r="AV171">
            <v>3000</v>
          </cell>
          <cell r="AW171">
            <v>3000</v>
          </cell>
          <cell r="AX171">
            <v>3000</v>
          </cell>
          <cell r="AY171">
            <v>3000</v>
          </cell>
          <cell r="AZ171">
            <v>3000</v>
          </cell>
          <cell r="BA171">
            <v>3000</v>
          </cell>
          <cell r="BB171">
            <v>3000</v>
          </cell>
          <cell r="BC171">
            <v>2552</v>
          </cell>
          <cell r="BD171">
            <v>2552</v>
          </cell>
          <cell r="BE171">
            <v>2552</v>
          </cell>
          <cell r="BF171">
            <v>2552</v>
          </cell>
          <cell r="BG171">
            <v>2552</v>
          </cell>
          <cell r="BH171">
            <v>2552</v>
          </cell>
          <cell r="BI171">
            <v>2552</v>
          </cell>
          <cell r="BJ171">
            <v>2552</v>
          </cell>
          <cell r="BK171">
            <v>2552</v>
          </cell>
          <cell r="BL171">
            <v>2552</v>
          </cell>
          <cell r="BM171">
            <v>2552</v>
          </cell>
          <cell r="BN171">
            <v>2553</v>
          </cell>
          <cell r="BO171">
            <v>2554</v>
          </cell>
          <cell r="BP171">
            <v>2555</v>
          </cell>
          <cell r="BQ171">
            <v>2556</v>
          </cell>
          <cell r="BR171">
            <v>2557</v>
          </cell>
          <cell r="BS171">
            <v>2558</v>
          </cell>
          <cell r="BT171">
            <v>2559</v>
          </cell>
          <cell r="BU171">
            <v>2560</v>
          </cell>
          <cell r="BV171">
            <v>2561</v>
          </cell>
        </row>
        <row r="172">
          <cell r="A172" t="str">
            <v>FIAT</v>
          </cell>
          <cell r="B172" t="str">
            <v>J516 / VINYL</v>
          </cell>
          <cell r="D172" t="str">
            <v>FHR Vinyl Feeltek</v>
          </cell>
          <cell r="Z172">
            <v>0</v>
          </cell>
          <cell r="AA172">
            <v>1170</v>
          </cell>
          <cell r="AB172">
            <v>-649</v>
          </cell>
          <cell r="AC172">
            <v>-1432</v>
          </cell>
          <cell r="AD172">
            <v>-2447</v>
          </cell>
          <cell r="AE172">
            <v>-3752</v>
          </cell>
          <cell r="AF172">
            <v>-5115</v>
          </cell>
          <cell r="AG172">
            <v>-6217</v>
          </cell>
          <cell r="AH172">
            <v>-7377</v>
          </cell>
          <cell r="AI172">
            <v>-8421</v>
          </cell>
          <cell r="AJ172">
            <v>-9639</v>
          </cell>
          <cell r="AK172">
            <v>-11089</v>
          </cell>
          <cell r="AL172">
            <v>-12829</v>
          </cell>
          <cell r="AM172">
            <v>-14337</v>
          </cell>
          <cell r="AN172">
            <v>-15816</v>
          </cell>
          <cell r="AO172">
            <v>-20688</v>
          </cell>
          <cell r="AP172">
            <v>-20688</v>
          </cell>
          <cell r="AQ172">
            <v>-20688</v>
          </cell>
          <cell r="AR172">
            <v>-20688</v>
          </cell>
          <cell r="AS172">
            <v>-25676</v>
          </cell>
          <cell r="AT172">
            <v>-25676</v>
          </cell>
          <cell r="AU172">
            <v>-25676</v>
          </cell>
          <cell r="AV172">
            <v>-25676</v>
          </cell>
          <cell r="AW172">
            <v>-29193.395555555555</v>
          </cell>
          <cell r="AX172">
            <v>-32208.497777777775</v>
          </cell>
          <cell r="AY172">
            <v>-35223.599999999999</v>
          </cell>
          <cell r="AZ172">
            <v>-38238.702222222222</v>
          </cell>
          <cell r="BA172">
            <v>-41253.804444444446</v>
          </cell>
          <cell r="BB172">
            <v>-44268.906666666669</v>
          </cell>
          <cell r="BC172">
            <v>-47786.151111111118</v>
          </cell>
          <cell r="BD172">
            <v>-51303.395555555559</v>
          </cell>
          <cell r="BE172">
            <v>-54820.639999999999</v>
          </cell>
          <cell r="BF172">
            <v>-58337.88444444444</v>
          </cell>
          <cell r="BG172">
            <v>-61855.128888888881</v>
          </cell>
          <cell r="BH172">
            <v>-65372.373333333322</v>
          </cell>
          <cell r="BI172">
            <v>-68889.617777777763</v>
          </cell>
          <cell r="BJ172">
            <v>-72406.862222222204</v>
          </cell>
          <cell r="BK172">
            <v>-72406.862222222204</v>
          </cell>
          <cell r="BL172">
            <v>-72406.862222222204</v>
          </cell>
          <cell r="BM172">
            <v>-72406.862222222204</v>
          </cell>
          <cell r="BN172">
            <v>-72406.862222222204</v>
          </cell>
          <cell r="BO172">
            <v>-72406.862222222204</v>
          </cell>
          <cell r="BP172">
            <v>-72406.862222222204</v>
          </cell>
          <cell r="BQ172">
            <v>-72406.862222222204</v>
          </cell>
          <cell r="BR172">
            <v>-72406.862222222204</v>
          </cell>
          <cell r="BS172">
            <v>-72406.862222222204</v>
          </cell>
          <cell r="BT172">
            <v>-72406.862222222204</v>
          </cell>
          <cell r="BU172">
            <v>-72406.862222222204</v>
          </cell>
          <cell r="BV172">
            <v>-72406.862222222204</v>
          </cell>
        </row>
        <row r="173">
          <cell r="A173" t="str">
            <v>FIAT</v>
          </cell>
          <cell r="B173" t="str">
            <v>J516 / VINYL</v>
          </cell>
          <cell r="D173" t="str">
            <v>FHR Vinyl Scuba</v>
          </cell>
          <cell r="Z173">
            <v>470</v>
          </cell>
          <cell r="AA173">
            <v>4880</v>
          </cell>
          <cell r="AB173">
            <v>-6387</v>
          </cell>
          <cell r="AC173">
            <v>-12361</v>
          </cell>
          <cell r="AD173">
            <v>-15870</v>
          </cell>
          <cell r="AE173">
            <v>-18480</v>
          </cell>
          <cell r="AF173">
            <v>-20974</v>
          </cell>
          <cell r="AG173">
            <v>-23207</v>
          </cell>
          <cell r="AH173">
            <v>-25237</v>
          </cell>
          <cell r="AI173">
            <v>-27180</v>
          </cell>
          <cell r="AJ173">
            <v>-29558</v>
          </cell>
          <cell r="AK173">
            <v>-31385</v>
          </cell>
          <cell r="AL173">
            <v>-33386</v>
          </cell>
          <cell r="AM173">
            <v>-35242</v>
          </cell>
          <cell r="AN173">
            <v>-37122</v>
          </cell>
          <cell r="AO173">
            <v>-45368</v>
          </cell>
          <cell r="AP173">
            <v>-45368</v>
          </cell>
          <cell r="AQ173">
            <v>-45368</v>
          </cell>
          <cell r="AR173">
            <v>-45368</v>
          </cell>
          <cell r="AS173">
            <v>-53016</v>
          </cell>
          <cell r="AT173">
            <v>-53016</v>
          </cell>
          <cell r="AU173">
            <v>-53016</v>
          </cell>
          <cell r="AV173">
            <v>-53016</v>
          </cell>
          <cell r="AW173">
            <v>-53016</v>
          </cell>
          <cell r="AX173">
            <v>-53016</v>
          </cell>
          <cell r="AY173">
            <v>-53016</v>
          </cell>
          <cell r="AZ173">
            <v>-53016</v>
          </cell>
          <cell r="BA173">
            <v>-53016</v>
          </cell>
          <cell r="BB173">
            <v>-53016</v>
          </cell>
          <cell r="BC173">
            <v>-53016</v>
          </cell>
          <cell r="BD173">
            <v>-53016</v>
          </cell>
          <cell r="BE173">
            <v>-53016</v>
          </cell>
          <cell r="BF173">
            <v>-53016</v>
          </cell>
          <cell r="BG173">
            <v>-53016</v>
          </cell>
          <cell r="BH173">
            <v>-53016</v>
          </cell>
          <cell r="BI173">
            <v>-53016</v>
          </cell>
          <cell r="BJ173">
            <v>-53016</v>
          </cell>
          <cell r="BK173">
            <v>-53016</v>
          </cell>
          <cell r="BL173">
            <v>-53016</v>
          </cell>
          <cell r="BM173">
            <v>-53016</v>
          </cell>
          <cell r="BN173">
            <v>-53016</v>
          </cell>
          <cell r="BO173">
            <v>-53016</v>
          </cell>
          <cell r="BP173">
            <v>-53016</v>
          </cell>
          <cell r="BQ173">
            <v>-53016</v>
          </cell>
          <cell r="BR173">
            <v>-53016</v>
          </cell>
          <cell r="BS173">
            <v>-53016</v>
          </cell>
          <cell r="BT173">
            <v>-53016</v>
          </cell>
          <cell r="BU173">
            <v>-53016</v>
          </cell>
          <cell r="BV173">
            <v>-53016</v>
          </cell>
        </row>
        <row r="174">
          <cell r="A174" t="str">
            <v>FIAT</v>
          </cell>
          <cell r="B174" t="str">
            <v>J516 / VINYL</v>
          </cell>
          <cell r="D174" t="str">
            <v>Alfa Romeo Vinyl</v>
          </cell>
          <cell r="Z174">
            <v>120</v>
          </cell>
          <cell r="AA174">
            <v>1350</v>
          </cell>
          <cell r="AB174">
            <v>-232</v>
          </cell>
          <cell r="AC174">
            <v>-1189</v>
          </cell>
          <cell r="AD174">
            <v>-1714</v>
          </cell>
          <cell r="AE174">
            <v>-2569</v>
          </cell>
          <cell r="AF174">
            <v>-3451</v>
          </cell>
          <cell r="AG174">
            <v>-4126</v>
          </cell>
          <cell r="AH174">
            <v>-4829</v>
          </cell>
          <cell r="AI174">
            <v>-5416</v>
          </cell>
          <cell r="AJ174">
            <v>-6030</v>
          </cell>
          <cell r="AK174">
            <v>-6735</v>
          </cell>
          <cell r="AL174">
            <v>-7620</v>
          </cell>
          <cell r="AM174">
            <v>-8207</v>
          </cell>
          <cell r="AN174">
            <v>-8826</v>
          </cell>
          <cell r="AO174">
            <v>-11600</v>
          </cell>
          <cell r="AP174">
            <v>-11600</v>
          </cell>
          <cell r="AQ174">
            <v>-11600</v>
          </cell>
          <cell r="AR174">
            <v>-11600</v>
          </cell>
          <cell r="AS174">
            <v>-15386</v>
          </cell>
          <cell r="AT174">
            <v>-15386</v>
          </cell>
          <cell r="AU174">
            <v>-15386</v>
          </cell>
          <cell r="AV174">
            <v>-15386</v>
          </cell>
          <cell r="AW174">
            <v>-15386</v>
          </cell>
          <cell r="AX174">
            <v>-15386</v>
          </cell>
          <cell r="AY174">
            <v>-15386</v>
          </cell>
          <cell r="AZ174">
            <v>-15386</v>
          </cell>
          <cell r="BA174">
            <v>-15386</v>
          </cell>
          <cell r="BB174">
            <v>-15386</v>
          </cell>
          <cell r="BC174">
            <v>-15386</v>
          </cell>
          <cell r="BD174">
            <v>-15386</v>
          </cell>
          <cell r="BE174">
            <v>-15386</v>
          </cell>
          <cell r="BF174">
            <v>-15386</v>
          </cell>
          <cell r="BG174">
            <v>-15386</v>
          </cell>
          <cell r="BH174">
            <v>-15386</v>
          </cell>
          <cell r="BI174">
            <v>-15386</v>
          </cell>
          <cell r="BJ174">
            <v>-15386</v>
          </cell>
          <cell r="BK174">
            <v>-15386</v>
          </cell>
          <cell r="BL174">
            <v>-15386</v>
          </cell>
          <cell r="BM174">
            <v>-15386</v>
          </cell>
          <cell r="BN174">
            <v>-15386</v>
          </cell>
          <cell r="BO174">
            <v>-15386</v>
          </cell>
          <cell r="BP174">
            <v>-15386</v>
          </cell>
          <cell r="BQ174">
            <v>-15386</v>
          </cell>
          <cell r="BR174">
            <v>-15386</v>
          </cell>
          <cell r="BS174">
            <v>-15386</v>
          </cell>
          <cell r="BT174">
            <v>-15386</v>
          </cell>
          <cell r="BU174">
            <v>-15386</v>
          </cell>
          <cell r="BV174">
            <v>-15386</v>
          </cell>
        </row>
        <row r="175">
          <cell r="A175" t="str">
            <v>FIAT</v>
          </cell>
          <cell r="B175" t="str">
            <v>J516 / VINYL</v>
          </cell>
          <cell r="D175">
            <v>0</v>
          </cell>
          <cell r="Z175">
            <v>2700</v>
          </cell>
          <cell r="AA175">
            <v>2700</v>
          </cell>
          <cell r="AB175">
            <v>2700</v>
          </cell>
          <cell r="AC175">
            <v>2700</v>
          </cell>
          <cell r="AD175">
            <v>2700</v>
          </cell>
          <cell r="AE175">
            <v>2700</v>
          </cell>
          <cell r="AF175">
            <v>2700</v>
          </cell>
          <cell r="AG175">
            <v>2700</v>
          </cell>
          <cell r="AH175">
            <v>2700</v>
          </cell>
          <cell r="AI175">
            <v>2700</v>
          </cell>
          <cell r="AJ175">
            <v>2700</v>
          </cell>
          <cell r="AK175">
            <v>2700</v>
          </cell>
          <cell r="AL175">
            <v>2700</v>
          </cell>
          <cell r="AM175">
            <v>2700</v>
          </cell>
          <cell r="AN175">
            <v>2700</v>
          </cell>
          <cell r="AO175">
            <v>2700</v>
          </cell>
          <cell r="AP175">
            <v>2700</v>
          </cell>
          <cell r="AQ175">
            <v>2700</v>
          </cell>
          <cell r="AR175">
            <v>2700</v>
          </cell>
          <cell r="AS175">
            <v>2700</v>
          </cell>
          <cell r="AT175">
            <v>2700</v>
          </cell>
          <cell r="AU175">
            <v>2700</v>
          </cell>
          <cell r="AV175">
            <v>2700</v>
          </cell>
          <cell r="AW175">
            <v>2700</v>
          </cell>
          <cell r="AX175">
            <v>2700</v>
          </cell>
          <cell r="AY175">
            <v>2700</v>
          </cell>
          <cell r="AZ175">
            <v>2700</v>
          </cell>
          <cell r="BA175">
            <v>2700</v>
          </cell>
          <cell r="BB175">
            <v>2700</v>
          </cell>
          <cell r="BC175">
            <v>2700</v>
          </cell>
          <cell r="BD175">
            <v>2700</v>
          </cell>
          <cell r="BE175">
            <v>2700</v>
          </cell>
          <cell r="BF175">
            <v>2700</v>
          </cell>
          <cell r="BG175">
            <v>2700</v>
          </cell>
          <cell r="BH175">
            <v>2700</v>
          </cell>
          <cell r="BI175">
            <v>2700</v>
          </cell>
          <cell r="BJ175">
            <v>2700</v>
          </cell>
          <cell r="BK175">
            <v>2700</v>
          </cell>
          <cell r="BL175">
            <v>2700</v>
          </cell>
          <cell r="BM175">
            <v>2700</v>
          </cell>
          <cell r="BN175">
            <v>2700</v>
          </cell>
          <cell r="BO175">
            <v>2700</v>
          </cell>
          <cell r="BP175">
            <v>2700</v>
          </cell>
          <cell r="BQ175">
            <v>2700</v>
          </cell>
          <cell r="BR175">
            <v>2700</v>
          </cell>
          <cell r="BS175">
            <v>2700</v>
          </cell>
          <cell r="BT175">
            <v>2700</v>
          </cell>
          <cell r="BU175">
            <v>2700</v>
          </cell>
          <cell r="BV175">
            <v>2700</v>
          </cell>
        </row>
        <row r="176">
          <cell r="A176" t="str">
            <v>FIAT</v>
          </cell>
          <cell r="B176" t="str">
            <v>J516 / VINYL</v>
          </cell>
          <cell r="D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</row>
        <row r="177">
          <cell r="A177" t="str">
            <v>FIAT</v>
          </cell>
          <cell r="B177" t="str">
            <v>J516 / VINYL</v>
          </cell>
          <cell r="D177" t="str">
            <v>STOCK</v>
          </cell>
          <cell r="Z177">
            <v>3290</v>
          </cell>
          <cell r="AA177">
            <v>8703.5338345864657</v>
          </cell>
          <cell r="AB177">
            <v>-550.93233082706865</v>
          </cell>
          <cell r="AC177">
            <v>-1768.6917293233091</v>
          </cell>
          <cell r="AD177">
            <v>-3569.5714285714294</v>
          </cell>
          <cell r="AE177">
            <v>-1843.3308270676698</v>
          </cell>
          <cell r="AF177">
            <v>-898.12030075188159</v>
          </cell>
          <cell r="AG177">
            <v>776.09022556390664</v>
          </cell>
          <cell r="AH177">
            <v>1619.9323308270641</v>
          </cell>
          <cell r="AI177">
            <v>2782.7744360902216</v>
          </cell>
          <cell r="AJ177">
            <v>3309.616541353379</v>
          </cell>
          <cell r="AK177">
            <v>2575.7368421052583</v>
          </cell>
          <cell r="AL177">
            <v>5823.8571428571377</v>
          </cell>
          <cell r="AM177">
            <v>9884.0075187969869</v>
          </cell>
          <cell r="AN177">
            <v>13132.127819548867</v>
          </cell>
          <cell r="AO177">
            <v>961.93233082706229</v>
          </cell>
          <cell r="AP177">
            <v>4683.7368421052579</v>
          </cell>
          <cell r="AQ177">
            <v>8405.5413533834544</v>
          </cell>
          <cell r="AR177">
            <v>12127.345864661649</v>
          </cell>
          <cell r="AS177">
            <v>-572.84962406015529</v>
          </cell>
          <cell r="AT177">
            <v>3148.9548872180403</v>
          </cell>
          <cell r="AU177">
            <v>6870.7593984962359</v>
          </cell>
          <cell r="AV177">
            <v>10592.563909774432</v>
          </cell>
          <cell r="AW177">
            <v>10796.972865497071</v>
          </cell>
          <cell r="AX177">
            <v>11503.675154553046</v>
          </cell>
          <cell r="AY177">
            <v>12210.377443609021</v>
          </cell>
          <cell r="AZ177">
            <v>9195.2752213867989</v>
          </cell>
          <cell r="BA177">
            <v>6180.172999164577</v>
          </cell>
          <cell r="BB177">
            <v>6886.8752882205508</v>
          </cell>
          <cell r="BC177">
            <v>7091.4353550543019</v>
          </cell>
          <cell r="BD177">
            <v>7295.995421888053</v>
          </cell>
          <cell r="BE177">
            <v>7500.5554887218041</v>
          </cell>
          <cell r="BF177">
            <v>7705.1155555555551</v>
          </cell>
          <cell r="BG177">
            <v>7909.6756223893062</v>
          </cell>
          <cell r="BH177">
            <v>8114.2356892230573</v>
          </cell>
          <cell r="BI177">
            <v>8318.7957560568084</v>
          </cell>
          <cell r="BJ177">
            <v>8861.7016875522131</v>
          </cell>
          <cell r="BK177">
            <v>16305.310710108604</v>
          </cell>
          <cell r="BL177">
            <v>-99761.228203843013</v>
          </cell>
          <cell r="BM177">
            <v>-64031.904895572341</v>
          </cell>
          <cell r="BN177">
            <v>-28302.581587301669</v>
          </cell>
          <cell r="BO177">
            <v>7426.7417209690029</v>
          </cell>
          <cell r="BP177">
            <v>43156.065029239675</v>
          </cell>
          <cell r="BQ177">
            <v>78885.388337510347</v>
          </cell>
          <cell r="BR177">
            <v>114614.71164578102</v>
          </cell>
          <cell r="BS177">
            <v>150344.03495405169</v>
          </cell>
          <cell r="BT177">
            <v>150902.30563074342</v>
          </cell>
          <cell r="BU177">
            <v>151460.57630743514</v>
          </cell>
          <cell r="BV177">
            <v>152018.84698412687</v>
          </cell>
        </row>
        <row r="178">
          <cell r="A178" t="str">
            <v>Total Fiat Volumes</v>
          </cell>
          <cell r="D178"/>
          <cell r="Z178">
            <v>14432</v>
          </cell>
          <cell r="AA178">
            <v>0</v>
          </cell>
          <cell r="AB178">
            <v>17881</v>
          </cell>
          <cell r="AC178">
            <v>9982</v>
          </cell>
          <cell r="AD178">
            <v>6876</v>
          </cell>
          <cell r="AE178">
            <v>7101</v>
          </cell>
          <cell r="AF178">
            <v>6692</v>
          </cell>
          <cell r="AG178">
            <v>5900</v>
          </cell>
          <cell r="AH178">
            <v>5972</v>
          </cell>
          <cell r="AI178">
            <v>6157</v>
          </cell>
          <cell r="AJ178">
            <v>6289</v>
          </cell>
          <cell r="AK178">
            <v>6187</v>
          </cell>
          <cell r="AL178">
            <v>0</v>
          </cell>
          <cell r="AM178">
            <v>0</v>
          </cell>
          <cell r="AN178">
            <v>0</v>
          </cell>
          <cell r="AO178">
            <v>26287</v>
          </cell>
          <cell r="AP178">
            <v>0</v>
          </cell>
          <cell r="AQ178">
            <v>0</v>
          </cell>
          <cell r="AR178">
            <v>0</v>
          </cell>
          <cell r="AS178">
            <v>29652</v>
          </cell>
          <cell r="AT178">
            <v>0</v>
          </cell>
          <cell r="AU178">
            <v>0</v>
          </cell>
          <cell r="AV178">
            <v>0</v>
          </cell>
          <cell r="AW178">
            <v>4449.4044444444444</v>
          </cell>
          <cell r="AX178">
            <v>5900.1111111111104</v>
          </cell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</row>
        <row r="179">
          <cell r="A179" t="str">
            <v>FIAT</v>
          </cell>
          <cell r="B179" t="str">
            <v>J516 / FABRIC</v>
          </cell>
          <cell r="D179" t="str">
            <v>Work days</v>
          </cell>
          <cell r="Z179">
            <v>3</v>
          </cell>
          <cell r="AA179">
            <v>5</v>
          </cell>
          <cell r="AB179">
            <v>5</v>
          </cell>
          <cell r="AC179">
            <v>5</v>
          </cell>
          <cell r="AD179">
            <v>3</v>
          </cell>
          <cell r="AE179">
            <v>5</v>
          </cell>
          <cell r="AF179">
            <v>5</v>
          </cell>
          <cell r="AG179">
            <v>5</v>
          </cell>
          <cell r="AH179">
            <v>5</v>
          </cell>
          <cell r="AI179">
            <v>5</v>
          </cell>
          <cell r="AJ179">
            <v>5</v>
          </cell>
          <cell r="AK179">
            <v>4</v>
          </cell>
          <cell r="AL179">
            <v>4</v>
          </cell>
          <cell r="AM179">
            <v>5</v>
          </cell>
          <cell r="AN179">
            <v>4</v>
          </cell>
          <cell r="AO179">
            <v>5</v>
          </cell>
          <cell r="AP179">
            <v>5</v>
          </cell>
          <cell r="AQ179">
            <v>5</v>
          </cell>
          <cell r="AR179">
            <v>5</v>
          </cell>
          <cell r="AS179">
            <v>5</v>
          </cell>
          <cell r="AT179">
            <v>5</v>
          </cell>
          <cell r="AU179">
            <v>5</v>
          </cell>
          <cell r="AV179">
            <v>5</v>
          </cell>
          <cell r="AW179">
            <v>5</v>
          </cell>
          <cell r="AX179">
            <v>5</v>
          </cell>
          <cell r="AY179">
            <v>5</v>
          </cell>
          <cell r="AZ179">
            <v>0</v>
          </cell>
          <cell r="BA179">
            <v>0</v>
          </cell>
          <cell r="BB179">
            <v>5</v>
          </cell>
          <cell r="BC179">
            <v>5</v>
          </cell>
          <cell r="BD179">
            <v>5</v>
          </cell>
          <cell r="BE179">
            <v>5</v>
          </cell>
          <cell r="BF179">
            <v>5</v>
          </cell>
          <cell r="BG179">
            <v>5</v>
          </cell>
          <cell r="BH179">
            <v>5</v>
          </cell>
          <cell r="BI179">
            <v>5</v>
          </cell>
          <cell r="BJ179">
            <v>5</v>
          </cell>
          <cell r="BK179">
            <v>5</v>
          </cell>
          <cell r="BL179">
            <v>3</v>
          </cell>
          <cell r="BM179">
            <v>3</v>
          </cell>
          <cell r="BN179">
            <v>3</v>
          </cell>
          <cell r="BO179">
            <v>3</v>
          </cell>
          <cell r="BP179">
            <v>3</v>
          </cell>
          <cell r="BQ179">
            <v>3</v>
          </cell>
          <cell r="BR179">
            <v>3</v>
          </cell>
          <cell r="BS179">
            <v>3</v>
          </cell>
          <cell r="BT179">
            <v>3</v>
          </cell>
          <cell r="BU179">
            <v>3</v>
          </cell>
          <cell r="BV179">
            <v>3</v>
          </cell>
        </row>
        <row r="180">
          <cell r="A180" t="str">
            <v>FIAT</v>
          </cell>
          <cell r="B180" t="str">
            <v>J516 / FABRIC</v>
          </cell>
          <cell r="D180" t="str">
            <v>SHIFT A HC - operators</v>
          </cell>
          <cell r="Z180">
            <v>3</v>
          </cell>
          <cell r="AA180">
            <v>3</v>
          </cell>
          <cell r="AB180">
            <v>3</v>
          </cell>
          <cell r="AC180">
            <v>3</v>
          </cell>
          <cell r="AD180">
            <v>3</v>
          </cell>
          <cell r="AE180">
            <v>3</v>
          </cell>
          <cell r="AF180">
            <v>4</v>
          </cell>
          <cell r="AG180">
            <v>4</v>
          </cell>
          <cell r="AH180">
            <v>4</v>
          </cell>
          <cell r="AI180">
            <v>4</v>
          </cell>
          <cell r="AJ180">
            <v>4</v>
          </cell>
          <cell r="AK180">
            <v>4</v>
          </cell>
          <cell r="AL180">
            <v>4</v>
          </cell>
          <cell r="AM180">
            <v>4</v>
          </cell>
          <cell r="AN180">
            <v>4</v>
          </cell>
          <cell r="AO180">
            <v>3</v>
          </cell>
          <cell r="AP180">
            <v>3</v>
          </cell>
          <cell r="AQ180">
            <v>3</v>
          </cell>
          <cell r="AR180">
            <v>3</v>
          </cell>
          <cell r="AS180">
            <v>3</v>
          </cell>
          <cell r="AT180">
            <v>3</v>
          </cell>
          <cell r="AU180">
            <v>3</v>
          </cell>
          <cell r="AV180">
            <v>3</v>
          </cell>
          <cell r="AW180">
            <v>3</v>
          </cell>
          <cell r="AX180">
            <v>3</v>
          </cell>
          <cell r="AY180">
            <v>3</v>
          </cell>
          <cell r="AZ180">
            <v>3</v>
          </cell>
          <cell r="BA180">
            <v>3</v>
          </cell>
          <cell r="BB180">
            <v>3</v>
          </cell>
          <cell r="BC180">
            <v>3</v>
          </cell>
          <cell r="BD180">
            <v>3</v>
          </cell>
          <cell r="BE180">
            <v>3</v>
          </cell>
          <cell r="BF180">
            <v>3</v>
          </cell>
          <cell r="BG180">
            <v>3</v>
          </cell>
          <cell r="BH180">
            <v>3</v>
          </cell>
          <cell r="BI180">
            <v>3</v>
          </cell>
          <cell r="BJ180">
            <v>3</v>
          </cell>
          <cell r="BK180">
            <v>3</v>
          </cell>
          <cell r="BL180">
            <v>3</v>
          </cell>
          <cell r="BM180">
            <v>3</v>
          </cell>
          <cell r="BN180">
            <v>3</v>
          </cell>
          <cell r="BO180">
            <v>3</v>
          </cell>
          <cell r="BP180">
            <v>3</v>
          </cell>
          <cell r="BQ180">
            <v>3</v>
          </cell>
          <cell r="BR180">
            <v>3</v>
          </cell>
          <cell r="BS180">
            <v>3</v>
          </cell>
          <cell r="BT180">
            <v>3</v>
          </cell>
          <cell r="BU180">
            <v>3</v>
          </cell>
          <cell r="BV180">
            <v>3</v>
          </cell>
        </row>
        <row r="181">
          <cell r="A181" t="str">
            <v>FIAT</v>
          </cell>
          <cell r="B181" t="str">
            <v>J516 / FABRIC</v>
          </cell>
          <cell r="D181" t="str">
            <v>SHIFT B HC  - operators</v>
          </cell>
          <cell r="Z181">
            <v>0</v>
          </cell>
          <cell r="AA181">
            <v>0</v>
          </cell>
          <cell r="AB181">
            <v>0</v>
          </cell>
          <cell r="AC181">
            <v>3</v>
          </cell>
          <cell r="AD181">
            <v>3</v>
          </cell>
          <cell r="AE181">
            <v>3</v>
          </cell>
          <cell r="AF181">
            <v>3</v>
          </cell>
          <cell r="AG181">
            <v>3</v>
          </cell>
          <cell r="AH181">
            <v>3</v>
          </cell>
          <cell r="AI181">
            <v>3</v>
          </cell>
          <cell r="AJ181">
            <v>3</v>
          </cell>
          <cell r="AK181">
            <v>3</v>
          </cell>
          <cell r="AL181">
            <v>3</v>
          </cell>
          <cell r="AM181">
            <v>3</v>
          </cell>
          <cell r="AN181">
            <v>3</v>
          </cell>
          <cell r="AO181">
            <v>3</v>
          </cell>
          <cell r="AP181">
            <v>3</v>
          </cell>
          <cell r="AQ181">
            <v>3</v>
          </cell>
          <cell r="AR181">
            <v>3</v>
          </cell>
          <cell r="AS181">
            <v>3</v>
          </cell>
          <cell r="AT181">
            <v>3</v>
          </cell>
          <cell r="AU181">
            <v>3</v>
          </cell>
          <cell r="AV181">
            <v>3</v>
          </cell>
          <cell r="AW181">
            <v>3</v>
          </cell>
          <cell r="AX181">
            <v>3</v>
          </cell>
          <cell r="AY181">
            <v>3</v>
          </cell>
          <cell r="AZ181">
            <v>3</v>
          </cell>
          <cell r="BA181">
            <v>3</v>
          </cell>
          <cell r="BB181">
            <v>3</v>
          </cell>
          <cell r="BC181">
            <v>3</v>
          </cell>
          <cell r="BD181">
            <v>3</v>
          </cell>
          <cell r="BE181">
            <v>3</v>
          </cell>
          <cell r="BF181">
            <v>3</v>
          </cell>
          <cell r="BG181">
            <v>3</v>
          </cell>
          <cell r="BH181">
            <v>3</v>
          </cell>
          <cell r="BI181">
            <v>3</v>
          </cell>
          <cell r="BJ181">
            <v>3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</row>
        <row r="182">
          <cell r="A182" t="str">
            <v>FIAT</v>
          </cell>
          <cell r="B182" t="str">
            <v>J516 / FABRIC</v>
          </cell>
          <cell r="D182" t="str">
            <v>SHIFT C HC  - operators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</row>
        <row r="183">
          <cell r="A183" t="str">
            <v>FIAT</v>
          </cell>
          <cell r="B183" t="str">
            <v>J516 / FABRIC</v>
          </cell>
          <cell r="D183" t="str">
            <v>Total HC</v>
          </cell>
          <cell r="Z183">
            <v>3</v>
          </cell>
          <cell r="AA183">
            <v>3</v>
          </cell>
          <cell r="AB183">
            <v>3</v>
          </cell>
          <cell r="AC183">
            <v>6</v>
          </cell>
          <cell r="AD183">
            <v>6</v>
          </cell>
          <cell r="AE183">
            <v>6</v>
          </cell>
          <cell r="AF183">
            <v>7</v>
          </cell>
          <cell r="AG183">
            <v>7</v>
          </cell>
          <cell r="AH183">
            <v>7</v>
          </cell>
          <cell r="AI183">
            <v>7</v>
          </cell>
          <cell r="AJ183">
            <v>7</v>
          </cell>
          <cell r="AK183">
            <v>7</v>
          </cell>
          <cell r="AL183">
            <v>7</v>
          </cell>
          <cell r="AM183">
            <v>7</v>
          </cell>
          <cell r="AN183">
            <v>7</v>
          </cell>
          <cell r="AO183">
            <v>6</v>
          </cell>
          <cell r="AP183">
            <v>6</v>
          </cell>
          <cell r="AQ183">
            <v>6</v>
          </cell>
          <cell r="AR183">
            <v>6</v>
          </cell>
          <cell r="AS183">
            <v>6</v>
          </cell>
          <cell r="AT183">
            <v>6</v>
          </cell>
          <cell r="AU183">
            <v>6</v>
          </cell>
          <cell r="AV183">
            <v>6</v>
          </cell>
          <cell r="AW183">
            <v>6</v>
          </cell>
          <cell r="AX183">
            <v>6</v>
          </cell>
          <cell r="AY183">
            <v>6</v>
          </cell>
          <cell r="AZ183">
            <v>6</v>
          </cell>
          <cell r="BA183">
            <v>6</v>
          </cell>
          <cell r="BB183">
            <v>6</v>
          </cell>
          <cell r="BC183">
            <v>6</v>
          </cell>
          <cell r="BD183">
            <v>6</v>
          </cell>
          <cell r="BE183">
            <v>6</v>
          </cell>
          <cell r="BF183">
            <v>6</v>
          </cell>
          <cell r="BG183">
            <v>6</v>
          </cell>
          <cell r="BH183">
            <v>6</v>
          </cell>
          <cell r="BI183">
            <v>6</v>
          </cell>
          <cell r="BJ183">
            <v>6</v>
          </cell>
          <cell r="BK183">
            <v>3</v>
          </cell>
          <cell r="BL183">
            <v>3</v>
          </cell>
          <cell r="BM183">
            <v>3</v>
          </cell>
          <cell r="BN183">
            <v>3</v>
          </cell>
          <cell r="BO183">
            <v>3</v>
          </cell>
          <cell r="BP183">
            <v>3</v>
          </cell>
          <cell r="BQ183">
            <v>3</v>
          </cell>
          <cell r="BR183">
            <v>3</v>
          </cell>
          <cell r="BS183">
            <v>3</v>
          </cell>
          <cell r="BT183">
            <v>3</v>
          </cell>
          <cell r="BU183">
            <v>3</v>
          </cell>
          <cell r="BV183">
            <v>3</v>
          </cell>
        </row>
        <row r="184">
          <cell r="A184" t="str">
            <v>FIAT</v>
          </cell>
          <cell r="B184" t="str">
            <v>J516 / FABRIC</v>
          </cell>
          <cell r="D184" t="str">
            <v>SHIFT A HC  - efficiency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1</v>
          </cell>
          <cell r="AY184">
            <v>1</v>
          </cell>
          <cell r="AZ184">
            <v>1</v>
          </cell>
          <cell r="BA184">
            <v>1</v>
          </cell>
          <cell r="BB184">
            <v>1</v>
          </cell>
          <cell r="BC184">
            <v>1</v>
          </cell>
          <cell r="BD184">
            <v>1</v>
          </cell>
          <cell r="BE184">
            <v>1</v>
          </cell>
          <cell r="BF184">
            <v>1</v>
          </cell>
          <cell r="BG184">
            <v>1</v>
          </cell>
          <cell r="BH184">
            <v>1</v>
          </cell>
          <cell r="BI184">
            <v>1</v>
          </cell>
          <cell r="BJ184">
            <v>1</v>
          </cell>
          <cell r="BK184">
            <v>1.1000000000000001</v>
          </cell>
          <cell r="BL184">
            <v>1.1000000000000001</v>
          </cell>
          <cell r="BM184">
            <v>1.1000000000000001</v>
          </cell>
          <cell r="BN184">
            <v>1.1000000000000001</v>
          </cell>
          <cell r="BO184">
            <v>1.1000000000000001</v>
          </cell>
          <cell r="BP184">
            <v>1.1000000000000001</v>
          </cell>
          <cell r="BQ184">
            <v>1.1000000000000001</v>
          </cell>
          <cell r="BR184">
            <v>1.2</v>
          </cell>
          <cell r="BS184">
            <v>1.2</v>
          </cell>
          <cell r="BT184">
            <v>1.2</v>
          </cell>
          <cell r="BU184">
            <v>1.2</v>
          </cell>
          <cell r="BV184">
            <v>1.2</v>
          </cell>
        </row>
        <row r="185">
          <cell r="A185" t="str">
            <v>FIAT</v>
          </cell>
          <cell r="B185" t="str">
            <v>J516 / FABRIC</v>
          </cell>
          <cell r="D185" t="str">
            <v>SHIFT B HC  - efficiency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Y185">
            <v>1</v>
          </cell>
          <cell r="AZ185">
            <v>1</v>
          </cell>
          <cell r="BA185">
            <v>1</v>
          </cell>
          <cell r="BB185">
            <v>1</v>
          </cell>
          <cell r="BC185">
            <v>1</v>
          </cell>
          <cell r="BD185">
            <v>1</v>
          </cell>
          <cell r="BE185">
            <v>1</v>
          </cell>
          <cell r="BF185">
            <v>1</v>
          </cell>
          <cell r="BG185">
            <v>1</v>
          </cell>
          <cell r="BH185">
            <v>1</v>
          </cell>
          <cell r="BI185">
            <v>1</v>
          </cell>
          <cell r="BJ185">
            <v>1</v>
          </cell>
          <cell r="BK185">
            <v>1</v>
          </cell>
          <cell r="BL185">
            <v>1</v>
          </cell>
          <cell r="BM185">
            <v>1</v>
          </cell>
          <cell r="BN185">
            <v>1</v>
          </cell>
          <cell r="BO185">
            <v>1</v>
          </cell>
          <cell r="BP185">
            <v>1</v>
          </cell>
          <cell r="BQ185">
            <v>1</v>
          </cell>
          <cell r="BR185">
            <v>1</v>
          </cell>
          <cell r="BS185">
            <v>1</v>
          </cell>
          <cell r="BT185">
            <v>1</v>
          </cell>
          <cell r="BU185">
            <v>1</v>
          </cell>
          <cell r="BV185">
            <v>1</v>
          </cell>
        </row>
        <row r="186">
          <cell r="A186" t="str">
            <v>FIAT</v>
          </cell>
          <cell r="B186" t="str">
            <v>J516 / FABRIC</v>
          </cell>
          <cell r="D186" t="str">
            <v>SHIFT C HC  - efficiency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1</v>
          </cell>
          <cell r="AY186">
            <v>1</v>
          </cell>
          <cell r="AZ186">
            <v>1</v>
          </cell>
          <cell r="BA186">
            <v>1</v>
          </cell>
          <cell r="BB186">
            <v>1</v>
          </cell>
          <cell r="BC186">
            <v>1</v>
          </cell>
          <cell r="BD186">
            <v>1</v>
          </cell>
          <cell r="BE186">
            <v>1</v>
          </cell>
          <cell r="BF186">
            <v>1</v>
          </cell>
          <cell r="BG186">
            <v>1</v>
          </cell>
          <cell r="BH186">
            <v>1</v>
          </cell>
          <cell r="BI186">
            <v>1</v>
          </cell>
          <cell r="BJ186">
            <v>1</v>
          </cell>
          <cell r="BK186">
            <v>1</v>
          </cell>
          <cell r="BL186">
            <v>1</v>
          </cell>
          <cell r="BM186">
            <v>1</v>
          </cell>
          <cell r="BN186">
            <v>1</v>
          </cell>
          <cell r="BO186">
            <v>1</v>
          </cell>
          <cell r="BP186">
            <v>1</v>
          </cell>
          <cell r="BQ186">
            <v>1</v>
          </cell>
          <cell r="BR186">
            <v>1</v>
          </cell>
          <cell r="BS186">
            <v>1</v>
          </cell>
          <cell r="BT186">
            <v>1</v>
          </cell>
          <cell r="BU186">
            <v>1</v>
          </cell>
          <cell r="BV186">
            <v>1</v>
          </cell>
        </row>
        <row r="187">
          <cell r="A187" t="str">
            <v>FIAT</v>
          </cell>
          <cell r="B187" t="str">
            <v>J516 / FABRIC</v>
          </cell>
          <cell r="D187" t="str">
            <v>Total efficiency</v>
          </cell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</row>
        <row r="188">
          <cell r="A188" t="str">
            <v>FIAT</v>
          </cell>
          <cell r="B188" t="str">
            <v>J516 / FABRIC</v>
          </cell>
          <cell r="D188" t="str">
            <v>SHIFT A - output</v>
          </cell>
          <cell r="Z188">
            <v>217.39130434782609</v>
          </cell>
          <cell r="AA188">
            <v>217.39130434782609</v>
          </cell>
          <cell r="AB188">
            <v>217.39130434782609</v>
          </cell>
          <cell r="AC188">
            <v>217.39130434782609</v>
          </cell>
          <cell r="AD188">
            <v>217.39130434782609</v>
          </cell>
          <cell r="AE188">
            <v>217.39130434782609</v>
          </cell>
          <cell r="AF188">
            <v>289.85507246376812</v>
          </cell>
          <cell r="AG188">
            <v>289.85507246376812</v>
          </cell>
          <cell r="AH188">
            <v>289.85507246376812</v>
          </cell>
          <cell r="AI188">
            <v>289.85507246376812</v>
          </cell>
          <cell r="AJ188">
            <v>289.85507246376812</v>
          </cell>
          <cell r="AK188">
            <v>289.85507246376812</v>
          </cell>
          <cell r="AL188">
            <v>289.85507246376812</v>
          </cell>
          <cell r="AM188">
            <v>289.85507246376812</v>
          </cell>
          <cell r="AN188">
            <v>289.85507246376812</v>
          </cell>
          <cell r="AO188">
            <v>217.39130434782609</v>
          </cell>
          <cell r="AP188">
            <v>217.39130434782609</v>
          </cell>
          <cell r="AQ188">
            <v>217.39130434782609</v>
          </cell>
          <cell r="AR188">
            <v>217.39130434782609</v>
          </cell>
          <cell r="AS188">
            <v>217.39130434782609</v>
          </cell>
          <cell r="AT188">
            <v>217.39130434782609</v>
          </cell>
          <cell r="AU188">
            <v>217.39130434782609</v>
          </cell>
          <cell r="AV188">
            <v>217.39130434782609</v>
          </cell>
          <cell r="AW188">
            <v>217.39130434782609</v>
          </cell>
          <cell r="AX188">
            <v>217.39130434782609</v>
          </cell>
          <cell r="AY188">
            <v>217.39130434782609</v>
          </cell>
          <cell r="AZ188">
            <v>217.39130434782609</v>
          </cell>
          <cell r="BA188">
            <v>217.39130434782609</v>
          </cell>
          <cell r="BB188">
            <v>217.39130434782609</v>
          </cell>
          <cell r="BC188">
            <v>217.39130434782609</v>
          </cell>
          <cell r="BD188">
            <v>217.39130434782609</v>
          </cell>
          <cell r="BE188">
            <v>217.39130434782609</v>
          </cell>
          <cell r="BF188">
            <v>217.39130434782609</v>
          </cell>
          <cell r="BG188">
            <v>217.39130434782609</v>
          </cell>
          <cell r="BH188">
            <v>217.39130434782609</v>
          </cell>
          <cell r="BI188">
            <v>217.39130434782609</v>
          </cell>
          <cell r="BJ188">
            <v>217.39130434782609</v>
          </cell>
          <cell r="BK188">
            <v>239.13043478260872</v>
          </cell>
          <cell r="BL188">
            <v>239.13043478260872</v>
          </cell>
          <cell r="BM188">
            <v>239.13043478260872</v>
          </cell>
          <cell r="BN188">
            <v>239.13043478260872</v>
          </cell>
          <cell r="BO188">
            <v>239.13043478260872</v>
          </cell>
          <cell r="BP188">
            <v>239.13043478260872</v>
          </cell>
          <cell r="BQ188">
            <v>239.13043478260872</v>
          </cell>
          <cell r="BR188">
            <v>260.86956521739131</v>
          </cell>
          <cell r="BS188">
            <v>260.86956521739131</v>
          </cell>
          <cell r="BT188">
            <v>260.86956521739131</v>
          </cell>
          <cell r="BU188">
            <v>260.86956521739131</v>
          </cell>
          <cell r="BV188">
            <v>260.86956521739131</v>
          </cell>
        </row>
        <row r="189">
          <cell r="A189" t="str">
            <v>FIAT</v>
          </cell>
          <cell r="B189" t="str">
            <v>J516 / FABRIC</v>
          </cell>
          <cell r="D189" t="str">
            <v>SHIFT B  - output</v>
          </cell>
          <cell r="Z189">
            <v>0</v>
          </cell>
          <cell r="AA189">
            <v>0</v>
          </cell>
          <cell r="AB189">
            <v>0</v>
          </cell>
          <cell r="AC189">
            <v>217.39130434782609</v>
          </cell>
          <cell r="AD189">
            <v>217.39130434782609</v>
          </cell>
          <cell r="AE189">
            <v>217.39130434782609</v>
          </cell>
          <cell r="AF189">
            <v>217.39130434782609</v>
          </cell>
          <cell r="AG189">
            <v>217.39130434782609</v>
          </cell>
          <cell r="AH189">
            <v>217.39130434782609</v>
          </cell>
          <cell r="AI189">
            <v>217.39130434782609</v>
          </cell>
          <cell r="AJ189">
            <v>217.39130434782609</v>
          </cell>
          <cell r="AK189">
            <v>217.39130434782609</v>
          </cell>
          <cell r="AL189">
            <v>217.39130434782609</v>
          </cell>
          <cell r="AM189">
            <v>217.39130434782609</v>
          </cell>
          <cell r="AN189">
            <v>217.39130434782609</v>
          </cell>
          <cell r="AO189">
            <v>217.39130434782609</v>
          </cell>
          <cell r="AP189">
            <v>217.39130434782609</v>
          </cell>
          <cell r="AQ189">
            <v>217.39130434782609</v>
          </cell>
          <cell r="AR189">
            <v>217.39130434782609</v>
          </cell>
          <cell r="AS189">
            <v>217.39130434782609</v>
          </cell>
          <cell r="AT189">
            <v>217.39130434782609</v>
          </cell>
          <cell r="AU189">
            <v>217.39130434782609</v>
          </cell>
          <cell r="AV189">
            <v>217.39130434782609</v>
          </cell>
          <cell r="AW189">
            <v>217.39130434782609</v>
          </cell>
          <cell r="AX189">
            <v>217.39130434782609</v>
          </cell>
          <cell r="AY189">
            <v>217.39130434782609</v>
          </cell>
          <cell r="AZ189">
            <v>217.39130434782609</v>
          </cell>
          <cell r="BA189">
            <v>217.39130434782609</v>
          </cell>
          <cell r="BB189">
            <v>217.39130434782609</v>
          </cell>
          <cell r="BC189">
            <v>217.39130434782609</v>
          </cell>
          <cell r="BD189">
            <v>217.39130434782609</v>
          </cell>
          <cell r="BE189">
            <v>217.39130434782609</v>
          </cell>
          <cell r="BF189">
            <v>217.39130434782609</v>
          </cell>
          <cell r="BG189">
            <v>217.39130434782609</v>
          </cell>
          <cell r="BH189">
            <v>217.39130434782609</v>
          </cell>
          <cell r="BI189">
            <v>217.39130434782609</v>
          </cell>
          <cell r="BJ189">
            <v>217.39130434782609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</row>
        <row r="190">
          <cell r="A190" t="str">
            <v>FIAT</v>
          </cell>
          <cell r="B190" t="str">
            <v>J516 / FABRIC</v>
          </cell>
          <cell r="D190" t="str">
            <v>SHIFT C  - output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</row>
        <row r="191">
          <cell r="A191" t="str">
            <v>FIAT</v>
          </cell>
          <cell r="B191" t="str">
            <v>J516 / FABRIC</v>
          </cell>
          <cell r="D191" t="str">
            <v>Est. Output (Pcs day)</v>
          </cell>
          <cell r="E191">
            <v>6.21</v>
          </cell>
          <cell r="Z191">
            <v>217.39130434782609</v>
          </cell>
          <cell r="AA191">
            <v>217.39130434782609</v>
          </cell>
          <cell r="AB191">
            <v>217.39130434782609</v>
          </cell>
          <cell r="AC191">
            <v>434.78260869565219</v>
          </cell>
          <cell r="AD191">
            <v>434.78260869565219</v>
          </cell>
          <cell r="AE191">
            <v>434.78260869565219</v>
          </cell>
          <cell r="AF191">
            <v>507.24637681159425</v>
          </cell>
          <cell r="AG191">
            <v>507.24637681159425</v>
          </cell>
          <cell r="AH191">
            <v>507.24637681159425</v>
          </cell>
          <cell r="AI191">
            <v>507.24637681159425</v>
          </cell>
          <cell r="AJ191">
            <v>507.24637681159425</v>
          </cell>
          <cell r="AK191">
            <v>507.24637681159425</v>
          </cell>
          <cell r="AL191">
            <v>507.24637681159425</v>
          </cell>
          <cell r="AM191">
            <v>507.24637681159425</v>
          </cell>
          <cell r="AN191">
            <v>507.24637681159425</v>
          </cell>
          <cell r="AO191">
            <v>434.78260869565219</v>
          </cell>
          <cell r="AP191">
            <v>434.78260869565219</v>
          </cell>
          <cell r="AQ191">
            <v>434.78260869565219</v>
          </cell>
          <cell r="AR191">
            <v>434.78260869565219</v>
          </cell>
          <cell r="AS191">
            <v>434.78260869565219</v>
          </cell>
          <cell r="AT191">
            <v>434.78260869565219</v>
          </cell>
          <cell r="AU191">
            <v>434.78260869565219</v>
          </cell>
          <cell r="AV191">
            <v>434.78260869565219</v>
          </cell>
          <cell r="AW191">
            <v>434.78260869565219</v>
          </cell>
          <cell r="AX191">
            <v>434.78260869565219</v>
          </cell>
          <cell r="AY191">
            <v>434.78260869565219</v>
          </cell>
          <cell r="AZ191">
            <v>434.78260869565219</v>
          </cell>
          <cell r="BA191">
            <v>434.78260869565219</v>
          </cell>
          <cell r="BB191">
            <v>434.78260869565219</v>
          </cell>
          <cell r="BC191">
            <v>434.78260869565219</v>
          </cell>
          <cell r="BD191">
            <v>434.78260869565219</v>
          </cell>
          <cell r="BE191">
            <v>434.78260869565219</v>
          </cell>
          <cell r="BF191">
            <v>434.78260869565219</v>
          </cell>
          <cell r="BG191">
            <v>434.78260869565219</v>
          </cell>
          <cell r="BH191">
            <v>434.78260869565219</v>
          </cell>
          <cell r="BI191">
            <v>434.78260869565219</v>
          </cell>
          <cell r="BJ191">
            <v>434.78260869565219</v>
          </cell>
          <cell r="BK191">
            <v>239.13043478260872</v>
          </cell>
          <cell r="BL191">
            <v>239.13043478260872</v>
          </cell>
          <cell r="BM191">
            <v>239.13043478260872</v>
          </cell>
          <cell r="BN191">
            <v>239.13043478260872</v>
          </cell>
          <cell r="BO191">
            <v>239.13043478260872</v>
          </cell>
          <cell r="BP191">
            <v>239.13043478260872</v>
          </cell>
          <cell r="BQ191">
            <v>239.13043478260872</v>
          </cell>
          <cell r="BR191">
            <v>260.86956521739131</v>
          </cell>
          <cell r="BS191">
            <v>260.86956521739131</v>
          </cell>
          <cell r="BT191">
            <v>260.86956521739131</v>
          </cell>
          <cell r="BU191">
            <v>260.86956521739131</v>
          </cell>
          <cell r="BV191">
            <v>260.86956521739131</v>
          </cell>
        </row>
        <row r="192">
          <cell r="A192" t="str">
            <v>FIAT</v>
          </cell>
          <cell r="B192" t="str">
            <v>J516 / FABRIC</v>
          </cell>
          <cell r="D192" t="str">
            <v>Weekly Output PLAN</v>
          </cell>
          <cell r="E192" t="str">
            <v>SEW</v>
          </cell>
          <cell r="Z192">
            <v>652.17391304347825</v>
          </cell>
          <cell r="AA192">
            <v>1086.9565217391305</v>
          </cell>
          <cell r="AB192">
            <v>1086.9565217391305</v>
          </cell>
          <cell r="AC192">
            <v>2173.913043478261</v>
          </cell>
          <cell r="AD192">
            <v>1304.3478260869565</v>
          </cell>
          <cell r="AE192">
            <v>2173.913043478261</v>
          </cell>
          <cell r="AF192">
            <v>2536.231884057971</v>
          </cell>
          <cell r="AG192">
            <v>2536.231884057971</v>
          </cell>
          <cell r="AH192">
            <v>2536.231884057971</v>
          </cell>
          <cell r="AI192">
            <v>2536.231884057971</v>
          </cell>
          <cell r="AJ192">
            <v>2536.231884057971</v>
          </cell>
          <cell r="AK192">
            <v>2028.985507246377</v>
          </cell>
          <cell r="AL192">
            <v>2028.985507246377</v>
          </cell>
          <cell r="AM192">
            <v>2536.231884057971</v>
          </cell>
          <cell r="AN192">
            <v>2028.985507246377</v>
          </cell>
          <cell r="AO192">
            <v>2173.913043478261</v>
          </cell>
          <cell r="AP192">
            <v>2173.913043478261</v>
          </cell>
          <cell r="AQ192">
            <v>2173.913043478261</v>
          </cell>
          <cell r="AR192">
            <v>2173.913043478261</v>
          </cell>
          <cell r="AS192">
            <v>2173.913043478261</v>
          </cell>
          <cell r="AT192">
            <v>2173.913043478261</v>
          </cell>
          <cell r="AU192">
            <v>2173.913043478261</v>
          </cell>
          <cell r="AV192">
            <v>2173.913043478261</v>
          </cell>
          <cell r="AW192">
            <v>2173.913043478261</v>
          </cell>
          <cell r="AX192">
            <v>2173.913043478261</v>
          </cell>
          <cell r="AY192">
            <v>2173.913043478261</v>
          </cell>
          <cell r="AZ192">
            <v>0</v>
          </cell>
          <cell r="BA192">
            <v>0</v>
          </cell>
          <cell r="BB192">
            <v>2173.913043478261</v>
          </cell>
          <cell r="BC192">
            <v>2173.913043478261</v>
          </cell>
          <cell r="BD192">
            <v>2173.913043478261</v>
          </cell>
          <cell r="BE192">
            <v>2173.913043478261</v>
          </cell>
          <cell r="BF192">
            <v>2173.913043478261</v>
          </cell>
          <cell r="BG192">
            <v>2173.913043478261</v>
          </cell>
          <cell r="BH192">
            <v>2173.913043478261</v>
          </cell>
          <cell r="BI192">
            <v>2173.913043478261</v>
          </cell>
          <cell r="BJ192">
            <v>2173.913043478261</v>
          </cell>
          <cell r="BK192">
            <v>1195.6521739130435</v>
          </cell>
          <cell r="BL192">
            <v>717.39130434782612</v>
          </cell>
          <cell r="BM192">
            <v>717.39130434782612</v>
          </cell>
          <cell r="BN192">
            <v>717.39130434782612</v>
          </cell>
          <cell r="BO192">
            <v>717.39130434782612</v>
          </cell>
          <cell r="BP192">
            <v>717.39130434782612</v>
          </cell>
          <cell r="BQ192">
            <v>717.39130434782612</v>
          </cell>
          <cell r="BR192">
            <v>782.60869565217399</v>
          </cell>
          <cell r="BS192">
            <v>782.60869565217399</v>
          </cell>
          <cell r="BT192">
            <v>782.60869565217399</v>
          </cell>
          <cell r="BU192">
            <v>782.60869565217399</v>
          </cell>
          <cell r="BV192">
            <v>782.60869565217399</v>
          </cell>
        </row>
        <row r="193">
          <cell r="A193" t="str">
            <v>FIAT</v>
          </cell>
          <cell r="B193" t="str">
            <v>J516 / FABRIC</v>
          </cell>
          <cell r="D193" t="str">
            <v>FHR Fabric</v>
          </cell>
          <cell r="E193">
            <v>5.2011000000000003</v>
          </cell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</row>
        <row r="194">
          <cell r="A194" t="str">
            <v>FIAT</v>
          </cell>
          <cell r="B194" t="str">
            <v>J516 / FABRIC</v>
          </cell>
          <cell r="D194" t="str">
            <v>Alfa Romeo Fabric</v>
          </cell>
          <cell r="E194">
            <v>7.2233999999999998</v>
          </cell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</row>
        <row r="195">
          <cell r="A195" t="str">
            <v>FIAT</v>
          </cell>
          <cell r="B195" t="str">
            <v>J516 / FABRIC</v>
          </cell>
          <cell r="D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</row>
        <row r="196">
          <cell r="A196" t="str">
            <v>FIAT</v>
          </cell>
          <cell r="B196" t="str">
            <v>J516 / FABRIC</v>
          </cell>
          <cell r="D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</row>
        <row r="197">
          <cell r="A197" t="str">
            <v>FIAT</v>
          </cell>
          <cell r="B197" t="str">
            <v>J516 / FABRIC</v>
          </cell>
          <cell r="D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</row>
        <row r="198">
          <cell r="A198" t="str">
            <v>FIAT</v>
          </cell>
          <cell r="B198" t="str">
            <v>J516 / FABRIC</v>
          </cell>
          <cell r="D198" t="str">
            <v>Weekly Output PLAN - SUM of models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</row>
        <row r="199">
          <cell r="A199" t="str">
            <v>FIAT</v>
          </cell>
          <cell r="B199" t="str">
            <v>J516 / FABRIC</v>
          </cell>
          <cell r="D199" t="str">
            <v>Weekly Output CHECK with TO time multiple</v>
          </cell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</row>
        <row r="200">
          <cell r="A200" t="str">
            <v>FIAT</v>
          </cell>
          <cell r="B200" t="str">
            <v>J516 / FABRIC</v>
          </cell>
          <cell r="D200" t="str">
            <v>Weekly Output ACT</v>
          </cell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</row>
        <row r="201">
          <cell r="A201" t="str">
            <v>FIAT</v>
          </cell>
          <cell r="B201" t="str">
            <v>J516 / FABRIC</v>
          </cell>
          <cell r="D201" t="str">
            <v>FHR Fabric</v>
          </cell>
          <cell r="Z201">
            <v>1260</v>
          </cell>
          <cell r="AA201">
            <v>0</v>
          </cell>
          <cell r="AB201">
            <v>2772</v>
          </cell>
          <cell r="AC201">
            <v>1197</v>
          </cell>
          <cell r="AD201">
            <v>945</v>
          </cell>
          <cell r="AE201">
            <v>1386</v>
          </cell>
          <cell r="AF201">
            <v>1134</v>
          </cell>
          <cell r="AG201">
            <v>1197</v>
          </cell>
          <cell r="AH201">
            <v>1449</v>
          </cell>
          <cell r="AI201">
            <v>1701</v>
          </cell>
          <cell r="AJ201">
            <v>1386</v>
          </cell>
          <cell r="AK201">
            <v>1386</v>
          </cell>
          <cell r="AL201">
            <v>1701</v>
          </cell>
          <cell r="AM201">
            <v>2457</v>
          </cell>
          <cell r="AN201">
            <v>2142</v>
          </cell>
          <cell r="AO201">
            <v>6993</v>
          </cell>
          <cell r="AP201">
            <v>0</v>
          </cell>
          <cell r="AQ201">
            <v>0</v>
          </cell>
          <cell r="AR201">
            <v>0</v>
          </cell>
          <cell r="AS201">
            <v>9891</v>
          </cell>
          <cell r="AT201">
            <v>0</v>
          </cell>
          <cell r="AU201">
            <v>0</v>
          </cell>
          <cell r="AV201">
            <v>0</v>
          </cell>
          <cell r="AW201">
            <v>932.00888888888881</v>
          </cell>
          <cell r="AX201">
            <v>932.00888888888881</v>
          </cell>
          <cell r="AY201">
            <v>932.00888888888881</v>
          </cell>
          <cell r="AZ201">
            <v>932.00888888888881</v>
          </cell>
          <cell r="BA201">
            <v>932.00888888888881</v>
          </cell>
          <cell r="BB201">
            <v>932.00888888888881</v>
          </cell>
          <cell r="BC201">
            <v>932.00888888888881</v>
          </cell>
          <cell r="BD201">
            <v>932.00888888888881</v>
          </cell>
          <cell r="BE201">
            <v>932.00888888888881</v>
          </cell>
          <cell r="BF201">
            <v>1087.2</v>
          </cell>
          <cell r="BG201">
            <v>1087.2</v>
          </cell>
          <cell r="BH201">
            <v>1087.2</v>
          </cell>
          <cell r="BI201">
            <v>1087.2</v>
          </cell>
          <cell r="BJ201">
            <v>1087.2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</row>
        <row r="202">
          <cell r="A202" t="str">
            <v>FIAT</v>
          </cell>
          <cell r="B202" t="str">
            <v>J516 / FABRIC</v>
          </cell>
          <cell r="D202" t="str">
            <v>Alfa Romeo Fabric</v>
          </cell>
          <cell r="Z202">
            <v>0</v>
          </cell>
          <cell r="AA202">
            <v>0</v>
          </cell>
          <cell r="AB202">
            <v>441</v>
          </cell>
          <cell r="AC202">
            <v>1071</v>
          </cell>
          <cell r="AD202">
            <v>882</v>
          </cell>
          <cell r="AE202">
            <v>945</v>
          </cell>
          <cell r="AF202">
            <v>819</v>
          </cell>
          <cell r="AG202">
            <v>693</v>
          </cell>
          <cell r="AH202">
            <v>630</v>
          </cell>
          <cell r="AI202">
            <v>882</v>
          </cell>
          <cell r="AJ202">
            <v>693</v>
          </cell>
          <cell r="AK202">
            <v>819</v>
          </cell>
          <cell r="AL202">
            <v>882</v>
          </cell>
          <cell r="AM202">
            <v>945</v>
          </cell>
          <cell r="AN202">
            <v>1008</v>
          </cell>
          <cell r="AO202">
            <v>3402</v>
          </cell>
          <cell r="AP202">
            <v>0</v>
          </cell>
          <cell r="AQ202">
            <v>0</v>
          </cell>
          <cell r="AR202">
            <v>0</v>
          </cell>
          <cell r="AS202">
            <v>3339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1953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</row>
        <row r="203">
          <cell r="A203" t="str">
            <v>FIAT</v>
          </cell>
          <cell r="B203" t="str">
            <v>J516 / FABRIC</v>
          </cell>
          <cell r="D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</row>
        <row r="204">
          <cell r="A204" t="str">
            <v>FIAT</v>
          </cell>
          <cell r="B204" t="str">
            <v>J516 / FABRIC</v>
          </cell>
          <cell r="D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</row>
        <row r="205">
          <cell r="A205" t="str">
            <v>FIAT</v>
          </cell>
          <cell r="B205" t="str">
            <v>J516 / FABRIC</v>
          </cell>
          <cell r="D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</row>
        <row r="206">
          <cell r="A206" t="str">
            <v>FIAT</v>
          </cell>
          <cell r="B206" t="str">
            <v>J516 / FABRIC</v>
          </cell>
          <cell r="D206" t="str">
            <v>Weekly demand</v>
          </cell>
          <cell r="Z206">
            <v>1260</v>
          </cell>
          <cell r="AA206">
            <v>0</v>
          </cell>
          <cell r="AB206">
            <v>3213</v>
          </cell>
          <cell r="AC206">
            <v>2268</v>
          </cell>
          <cell r="AD206">
            <v>1827</v>
          </cell>
          <cell r="AE206">
            <v>2331</v>
          </cell>
          <cell r="AF206">
            <v>1953</v>
          </cell>
          <cell r="AG206">
            <v>1890</v>
          </cell>
          <cell r="AH206">
            <v>2079</v>
          </cell>
          <cell r="AI206">
            <v>2583</v>
          </cell>
          <cell r="AJ206">
            <v>2079</v>
          </cell>
          <cell r="AK206">
            <v>2205</v>
          </cell>
          <cell r="AL206">
            <v>0</v>
          </cell>
          <cell r="AM206">
            <v>0</v>
          </cell>
          <cell r="AN206">
            <v>0</v>
          </cell>
          <cell r="AO206">
            <v>10395</v>
          </cell>
          <cell r="AP206">
            <v>0</v>
          </cell>
          <cell r="AQ206">
            <v>0</v>
          </cell>
          <cell r="AR206">
            <v>0</v>
          </cell>
          <cell r="AS206">
            <v>13230</v>
          </cell>
          <cell r="AT206">
            <v>0</v>
          </cell>
          <cell r="AU206">
            <v>0</v>
          </cell>
          <cell r="AV206">
            <v>0</v>
          </cell>
          <cell r="AW206">
            <v>932.00888888888881</v>
          </cell>
          <cell r="AX206">
            <v>2885.0088888888886</v>
          </cell>
          <cell r="AY206">
            <v>932.00888888888881</v>
          </cell>
          <cell r="AZ206">
            <v>932.00888888888881</v>
          </cell>
          <cell r="BA206">
            <v>932.00888888888881</v>
          </cell>
          <cell r="BB206">
            <v>932.00888888888881</v>
          </cell>
          <cell r="BC206">
            <v>932.00888888888881</v>
          </cell>
          <cell r="BD206">
            <v>932.00888888888881</v>
          </cell>
          <cell r="BE206">
            <v>932.00888888888881</v>
          </cell>
          <cell r="BF206">
            <v>1087.2</v>
          </cell>
          <cell r="BG206">
            <v>1087.2</v>
          </cell>
          <cell r="BH206">
            <v>1087.2</v>
          </cell>
          <cell r="BI206">
            <v>1087.2</v>
          </cell>
          <cell r="BJ206">
            <v>1087.2</v>
          </cell>
          <cell r="BK206">
            <v>0</v>
          </cell>
          <cell r="BL206">
            <v>64098.079999999958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</row>
        <row r="207">
          <cell r="A207" t="str">
            <v>FIAT</v>
          </cell>
          <cell r="B207" t="str">
            <v>J516 / FABRIC</v>
          </cell>
          <cell r="D207" t="str">
            <v>Stock Target</v>
          </cell>
          <cell r="Z207">
            <v>1600</v>
          </cell>
          <cell r="AA207">
            <v>1600</v>
          </cell>
          <cell r="AB207">
            <v>1600</v>
          </cell>
          <cell r="AC207">
            <v>1600</v>
          </cell>
          <cell r="AD207">
            <v>1600</v>
          </cell>
          <cell r="AE207">
            <v>1600</v>
          </cell>
          <cell r="AF207">
            <v>1600</v>
          </cell>
          <cell r="AG207">
            <v>1600</v>
          </cell>
          <cell r="AH207">
            <v>1600</v>
          </cell>
          <cell r="AI207">
            <v>1600</v>
          </cell>
          <cell r="AJ207">
            <v>1600</v>
          </cell>
          <cell r="AK207">
            <v>1600</v>
          </cell>
          <cell r="AL207">
            <v>1600</v>
          </cell>
          <cell r="AM207">
            <v>1600</v>
          </cell>
          <cell r="AN207">
            <v>1600</v>
          </cell>
          <cell r="AO207">
            <v>1600</v>
          </cell>
          <cell r="AP207">
            <v>1600</v>
          </cell>
          <cell r="AQ207">
            <v>1600</v>
          </cell>
          <cell r="AR207">
            <v>1600</v>
          </cell>
          <cell r="AS207">
            <v>1600</v>
          </cell>
          <cell r="AT207">
            <v>1600</v>
          </cell>
          <cell r="AU207">
            <v>1600</v>
          </cell>
          <cell r="AV207">
            <v>1600</v>
          </cell>
          <cell r="AW207">
            <v>1600</v>
          </cell>
          <cell r="AX207">
            <v>1600</v>
          </cell>
          <cell r="AY207">
            <v>1600</v>
          </cell>
          <cell r="AZ207">
            <v>1600</v>
          </cell>
          <cell r="BA207">
            <v>1600</v>
          </cell>
          <cell r="BB207">
            <v>1600</v>
          </cell>
          <cell r="BC207">
            <v>1600</v>
          </cell>
          <cell r="BD207">
            <v>1600</v>
          </cell>
          <cell r="BE207">
            <v>1600</v>
          </cell>
          <cell r="BF207">
            <v>1600</v>
          </cell>
          <cell r="BG207">
            <v>1600</v>
          </cell>
          <cell r="BH207">
            <v>1600</v>
          </cell>
          <cell r="BI207">
            <v>1600</v>
          </cell>
          <cell r="BJ207">
            <v>1600</v>
          </cell>
          <cell r="BK207">
            <v>1600</v>
          </cell>
          <cell r="BL207">
            <v>1600</v>
          </cell>
          <cell r="BM207">
            <v>1600</v>
          </cell>
          <cell r="BN207">
            <v>1600</v>
          </cell>
          <cell r="BO207">
            <v>1600</v>
          </cell>
          <cell r="BP207">
            <v>1600</v>
          </cell>
          <cell r="BQ207">
            <v>1600</v>
          </cell>
          <cell r="BR207">
            <v>1600</v>
          </cell>
          <cell r="BS207">
            <v>1600</v>
          </cell>
          <cell r="BT207">
            <v>1600</v>
          </cell>
          <cell r="BU207">
            <v>1600</v>
          </cell>
          <cell r="BV207">
            <v>1600</v>
          </cell>
        </row>
        <row r="208">
          <cell r="A208" t="str">
            <v>FIAT</v>
          </cell>
          <cell r="B208" t="str">
            <v>J516 / FABRIC</v>
          </cell>
          <cell r="D208" t="str">
            <v>FHR Fabric</v>
          </cell>
          <cell r="E208" t="str">
            <v>Overstock 1PN</v>
          </cell>
          <cell r="Z208">
            <v>2709</v>
          </cell>
          <cell r="AA208">
            <v>4536</v>
          </cell>
          <cell r="AB208">
            <v>1764</v>
          </cell>
          <cell r="AC208">
            <v>567</v>
          </cell>
          <cell r="AD208">
            <v>-378</v>
          </cell>
          <cell r="AE208">
            <v>-1764</v>
          </cell>
          <cell r="AF208">
            <v>-2898</v>
          </cell>
          <cell r="AG208">
            <v>-4095</v>
          </cell>
          <cell r="AH208">
            <v>-5544</v>
          </cell>
          <cell r="AI208">
            <v>-7245</v>
          </cell>
          <cell r="AJ208">
            <v>-8631</v>
          </cell>
          <cell r="AK208">
            <v>-10017</v>
          </cell>
          <cell r="AL208">
            <v>-11718</v>
          </cell>
          <cell r="AM208">
            <v>-14175</v>
          </cell>
          <cell r="AN208">
            <v>-16317</v>
          </cell>
          <cell r="AO208">
            <v>-23310</v>
          </cell>
          <cell r="AP208">
            <v>-23310</v>
          </cell>
          <cell r="AQ208">
            <v>-23310</v>
          </cell>
          <cell r="AR208">
            <v>-23310</v>
          </cell>
          <cell r="AS208">
            <v>-33201</v>
          </cell>
          <cell r="AT208">
            <v>-33201</v>
          </cell>
          <cell r="AU208">
            <v>-33201</v>
          </cell>
          <cell r="AV208">
            <v>-33201</v>
          </cell>
          <cell r="AW208">
            <v>-34133.008888888886</v>
          </cell>
          <cell r="AX208">
            <v>-35065.017777777772</v>
          </cell>
          <cell r="AY208">
            <v>-35997.026666666658</v>
          </cell>
          <cell r="AZ208">
            <v>-36929.035555555543</v>
          </cell>
          <cell r="BA208">
            <v>-37861.044444444429</v>
          </cell>
          <cell r="BB208">
            <v>-38793.053333333315</v>
          </cell>
          <cell r="BC208">
            <v>-39725.062222222201</v>
          </cell>
          <cell r="BD208">
            <v>-40657.071111111087</v>
          </cell>
          <cell r="BE208">
            <v>-41589.079999999973</v>
          </cell>
          <cell r="BF208">
            <v>-42676.27999999997</v>
          </cell>
          <cell r="BG208">
            <v>-43763.479999999967</v>
          </cell>
          <cell r="BH208">
            <v>-44850.679999999964</v>
          </cell>
          <cell r="BI208">
            <v>-45937.879999999961</v>
          </cell>
          <cell r="BJ208">
            <v>-47025.079999999958</v>
          </cell>
          <cell r="BK208">
            <v>-47025.079999999958</v>
          </cell>
          <cell r="BL208">
            <v>-47025.079999999958</v>
          </cell>
          <cell r="BM208">
            <v>-47025.079999999958</v>
          </cell>
          <cell r="BN208">
            <v>-47025.079999999958</v>
          </cell>
          <cell r="BO208">
            <v>-47025.079999999958</v>
          </cell>
          <cell r="BP208">
            <v>-47025.079999999958</v>
          </cell>
          <cell r="BQ208">
            <v>-47025.079999999958</v>
          </cell>
          <cell r="BR208">
            <v>-47025.079999999958</v>
          </cell>
          <cell r="BS208">
            <v>-47025.079999999958</v>
          </cell>
          <cell r="BT208">
            <v>-47025.079999999958</v>
          </cell>
          <cell r="BU208">
            <v>-47025.079999999958</v>
          </cell>
          <cell r="BV208">
            <v>-47025.079999999958</v>
          </cell>
        </row>
        <row r="209">
          <cell r="A209" t="str">
            <v>FIAT</v>
          </cell>
          <cell r="B209" t="str">
            <v>J516 / FABRIC</v>
          </cell>
          <cell r="D209" t="str">
            <v>Alfa Romeo Fabric</v>
          </cell>
          <cell r="Z209">
            <v>693</v>
          </cell>
          <cell r="AA209">
            <v>756</v>
          </cell>
          <cell r="AB209">
            <v>315</v>
          </cell>
          <cell r="AC209">
            <v>-756</v>
          </cell>
          <cell r="AD209">
            <v>-1638</v>
          </cell>
          <cell r="AE209">
            <v>-2583</v>
          </cell>
          <cell r="AF209">
            <v>-3402</v>
          </cell>
          <cell r="AG209">
            <v>-4095</v>
          </cell>
          <cell r="AH209">
            <v>-4725</v>
          </cell>
          <cell r="AI209">
            <v>-5607</v>
          </cell>
          <cell r="AJ209">
            <v>-6300</v>
          </cell>
          <cell r="AK209">
            <v>-7119</v>
          </cell>
          <cell r="AL209">
            <v>-8001</v>
          </cell>
          <cell r="AM209">
            <v>-8946</v>
          </cell>
          <cell r="AN209">
            <v>-9954</v>
          </cell>
          <cell r="AO209">
            <v>-13356</v>
          </cell>
          <cell r="AP209">
            <v>-13356</v>
          </cell>
          <cell r="AQ209">
            <v>-13356</v>
          </cell>
          <cell r="AR209">
            <v>-13356</v>
          </cell>
          <cell r="AS209">
            <v>-16695</v>
          </cell>
          <cell r="AT209">
            <v>-16695</v>
          </cell>
          <cell r="AU209">
            <v>-16695</v>
          </cell>
          <cell r="AV209">
            <v>-16695</v>
          </cell>
          <cell r="AW209">
            <v>-16695</v>
          </cell>
          <cell r="AX209">
            <v>-18648</v>
          </cell>
          <cell r="AY209">
            <v>-18648</v>
          </cell>
          <cell r="AZ209">
            <v>-18648</v>
          </cell>
          <cell r="BA209">
            <v>-18648</v>
          </cell>
          <cell r="BB209">
            <v>-18648</v>
          </cell>
          <cell r="BC209">
            <v>-18648</v>
          </cell>
          <cell r="BD209">
            <v>-18648</v>
          </cell>
          <cell r="BE209">
            <v>-18648</v>
          </cell>
          <cell r="BF209">
            <v>-18648</v>
          </cell>
          <cell r="BG209">
            <v>-18648</v>
          </cell>
          <cell r="BH209">
            <v>-18648</v>
          </cell>
          <cell r="BI209">
            <v>-18648</v>
          </cell>
          <cell r="BJ209">
            <v>-18648</v>
          </cell>
          <cell r="BK209">
            <v>-18648</v>
          </cell>
          <cell r="BL209">
            <v>-18648</v>
          </cell>
          <cell r="BM209">
            <v>-18648</v>
          </cell>
          <cell r="BN209">
            <v>-18648</v>
          </cell>
          <cell r="BO209">
            <v>-18648</v>
          </cell>
          <cell r="BP209">
            <v>-18648</v>
          </cell>
          <cell r="BQ209">
            <v>-18648</v>
          </cell>
          <cell r="BR209">
            <v>-18648</v>
          </cell>
          <cell r="BS209">
            <v>-18648</v>
          </cell>
          <cell r="BT209">
            <v>-18648</v>
          </cell>
          <cell r="BU209">
            <v>-18648</v>
          </cell>
          <cell r="BV209">
            <v>-18648</v>
          </cell>
        </row>
        <row r="210">
          <cell r="A210" t="str">
            <v>FIAT</v>
          </cell>
          <cell r="B210" t="str">
            <v>J516 / FABRIC</v>
          </cell>
          <cell r="D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</row>
        <row r="211">
          <cell r="A211" t="str">
            <v>FIAT</v>
          </cell>
          <cell r="B211" t="str">
            <v>J516 / FABRIC</v>
          </cell>
          <cell r="D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</row>
        <row r="212">
          <cell r="A212" t="str">
            <v>FIAT</v>
          </cell>
          <cell r="B212" t="str">
            <v>J516 / FABRIC</v>
          </cell>
          <cell r="D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</row>
        <row r="213">
          <cell r="A213" t="str">
            <v>FIAT</v>
          </cell>
          <cell r="B213" t="str">
            <v>J516 / FABRIC</v>
          </cell>
          <cell r="D213" t="str">
            <v>STOCK</v>
          </cell>
          <cell r="Z213">
            <v>3402</v>
          </cell>
          <cell r="AA213">
            <v>4488.95652173913</v>
          </cell>
          <cell r="AB213">
            <v>2362.9130434782605</v>
          </cell>
          <cell r="AC213">
            <v>2268.8260869565215</v>
          </cell>
          <cell r="AD213">
            <v>1746.173913043478</v>
          </cell>
          <cell r="AE213">
            <v>1589.086956521739</v>
          </cell>
          <cell r="AF213">
            <v>2172.31884057971</v>
          </cell>
          <cell r="AG213">
            <v>2818.550724637681</v>
          </cell>
          <cell r="AH213">
            <v>3275.782608695652</v>
          </cell>
          <cell r="AI213">
            <v>3229.014492753623</v>
          </cell>
          <cell r="AJ213">
            <v>3686.246376811594</v>
          </cell>
          <cell r="AK213">
            <v>3510.231884057971</v>
          </cell>
          <cell r="AL213">
            <v>5539.217391304348</v>
          </cell>
          <cell r="AM213">
            <v>8075.449275362319</v>
          </cell>
          <cell r="AN213">
            <v>10104.434782608696</v>
          </cell>
          <cell r="AO213">
            <v>1883.347826086957</v>
          </cell>
          <cell r="AP213">
            <v>4057.2608695652179</v>
          </cell>
          <cell r="AQ213">
            <v>6231.1739130434789</v>
          </cell>
          <cell r="AR213">
            <v>8405.0869565217399</v>
          </cell>
          <cell r="AS213">
            <v>-2650.9999999999991</v>
          </cell>
          <cell r="AT213">
            <v>-477.0869565217381</v>
          </cell>
          <cell r="AU213">
            <v>1696.8260869565229</v>
          </cell>
          <cell r="AV213">
            <v>3870.7391304347839</v>
          </cell>
          <cell r="AW213">
            <v>5112.6432850241563</v>
          </cell>
          <cell r="AX213">
            <v>4401.5474396135287</v>
          </cell>
          <cell r="AY213">
            <v>5643.4515942029011</v>
          </cell>
          <cell r="AZ213">
            <v>4711.4427053140125</v>
          </cell>
          <cell r="BA213">
            <v>3779.433816425124</v>
          </cell>
          <cell r="BB213">
            <v>5021.3379710144964</v>
          </cell>
          <cell r="BC213">
            <v>6263.2421256038688</v>
          </cell>
          <cell r="BD213">
            <v>7505.1462801932412</v>
          </cell>
          <cell r="BE213">
            <v>8747.0504347826136</v>
          </cell>
          <cell r="BF213">
            <v>9833.7634782608748</v>
          </cell>
          <cell r="BG213">
            <v>10920.476521739136</v>
          </cell>
          <cell r="BH213">
            <v>12007.189565217395</v>
          </cell>
          <cell r="BI213">
            <v>13093.902608695655</v>
          </cell>
          <cell r="BJ213">
            <v>14180.615652173914</v>
          </cell>
          <cell r="BK213">
            <v>15376.267826086958</v>
          </cell>
          <cell r="BL213">
            <v>-48004.420869565176</v>
          </cell>
          <cell r="BM213">
            <v>-47287.029565217352</v>
          </cell>
          <cell r="BN213">
            <v>-46569.638260869528</v>
          </cell>
          <cell r="BO213">
            <v>-45852.246956521703</v>
          </cell>
          <cell r="BP213">
            <v>-45134.855652173879</v>
          </cell>
          <cell r="BQ213">
            <v>-44417.464347826055</v>
          </cell>
          <cell r="BR213">
            <v>-43634.855652173879</v>
          </cell>
          <cell r="BS213">
            <v>-42852.246956521703</v>
          </cell>
          <cell r="BT213">
            <v>-42069.638260869528</v>
          </cell>
          <cell r="BU213">
            <v>-41287.029565217352</v>
          </cell>
          <cell r="BV213">
            <v>-40504.420869565176</v>
          </cell>
        </row>
        <row r="214">
          <cell r="A214" t="str">
            <v>Blank</v>
          </cell>
          <cell r="B214" t="str">
            <v>Blank</v>
          </cell>
          <cell r="D214" t="str">
            <v>Blank</v>
          </cell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</row>
        <row r="215">
          <cell r="A215" t="str">
            <v>PORSCHE</v>
          </cell>
          <cell r="B215" t="str">
            <v>PO426 ARM</v>
          </cell>
          <cell r="D215" t="str">
            <v>Work days</v>
          </cell>
          <cell r="Z215">
            <v>5</v>
          </cell>
          <cell r="AA215">
            <v>5</v>
          </cell>
          <cell r="AB215">
            <v>5</v>
          </cell>
          <cell r="AC215">
            <v>5</v>
          </cell>
          <cell r="AD215">
            <v>3</v>
          </cell>
          <cell r="AE215">
            <v>5</v>
          </cell>
          <cell r="AF215">
            <v>5</v>
          </cell>
          <cell r="AG215">
            <v>5</v>
          </cell>
          <cell r="AH215">
            <v>5</v>
          </cell>
          <cell r="AI215">
            <v>5</v>
          </cell>
          <cell r="AJ215">
            <v>5</v>
          </cell>
          <cell r="AK215">
            <v>4</v>
          </cell>
          <cell r="AL215">
            <v>4</v>
          </cell>
          <cell r="AM215">
            <v>5</v>
          </cell>
          <cell r="AN215">
            <v>4</v>
          </cell>
          <cell r="AO215">
            <v>5</v>
          </cell>
          <cell r="AP215">
            <v>5</v>
          </cell>
          <cell r="AQ215">
            <v>5</v>
          </cell>
          <cell r="AR215">
            <v>5</v>
          </cell>
          <cell r="AS215">
            <v>5</v>
          </cell>
          <cell r="AT215">
            <v>5</v>
          </cell>
          <cell r="AU215">
            <v>5</v>
          </cell>
          <cell r="AV215">
            <v>5</v>
          </cell>
          <cell r="AW215">
            <v>5</v>
          </cell>
          <cell r="AX215">
            <v>5</v>
          </cell>
          <cell r="AY215">
            <v>5</v>
          </cell>
          <cell r="AZ215">
            <v>0</v>
          </cell>
          <cell r="BA215">
            <v>0</v>
          </cell>
          <cell r="BB215">
            <v>5</v>
          </cell>
          <cell r="BC215">
            <v>5</v>
          </cell>
          <cell r="BD215">
            <v>5</v>
          </cell>
          <cell r="BE215">
            <v>5</v>
          </cell>
          <cell r="BF215">
            <v>5</v>
          </cell>
          <cell r="BG215">
            <v>5</v>
          </cell>
          <cell r="BH215">
            <v>5</v>
          </cell>
          <cell r="BI215">
            <v>5</v>
          </cell>
          <cell r="BJ215">
            <v>5</v>
          </cell>
          <cell r="BK215">
            <v>5</v>
          </cell>
          <cell r="BL215">
            <v>3</v>
          </cell>
          <cell r="BM215">
            <v>3</v>
          </cell>
          <cell r="BN215">
            <v>3</v>
          </cell>
          <cell r="BO215">
            <v>3</v>
          </cell>
          <cell r="BP215">
            <v>3</v>
          </cell>
          <cell r="BQ215">
            <v>3</v>
          </cell>
          <cell r="BR215">
            <v>3</v>
          </cell>
          <cell r="BS215">
            <v>3</v>
          </cell>
          <cell r="BT215">
            <v>3</v>
          </cell>
          <cell r="BU215">
            <v>3</v>
          </cell>
          <cell r="BV215">
            <v>3</v>
          </cell>
        </row>
        <row r="216">
          <cell r="A216" t="str">
            <v>PORSCHE</v>
          </cell>
          <cell r="B216" t="str">
            <v>PO426 ARM</v>
          </cell>
          <cell r="D216" t="str">
            <v>SHIFT A HC - operators</v>
          </cell>
          <cell r="Z216">
            <v>2</v>
          </cell>
          <cell r="AA216">
            <v>1</v>
          </cell>
          <cell r="AB216">
            <v>2</v>
          </cell>
          <cell r="AC216">
            <v>2</v>
          </cell>
          <cell r="AD216">
            <v>2</v>
          </cell>
          <cell r="AE216">
            <v>2</v>
          </cell>
          <cell r="AF216">
            <v>2</v>
          </cell>
          <cell r="AG216">
            <v>1</v>
          </cell>
          <cell r="AH216">
            <v>2</v>
          </cell>
          <cell r="AI216">
            <v>1</v>
          </cell>
          <cell r="AJ216">
            <v>2</v>
          </cell>
          <cell r="AK216">
            <v>2</v>
          </cell>
          <cell r="AL216">
            <v>2</v>
          </cell>
          <cell r="AM216">
            <v>2</v>
          </cell>
          <cell r="AN216">
            <v>2</v>
          </cell>
          <cell r="AO216">
            <v>2</v>
          </cell>
          <cell r="AP216">
            <v>2</v>
          </cell>
          <cell r="AQ216">
            <v>2</v>
          </cell>
          <cell r="AR216">
            <v>2</v>
          </cell>
          <cell r="AS216">
            <v>2</v>
          </cell>
          <cell r="AT216">
            <v>2</v>
          </cell>
          <cell r="AU216">
            <v>2</v>
          </cell>
          <cell r="AV216">
            <v>2</v>
          </cell>
          <cell r="AW216">
            <v>2</v>
          </cell>
          <cell r="AX216">
            <v>2</v>
          </cell>
          <cell r="AY216">
            <v>2</v>
          </cell>
          <cell r="AZ216">
            <v>2</v>
          </cell>
          <cell r="BA216">
            <v>2</v>
          </cell>
          <cell r="BB216">
            <v>2</v>
          </cell>
          <cell r="BC216">
            <v>2</v>
          </cell>
          <cell r="BD216">
            <v>2</v>
          </cell>
          <cell r="BE216">
            <v>2</v>
          </cell>
          <cell r="BF216">
            <v>2</v>
          </cell>
          <cell r="BG216">
            <v>2</v>
          </cell>
          <cell r="BH216">
            <v>2</v>
          </cell>
          <cell r="BI216">
            <v>2</v>
          </cell>
          <cell r="BJ216">
            <v>2</v>
          </cell>
          <cell r="BK216">
            <v>3</v>
          </cell>
          <cell r="BL216">
            <v>3</v>
          </cell>
          <cell r="BM216">
            <v>3</v>
          </cell>
          <cell r="BN216">
            <v>3</v>
          </cell>
          <cell r="BO216">
            <v>3</v>
          </cell>
          <cell r="BP216">
            <v>3</v>
          </cell>
          <cell r="BQ216">
            <v>3</v>
          </cell>
          <cell r="BR216">
            <v>3</v>
          </cell>
          <cell r="BS216">
            <v>3</v>
          </cell>
          <cell r="BT216">
            <v>3</v>
          </cell>
          <cell r="BU216">
            <v>3</v>
          </cell>
          <cell r="BV216">
            <v>3</v>
          </cell>
        </row>
        <row r="217">
          <cell r="A217" t="str">
            <v>PORSCHE</v>
          </cell>
          <cell r="B217" t="str">
            <v>PO426 ARM</v>
          </cell>
          <cell r="D217" t="str">
            <v>SHIFT B HC  - operators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</row>
        <row r="218">
          <cell r="A218" t="str">
            <v>PORSCHE</v>
          </cell>
          <cell r="B218" t="str">
            <v>PO426 ARM</v>
          </cell>
          <cell r="D218" t="str">
            <v>SHIFT C HC  - operators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</row>
        <row r="219">
          <cell r="A219" t="str">
            <v>PORSCHE</v>
          </cell>
          <cell r="B219" t="str">
            <v>PO426 ARM</v>
          </cell>
          <cell r="D219" t="str">
            <v>Total HC</v>
          </cell>
          <cell r="Z219">
            <v>2</v>
          </cell>
          <cell r="AA219">
            <v>1</v>
          </cell>
          <cell r="AB219">
            <v>2</v>
          </cell>
          <cell r="AC219">
            <v>2</v>
          </cell>
          <cell r="AD219">
            <v>2</v>
          </cell>
          <cell r="AE219">
            <v>2</v>
          </cell>
          <cell r="AF219">
            <v>2</v>
          </cell>
          <cell r="AG219">
            <v>1</v>
          </cell>
          <cell r="AH219">
            <v>2</v>
          </cell>
          <cell r="AI219">
            <v>1</v>
          </cell>
          <cell r="AJ219">
            <v>2</v>
          </cell>
          <cell r="AK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>
            <v>2</v>
          </cell>
          <cell r="AR219">
            <v>2</v>
          </cell>
          <cell r="AS219">
            <v>2</v>
          </cell>
          <cell r="AT219">
            <v>2</v>
          </cell>
          <cell r="AU219">
            <v>2</v>
          </cell>
          <cell r="AV219">
            <v>2</v>
          </cell>
          <cell r="AW219">
            <v>2</v>
          </cell>
          <cell r="AX219">
            <v>2</v>
          </cell>
          <cell r="AY219">
            <v>2</v>
          </cell>
          <cell r="AZ219">
            <v>2</v>
          </cell>
          <cell r="BA219">
            <v>2</v>
          </cell>
          <cell r="BB219">
            <v>2</v>
          </cell>
          <cell r="BC219">
            <v>2</v>
          </cell>
          <cell r="BD219">
            <v>2</v>
          </cell>
          <cell r="BE219">
            <v>2</v>
          </cell>
          <cell r="BF219">
            <v>2</v>
          </cell>
          <cell r="BG219">
            <v>2</v>
          </cell>
          <cell r="BH219">
            <v>2</v>
          </cell>
          <cell r="BI219">
            <v>2</v>
          </cell>
          <cell r="BJ219">
            <v>2</v>
          </cell>
          <cell r="BK219">
            <v>3</v>
          </cell>
          <cell r="BL219">
            <v>3</v>
          </cell>
          <cell r="BM219">
            <v>3</v>
          </cell>
          <cell r="BN219">
            <v>3</v>
          </cell>
          <cell r="BO219">
            <v>3</v>
          </cell>
          <cell r="BP219">
            <v>3</v>
          </cell>
          <cell r="BQ219">
            <v>3</v>
          </cell>
          <cell r="BR219">
            <v>3</v>
          </cell>
          <cell r="BS219">
            <v>3</v>
          </cell>
          <cell r="BT219">
            <v>3</v>
          </cell>
          <cell r="BU219">
            <v>3</v>
          </cell>
          <cell r="BV219">
            <v>3</v>
          </cell>
        </row>
        <row r="220">
          <cell r="A220" t="str">
            <v>PORSCHE</v>
          </cell>
          <cell r="B220" t="str">
            <v>PO426 ARM</v>
          </cell>
          <cell r="D220" t="str">
            <v>SHIFT A HC  - efficiency</v>
          </cell>
          <cell r="Z220">
            <v>1.2</v>
          </cell>
          <cell r="AA220">
            <v>1.2</v>
          </cell>
          <cell r="AB220">
            <v>1.2</v>
          </cell>
          <cell r="AC220">
            <v>1.2</v>
          </cell>
          <cell r="AD220">
            <v>1.2</v>
          </cell>
          <cell r="AE220">
            <v>1.2</v>
          </cell>
          <cell r="AF220">
            <v>1.2</v>
          </cell>
          <cell r="AG220">
            <v>1.2</v>
          </cell>
          <cell r="AH220">
            <v>1.2</v>
          </cell>
          <cell r="AI220">
            <v>1.2</v>
          </cell>
          <cell r="AJ220">
            <v>1.2</v>
          </cell>
          <cell r="AK220">
            <v>1.2</v>
          </cell>
          <cell r="AL220">
            <v>1.2</v>
          </cell>
          <cell r="AM220">
            <v>1.2</v>
          </cell>
          <cell r="AN220">
            <v>1.2</v>
          </cell>
          <cell r="AO220">
            <v>1.2</v>
          </cell>
          <cell r="AP220">
            <v>1.2</v>
          </cell>
          <cell r="AQ220">
            <v>1.2</v>
          </cell>
          <cell r="AR220">
            <v>1.2</v>
          </cell>
          <cell r="AS220">
            <v>1.2</v>
          </cell>
          <cell r="AT220">
            <v>1.2</v>
          </cell>
          <cell r="AU220">
            <v>1.2</v>
          </cell>
          <cell r="AV220">
            <v>1.2</v>
          </cell>
          <cell r="AW220">
            <v>1.2</v>
          </cell>
          <cell r="AX220">
            <v>1.2</v>
          </cell>
          <cell r="AY220">
            <v>1.2</v>
          </cell>
          <cell r="AZ220">
            <v>1.2</v>
          </cell>
          <cell r="BA220">
            <v>1.2</v>
          </cell>
          <cell r="BB220">
            <v>1.2</v>
          </cell>
          <cell r="BC220">
            <v>1.2</v>
          </cell>
          <cell r="BD220">
            <v>1.2</v>
          </cell>
          <cell r="BE220">
            <v>1.2</v>
          </cell>
          <cell r="BF220">
            <v>1.2</v>
          </cell>
          <cell r="BG220">
            <v>1.2</v>
          </cell>
          <cell r="BH220">
            <v>1.2</v>
          </cell>
          <cell r="BI220">
            <v>1.2</v>
          </cell>
          <cell r="BJ220">
            <v>1.2</v>
          </cell>
          <cell r="BK220">
            <v>1.2</v>
          </cell>
          <cell r="BL220">
            <v>1.2</v>
          </cell>
          <cell r="BM220">
            <v>1.2</v>
          </cell>
          <cell r="BN220">
            <v>1.2</v>
          </cell>
          <cell r="BO220">
            <v>1.2</v>
          </cell>
          <cell r="BP220">
            <v>1.2</v>
          </cell>
          <cell r="BQ220">
            <v>1.2</v>
          </cell>
          <cell r="BR220">
            <v>1.2</v>
          </cell>
          <cell r="BS220">
            <v>1.2</v>
          </cell>
          <cell r="BT220">
            <v>1.2</v>
          </cell>
          <cell r="BU220">
            <v>1.2</v>
          </cell>
          <cell r="BV220">
            <v>1.2</v>
          </cell>
        </row>
        <row r="221">
          <cell r="A221" t="str">
            <v>PORSCHE</v>
          </cell>
          <cell r="B221" t="str">
            <v>PO426 ARM</v>
          </cell>
          <cell r="D221" t="str">
            <v>SHIFT B HC  - efficiency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</row>
        <row r="222">
          <cell r="A222" t="str">
            <v>PORSCHE</v>
          </cell>
          <cell r="B222" t="str">
            <v>PO426 ARM</v>
          </cell>
          <cell r="D222" t="str">
            <v>SHIFT C HC  - efficiency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</row>
        <row r="223">
          <cell r="A223" t="str">
            <v>PORSCHE</v>
          </cell>
          <cell r="B223" t="str">
            <v>PO426 ARM</v>
          </cell>
          <cell r="D223" t="str">
            <v>Total efficiency</v>
          </cell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</row>
        <row r="224">
          <cell r="A224" t="str">
            <v>PORSCHE</v>
          </cell>
          <cell r="B224" t="str">
            <v>PO426 ARM</v>
          </cell>
          <cell r="D224" t="str">
            <v>SHIFT A - output</v>
          </cell>
          <cell r="Z224">
            <v>136.02015113350126</v>
          </cell>
          <cell r="AA224">
            <v>68.010075566750629</v>
          </cell>
          <cell r="AB224">
            <v>136.02015113350126</v>
          </cell>
          <cell r="AC224">
            <v>136.02015113350126</v>
          </cell>
          <cell r="AD224">
            <v>136.02015113350126</v>
          </cell>
          <cell r="AE224">
            <v>136.02015113350126</v>
          </cell>
          <cell r="AF224">
            <v>136.02015113350126</v>
          </cell>
          <cell r="AG224">
            <v>68.010075566750629</v>
          </cell>
          <cell r="AH224">
            <v>136.02015113350126</v>
          </cell>
          <cell r="AI224">
            <v>68.010075566750629</v>
          </cell>
          <cell r="AJ224">
            <v>136.02015113350126</v>
          </cell>
          <cell r="AK224">
            <v>136.02015113350126</v>
          </cell>
          <cell r="AL224">
            <v>136.02015113350126</v>
          </cell>
          <cell r="AM224">
            <v>136.02015113350126</v>
          </cell>
          <cell r="AN224">
            <v>136.02015113350126</v>
          </cell>
          <cell r="AO224">
            <v>136.02015113350126</v>
          </cell>
          <cell r="AP224">
            <v>136.02015113350126</v>
          </cell>
          <cell r="AQ224">
            <v>136.02015113350126</v>
          </cell>
          <cell r="AR224">
            <v>136.02015113350126</v>
          </cell>
          <cell r="AS224">
            <v>136.02015113350126</v>
          </cell>
          <cell r="AT224">
            <v>136.02015113350126</v>
          </cell>
          <cell r="AU224">
            <v>136.02015113350126</v>
          </cell>
          <cell r="AV224">
            <v>136.02015113350126</v>
          </cell>
          <cell r="AW224">
            <v>136.02015113350126</v>
          </cell>
          <cell r="AX224">
            <v>136.02015113350126</v>
          </cell>
          <cell r="AY224">
            <v>136.02015113350126</v>
          </cell>
          <cell r="AZ224">
            <v>136.02015113350126</v>
          </cell>
          <cell r="BA224">
            <v>136.02015113350126</v>
          </cell>
          <cell r="BB224">
            <v>136.02015113350126</v>
          </cell>
          <cell r="BC224">
            <v>136.02015113350126</v>
          </cell>
          <cell r="BD224">
            <v>136.02015113350126</v>
          </cell>
          <cell r="BE224">
            <v>136.02015113350126</v>
          </cell>
          <cell r="BF224">
            <v>136.02015113350126</v>
          </cell>
          <cell r="BG224">
            <v>136.02015113350126</v>
          </cell>
          <cell r="BH224">
            <v>136.02015113350126</v>
          </cell>
          <cell r="BI224">
            <v>136.02015113350126</v>
          </cell>
          <cell r="BJ224">
            <v>136.02015113350126</v>
          </cell>
          <cell r="BK224">
            <v>204.03022670025189</v>
          </cell>
          <cell r="BL224">
            <v>204.03022670025189</v>
          </cell>
          <cell r="BM224">
            <v>204.03022670025189</v>
          </cell>
          <cell r="BN224">
            <v>204.03022670025189</v>
          </cell>
          <cell r="BO224">
            <v>204.03022670025189</v>
          </cell>
          <cell r="BP224">
            <v>204.03022670025189</v>
          </cell>
          <cell r="BQ224">
            <v>204.03022670025189</v>
          </cell>
          <cell r="BR224">
            <v>204.03022670025189</v>
          </cell>
          <cell r="BS224">
            <v>204.03022670025189</v>
          </cell>
          <cell r="BT224">
            <v>204.03022670025189</v>
          </cell>
          <cell r="BU224">
            <v>204.03022670025189</v>
          </cell>
          <cell r="BV224">
            <v>204.03022670025189</v>
          </cell>
        </row>
        <row r="225">
          <cell r="A225" t="str">
            <v>PORSCHE</v>
          </cell>
          <cell r="B225" t="str">
            <v>PO426 ARM</v>
          </cell>
          <cell r="D225" t="str">
            <v>SHIFT B  - output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</row>
        <row r="226">
          <cell r="A226" t="str">
            <v>PORSCHE</v>
          </cell>
          <cell r="B226" t="str">
            <v>PO426 ARM</v>
          </cell>
          <cell r="D226" t="str">
            <v>SHIFT C  - output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</row>
        <row r="227">
          <cell r="A227" t="str">
            <v>PORSCHE</v>
          </cell>
          <cell r="B227" t="str">
            <v>PO426 ARM</v>
          </cell>
          <cell r="D227" t="str">
            <v>Est. Output (Pcs day)</v>
          </cell>
          <cell r="E227">
            <v>7.94</v>
          </cell>
          <cell r="Z227">
            <v>136.02015113350126</v>
          </cell>
          <cell r="AA227">
            <v>68.010075566750629</v>
          </cell>
          <cell r="AB227">
            <v>136.02015113350126</v>
          </cell>
          <cell r="AC227">
            <v>136.02015113350126</v>
          </cell>
          <cell r="AD227">
            <v>136.02015113350126</v>
          </cell>
          <cell r="AE227">
            <v>136.02015113350126</v>
          </cell>
          <cell r="AF227">
            <v>136.02015113350126</v>
          </cell>
          <cell r="AG227">
            <v>68.010075566750629</v>
          </cell>
          <cell r="AH227">
            <v>136.02015113350126</v>
          </cell>
          <cell r="AI227">
            <v>68.010075566750629</v>
          </cell>
          <cell r="AJ227">
            <v>136.02015113350126</v>
          </cell>
          <cell r="AK227">
            <v>136.02015113350126</v>
          </cell>
          <cell r="AL227">
            <v>136.02015113350126</v>
          </cell>
          <cell r="AM227">
            <v>136.02015113350126</v>
          </cell>
          <cell r="AN227">
            <v>136.02015113350126</v>
          </cell>
          <cell r="AO227">
            <v>136.02015113350126</v>
          </cell>
          <cell r="AP227">
            <v>136.02015113350126</v>
          </cell>
          <cell r="AQ227">
            <v>136.02015113350126</v>
          </cell>
          <cell r="AR227">
            <v>136.02015113350126</v>
          </cell>
          <cell r="AS227">
            <v>136.02015113350126</v>
          </cell>
          <cell r="AT227">
            <v>136.02015113350126</v>
          </cell>
          <cell r="AU227">
            <v>136.02015113350126</v>
          </cell>
          <cell r="AV227">
            <v>136.02015113350126</v>
          </cell>
          <cell r="AW227">
            <v>136.02015113350126</v>
          </cell>
          <cell r="AX227">
            <v>136.02015113350126</v>
          </cell>
          <cell r="AY227">
            <v>136.02015113350126</v>
          </cell>
          <cell r="AZ227">
            <v>136.02015113350126</v>
          </cell>
          <cell r="BA227">
            <v>136.02015113350126</v>
          </cell>
          <cell r="BB227">
            <v>136.02015113350126</v>
          </cell>
          <cell r="BC227">
            <v>136.02015113350126</v>
          </cell>
          <cell r="BD227">
            <v>136.02015113350126</v>
          </cell>
          <cell r="BE227">
            <v>136.02015113350126</v>
          </cell>
          <cell r="BF227">
            <v>136.02015113350126</v>
          </cell>
          <cell r="BG227">
            <v>136.02015113350126</v>
          </cell>
          <cell r="BH227">
            <v>136.02015113350126</v>
          </cell>
          <cell r="BI227">
            <v>136.02015113350126</v>
          </cell>
          <cell r="BJ227">
            <v>136.02015113350126</v>
          </cell>
          <cell r="BK227">
            <v>204.03022670025189</v>
          </cell>
          <cell r="BL227">
            <v>204.03022670025189</v>
          </cell>
          <cell r="BM227">
            <v>204.03022670025189</v>
          </cell>
          <cell r="BN227">
            <v>204.03022670025189</v>
          </cell>
          <cell r="BO227">
            <v>204.03022670025189</v>
          </cell>
          <cell r="BP227">
            <v>204.03022670025189</v>
          </cell>
          <cell r="BQ227">
            <v>204.03022670025189</v>
          </cell>
          <cell r="BR227">
            <v>204.03022670025189</v>
          </cell>
          <cell r="BS227">
            <v>204.03022670025189</v>
          </cell>
          <cell r="BT227">
            <v>204.03022670025189</v>
          </cell>
          <cell r="BU227">
            <v>204.03022670025189</v>
          </cell>
          <cell r="BV227">
            <v>204.03022670025189</v>
          </cell>
        </row>
        <row r="228">
          <cell r="A228" t="str">
            <v>PORSCHE</v>
          </cell>
          <cell r="B228" t="str">
            <v>PO426 ARM</v>
          </cell>
          <cell r="D228" t="str">
            <v>Weekly Output PLAN</v>
          </cell>
          <cell r="E228" t="str">
            <v>SEW</v>
          </cell>
          <cell r="Z228">
            <v>680.10075566750629</v>
          </cell>
          <cell r="AA228">
            <v>340.05037783375315</v>
          </cell>
          <cell r="AB228">
            <v>680.10075566750629</v>
          </cell>
          <cell r="AC228">
            <v>680.10075566750629</v>
          </cell>
          <cell r="AD228">
            <v>408.06045340050377</v>
          </cell>
          <cell r="AE228">
            <v>680.10075566750629</v>
          </cell>
          <cell r="AF228">
            <v>680.10075566750629</v>
          </cell>
          <cell r="AG228">
            <v>340.05037783375315</v>
          </cell>
          <cell r="AH228">
            <v>680.10075566750629</v>
          </cell>
          <cell r="AI228">
            <v>340.05037783375315</v>
          </cell>
          <cell r="AJ228">
            <v>680.10075566750629</v>
          </cell>
          <cell r="AK228">
            <v>544.08060453400503</v>
          </cell>
          <cell r="AL228">
            <v>544.08060453400503</v>
          </cell>
          <cell r="AM228">
            <v>680.10075566750629</v>
          </cell>
          <cell r="AN228">
            <v>544.08060453400503</v>
          </cell>
          <cell r="AO228">
            <v>680.10075566750629</v>
          </cell>
          <cell r="AP228">
            <v>680.10075566750629</v>
          </cell>
          <cell r="AQ228">
            <v>680.10075566750629</v>
          </cell>
          <cell r="AR228">
            <v>680.10075566750629</v>
          </cell>
          <cell r="AS228">
            <v>680.10075566750629</v>
          </cell>
          <cell r="AT228">
            <v>680.10075566750629</v>
          </cell>
          <cell r="AU228">
            <v>680.10075566750629</v>
          </cell>
          <cell r="AV228">
            <v>680.10075566750629</v>
          </cell>
          <cell r="AW228">
            <v>680.10075566750629</v>
          </cell>
          <cell r="AX228">
            <v>680.10075566750629</v>
          </cell>
          <cell r="AY228">
            <v>680.10075566750629</v>
          </cell>
          <cell r="AZ228">
            <v>0</v>
          </cell>
          <cell r="BA228">
            <v>0</v>
          </cell>
          <cell r="BB228">
            <v>680.10075566750629</v>
          </cell>
          <cell r="BC228">
            <v>680.10075566750629</v>
          </cell>
          <cell r="BD228">
            <v>680.10075566750629</v>
          </cell>
          <cell r="BE228">
            <v>680.10075566750629</v>
          </cell>
          <cell r="BF228">
            <v>680.10075566750629</v>
          </cell>
          <cell r="BG228">
            <v>680.10075566750629</v>
          </cell>
          <cell r="BH228">
            <v>680.10075566750629</v>
          </cell>
          <cell r="BI228">
            <v>680.10075566750629</v>
          </cell>
          <cell r="BJ228">
            <v>680.10075566750629</v>
          </cell>
          <cell r="BK228">
            <v>1020.1511335012594</v>
          </cell>
          <cell r="BL228">
            <v>612.09068010075566</v>
          </cell>
          <cell r="BM228">
            <v>612.09068010075566</v>
          </cell>
          <cell r="BN228">
            <v>612.09068010075566</v>
          </cell>
          <cell r="BO228">
            <v>612.09068010075566</v>
          </cell>
          <cell r="BP228">
            <v>612.09068010075566</v>
          </cell>
          <cell r="BQ228">
            <v>612.09068010075566</v>
          </cell>
          <cell r="BR228">
            <v>612.09068010075566</v>
          </cell>
          <cell r="BS228">
            <v>612.09068010075566</v>
          </cell>
          <cell r="BT228">
            <v>612.09068010075566</v>
          </cell>
          <cell r="BU228">
            <v>612.09068010075566</v>
          </cell>
          <cell r="BV228">
            <v>612.09068010075566</v>
          </cell>
        </row>
        <row r="229">
          <cell r="A229" t="str">
            <v>PORSCHE</v>
          </cell>
          <cell r="B229" t="str">
            <v>PO426 ARM</v>
          </cell>
          <cell r="D229" t="str">
            <v>ARM VNL</v>
          </cell>
          <cell r="E229">
            <v>5.3721000000000005</v>
          </cell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</row>
        <row r="230">
          <cell r="A230" t="str">
            <v>PORSCHE</v>
          </cell>
          <cell r="B230" t="str">
            <v>PO426 ARM</v>
          </cell>
          <cell r="D230" t="str">
            <v>ARM LTH</v>
          </cell>
          <cell r="E230">
            <v>7.9397999999999991</v>
          </cell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</row>
        <row r="231">
          <cell r="A231" t="str">
            <v>PORSCHE</v>
          </cell>
          <cell r="B231" t="str">
            <v>PO426 ARM</v>
          </cell>
          <cell r="D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</row>
        <row r="232">
          <cell r="A232" t="str">
            <v>PORSCHE</v>
          </cell>
          <cell r="B232" t="str">
            <v>PO426 ARM</v>
          </cell>
          <cell r="D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</row>
        <row r="233">
          <cell r="A233" t="str">
            <v>PORSCHE</v>
          </cell>
          <cell r="B233" t="str">
            <v>PO426 ARM</v>
          </cell>
          <cell r="D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</row>
        <row r="234">
          <cell r="A234" t="str">
            <v>PORSCHE</v>
          </cell>
          <cell r="B234" t="str">
            <v>PO426 ARM</v>
          </cell>
          <cell r="D234" t="str">
            <v>Weekly Output PLAN - SUM of models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</row>
        <row r="235">
          <cell r="A235" t="str">
            <v>PORSCHE</v>
          </cell>
          <cell r="B235" t="str">
            <v>PO426 ARM</v>
          </cell>
          <cell r="D235" t="str">
            <v>Weekly Output CHECK with TO time multiple</v>
          </cell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</row>
        <row r="236">
          <cell r="A236" t="str">
            <v>PORSCHE</v>
          </cell>
          <cell r="B236" t="str">
            <v>PO426 ARM</v>
          </cell>
          <cell r="D236" t="str">
            <v>Weekly Output ACT</v>
          </cell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</row>
        <row r="237">
          <cell r="A237" t="str">
            <v>PORSCHE</v>
          </cell>
          <cell r="B237" t="str">
            <v>PO426 ARM</v>
          </cell>
          <cell r="D237" t="str">
            <v>ARM VNL</v>
          </cell>
          <cell r="Z237">
            <v>0</v>
          </cell>
          <cell r="AA237">
            <v>0</v>
          </cell>
          <cell r="AB237">
            <v>180</v>
          </cell>
          <cell r="AC237">
            <v>30</v>
          </cell>
          <cell r="AD237">
            <v>60</v>
          </cell>
          <cell r="AE237">
            <v>60</v>
          </cell>
          <cell r="AF237">
            <v>360</v>
          </cell>
          <cell r="AG237">
            <v>60</v>
          </cell>
          <cell r="AH237">
            <v>30</v>
          </cell>
          <cell r="AI237">
            <v>120</v>
          </cell>
          <cell r="AJ237">
            <v>120</v>
          </cell>
          <cell r="AK237">
            <v>240</v>
          </cell>
          <cell r="AL237">
            <v>0</v>
          </cell>
          <cell r="AM237">
            <v>0</v>
          </cell>
          <cell r="AN237">
            <v>0</v>
          </cell>
          <cell r="AO237">
            <v>240</v>
          </cell>
          <cell r="AP237">
            <v>0</v>
          </cell>
          <cell r="AQ237">
            <v>0</v>
          </cell>
          <cell r="AR237">
            <v>0</v>
          </cell>
          <cell r="AS237">
            <v>330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240</v>
          </cell>
          <cell r="AY237">
            <v>0</v>
          </cell>
          <cell r="AZ237">
            <v>0</v>
          </cell>
          <cell r="BA237">
            <v>0</v>
          </cell>
          <cell r="BB237">
            <v>240</v>
          </cell>
          <cell r="BC237">
            <v>0</v>
          </cell>
          <cell r="BD237">
            <v>0</v>
          </cell>
          <cell r="BE237">
            <v>240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</row>
        <row r="238">
          <cell r="A238" t="str">
            <v>PORSCHE</v>
          </cell>
          <cell r="B238" t="str">
            <v>PO426 ARM</v>
          </cell>
          <cell r="D238" t="str">
            <v>ARM LTH</v>
          </cell>
          <cell r="Z238">
            <v>648</v>
          </cell>
          <cell r="AA238">
            <v>0</v>
          </cell>
          <cell r="AB238">
            <v>828</v>
          </cell>
          <cell r="AC238">
            <v>576</v>
          </cell>
          <cell r="AD238">
            <v>576</v>
          </cell>
          <cell r="AE238">
            <v>756</v>
          </cell>
          <cell r="AF238">
            <v>468</v>
          </cell>
          <cell r="AG238">
            <v>432</v>
          </cell>
          <cell r="AH238">
            <v>612</v>
          </cell>
          <cell r="AI238">
            <v>504</v>
          </cell>
          <cell r="AJ238">
            <v>504</v>
          </cell>
          <cell r="AK238">
            <v>612</v>
          </cell>
          <cell r="AL238">
            <v>324</v>
          </cell>
          <cell r="AM238">
            <v>612</v>
          </cell>
          <cell r="AN238">
            <v>468</v>
          </cell>
          <cell r="AO238">
            <v>2232</v>
          </cell>
          <cell r="AP238">
            <v>0</v>
          </cell>
          <cell r="AQ238">
            <v>0</v>
          </cell>
          <cell r="AR238">
            <v>0</v>
          </cell>
          <cell r="AS238">
            <v>2484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2160</v>
          </cell>
          <cell r="AY238">
            <v>0</v>
          </cell>
          <cell r="AZ238">
            <v>0</v>
          </cell>
          <cell r="BA238">
            <v>0</v>
          </cell>
          <cell r="BB238">
            <v>2160</v>
          </cell>
          <cell r="BC238">
            <v>0</v>
          </cell>
          <cell r="BD238">
            <v>0</v>
          </cell>
          <cell r="BE238">
            <v>2160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</row>
        <row r="239">
          <cell r="A239" t="str">
            <v>PORSCHE</v>
          </cell>
          <cell r="B239" t="str">
            <v>PO426 ARM</v>
          </cell>
          <cell r="D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</row>
        <row r="240">
          <cell r="A240" t="str">
            <v>PORSCHE</v>
          </cell>
          <cell r="B240" t="str">
            <v>PO426 ARM</v>
          </cell>
          <cell r="D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</row>
        <row r="241">
          <cell r="A241" t="str">
            <v>PORSCHE</v>
          </cell>
          <cell r="B241" t="str">
            <v>PO426 ARM</v>
          </cell>
          <cell r="D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</row>
        <row r="242">
          <cell r="A242" t="str">
            <v>PORSCHE</v>
          </cell>
          <cell r="B242" t="str">
            <v>PO426 ARM</v>
          </cell>
          <cell r="D242" t="str">
            <v>Weekly demand</v>
          </cell>
          <cell r="Z242">
            <v>648</v>
          </cell>
          <cell r="AA242">
            <v>0</v>
          </cell>
          <cell r="AB242">
            <v>1008</v>
          </cell>
          <cell r="AC242">
            <v>606</v>
          </cell>
          <cell r="AD242">
            <v>636</v>
          </cell>
          <cell r="AE242">
            <v>816</v>
          </cell>
          <cell r="AF242">
            <v>828</v>
          </cell>
          <cell r="AG242">
            <v>492</v>
          </cell>
          <cell r="AH242">
            <v>642</v>
          </cell>
          <cell r="AI242">
            <v>624</v>
          </cell>
          <cell r="AJ242">
            <v>624</v>
          </cell>
          <cell r="AK242">
            <v>852</v>
          </cell>
          <cell r="AL242">
            <v>324</v>
          </cell>
          <cell r="AM242">
            <v>612</v>
          </cell>
          <cell r="AN242">
            <v>468</v>
          </cell>
          <cell r="AO242">
            <v>2472</v>
          </cell>
          <cell r="AP242">
            <v>0</v>
          </cell>
          <cell r="AQ242">
            <v>0</v>
          </cell>
          <cell r="AR242">
            <v>0</v>
          </cell>
          <cell r="AS242">
            <v>2814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2400</v>
          </cell>
          <cell r="AY242">
            <v>0</v>
          </cell>
          <cell r="AZ242">
            <v>0</v>
          </cell>
          <cell r="BA242">
            <v>0</v>
          </cell>
          <cell r="BB242">
            <v>2400</v>
          </cell>
          <cell r="BC242">
            <v>0</v>
          </cell>
          <cell r="BD242">
            <v>0</v>
          </cell>
          <cell r="BE242">
            <v>2400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</row>
        <row r="243">
          <cell r="A243" t="str">
            <v>PORSCHE</v>
          </cell>
          <cell r="B243" t="str">
            <v>PO426 ARM</v>
          </cell>
          <cell r="D243" t="str">
            <v>Stock Target</v>
          </cell>
          <cell r="Z243">
            <v>700</v>
          </cell>
          <cell r="AA243">
            <v>700</v>
          </cell>
          <cell r="AB243">
            <v>700</v>
          </cell>
          <cell r="AC243">
            <v>700</v>
          </cell>
          <cell r="AD243">
            <v>700</v>
          </cell>
          <cell r="AE243">
            <v>700</v>
          </cell>
          <cell r="AF243">
            <v>700</v>
          </cell>
          <cell r="AG243">
            <v>700</v>
          </cell>
          <cell r="AH243">
            <v>700</v>
          </cell>
          <cell r="AI243">
            <v>700</v>
          </cell>
          <cell r="AJ243">
            <v>700</v>
          </cell>
          <cell r="AK243">
            <v>700</v>
          </cell>
          <cell r="AL243">
            <v>700</v>
          </cell>
          <cell r="AM243">
            <v>700</v>
          </cell>
          <cell r="AN243">
            <v>700</v>
          </cell>
          <cell r="AO243">
            <v>700</v>
          </cell>
          <cell r="AP243">
            <v>700</v>
          </cell>
          <cell r="AQ243">
            <v>700</v>
          </cell>
          <cell r="AR243">
            <v>700</v>
          </cell>
          <cell r="AS243">
            <v>700</v>
          </cell>
          <cell r="AT243">
            <v>700</v>
          </cell>
          <cell r="AU243">
            <v>700</v>
          </cell>
          <cell r="AV243">
            <v>700</v>
          </cell>
          <cell r="AW243">
            <v>700</v>
          </cell>
          <cell r="AX243">
            <v>700</v>
          </cell>
          <cell r="AY243">
            <v>700</v>
          </cell>
          <cell r="AZ243">
            <v>700</v>
          </cell>
          <cell r="BA243">
            <v>700</v>
          </cell>
          <cell r="BB243">
            <v>700</v>
          </cell>
          <cell r="BC243">
            <v>700</v>
          </cell>
          <cell r="BD243">
            <v>700</v>
          </cell>
          <cell r="BE243">
            <v>700</v>
          </cell>
          <cell r="BF243">
            <v>700</v>
          </cell>
          <cell r="BG243">
            <v>700</v>
          </cell>
          <cell r="BH243">
            <v>700</v>
          </cell>
          <cell r="BI243">
            <v>700</v>
          </cell>
          <cell r="BJ243">
            <v>700</v>
          </cell>
          <cell r="BK243">
            <v>700</v>
          </cell>
          <cell r="BL243">
            <v>700</v>
          </cell>
          <cell r="BM243">
            <v>700</v>
          </cell>
          <cell r="BN243">
            <v>700</v>
          </cell>
          <cell r="BO243">
            <v>700</v>
          </cell>
          <cell r="BP243">
            <v>700</v>
          </cell>
          <cell r="BQ243">
            <v>700</v>
          </cell>
          <cell r="BR243">
            <v>700</v>
          </cell>
          <cell r="BS243">
            <v>700</v>
          </cell>
          <cell r="BT243">
            <v>700</v>
          </cell>
          <cell r="BU243">
            <v>700</v>
          </cell>
          <cell r="BV243">
            <v>700</v>
          </cell>
        </row>
        <row r="244">
          <cell r="A244" t="str">
            <v>PORSCHE</v>
          </cell>
          <cell r="B244" t="str">
            <v>PO426 ARM</v>
          </cell>
          <cell r="D244" t="str">
            <v>ARM VNL</v>
          </cell>
          <cell r="Z244">
            <v>180</v>
          </cell>
          <cell r="AA244">
            <v>264</v>
          </cell>
          <cell r="AB244">
            <v>84</v>
          </cell>
          <cell r="AC244">
            <v>54</v>
          </cell>
          <cell r="AD244">
            <v>-6</v>
          </cell>
          <cell r="AE244">
            <v>-66</v>
          </cell>
          <cell r="AF244">
            <v>-426</v>
          </cell>
          <cell r="AG244">
            <v>-486</v>
          </cell>
          <cell r="AH244">
            <v>-516</v>
          </cell>
          <cell r="AI244">
            <v>-636</v>
          </cell>
          <cell r="AJ244">
            <v>-756</v>
          </cell>
          <cell r="AK244">
            <v>-996</v>
          </cell>
          <cell r="AL244">
            <v>-996</v>
          </cell>
          <cell r="AM244">
            <v>-996</v>
          </cell>
          <cell r="AN244">
            <v>-996</v>
          </cell>
          <cell r="AO244">
            <v>-1236</v>
          </cell>
          <cell r="AP244">
            <v>-1236</v>
          </cell>
          <cell r="AQ244">
            <v>-1236</v>
          </cell>
          <cell r="AR244">
            <v>-1236</v>
          </cell>
          <cell r="AS244">
            <v>-1566</v>
          </cell>
          <cell r="AT244">
            <v>-1566</v>
          </cell>
          <cell r="AU244">
            <v>-1566</v>
          </cell>
          <cell r="AV244">
            <v>-1566</v>
          </cell>
          <cell r="AW244">
            <v>-1566</v>
          </cell>
          <cell r="AX244">
            <v>-1806</v>
          </cell>
          <cell r="AY244">
            <v>-1806</v>
          </cell>
          <cell r="AZ244">
            <v>-1806</v>
          </cell>
          <cell r="BA244">
            <v>-1806</v>
          </cell>
          <cell r="BB244">
            <v>-2046</v>
          </cell>
          <cell r="BC244">
            <v>-2046</v>
          </cell>
          <cell r="BD244">
            <v>-2046</v>
          </cell>
          <cell r="BE244">
            <v>-2286</v>
          </cell>
          <cell r="BF244">
            <v>-2286</v>
          </cell>
          <cell r="BG244">
            <v>-2286</v>
          </cell>
          <cell r="BH244">
            <v>-2286</v>
          </cell>
          <cell r="BI244">
            <v>-2286</v>
          </cell>
          <cell r="BJ244">
            <v>-2286</v>
          </cell>
          <cell r="BK244">
            <v>-2286</v>
          </cell>
          <cell r="BL244">
            <v>-2286</v>
          </cell>
          <cell r="BM244">
            <v>-2286</v>
          </cell>
          <cell r="BN244">
            <v>-2286</v>
          </cell>
          <cell r="BO244">
            <v>-2286</v>
          </cell>
          <cell r="BP244">
            <v>-2286</v>
          </cell>
          <cell r="BQ244">
            <v>-2286</v>
          </cell>
          <cell r="BR244">
            <v>-2286</v>
          </cell>
          <cell r="BS244">
            <v>-2286</v>
          </cell>
          <cell r="BT244">
            <v>-2286</v>
          </cell>
          <cell r="BU244">
            <v>-2286</v>
          </cell>
          <cell r="BV244">
            <v>-2286</v>
          </cell>
        </row>
        <row r="245">
          <cell r="A245" t="str">
            <v>PORSCHE</v>
          </cell>
          <cell r="B245" t="str">
            <v>PO426 ARM</v>
          </cell>
          <cell r="D245" t="str">
            <v>ARM LTH</v>
          </cell>
          <cell r="Z245">
            <v>1620</v>
          </cell>
          <cell r="AA245">
            <v>1872</v>
          </cell>
          <cell r="AB245">
            <v>1044</v>
          </cell>
          <cell r="AC245">
            <v>468</v>
          </cell>
          <cell r="AD245">
            <v>-108</v>
          </cell>
          <cell r="AE245">
            <v>-864</v>
          </cell>
          <cell r="AF245">
            <v>-1332</v>
          </cell>
          <cell r="AG245">
            <v>-1764</v>
          </cell>
          <cell r="AH245">
            <v>-2376</v>
          </cell>
          <cell r="AI245">
            <v>-2880</v>
          </cell>
          <cell r="AJ245">
            <v>-3384</v>
          </cell>
          <cell r="AK245">
            <v>-3996</v>
          </cell>
          <cell r="AL245">
            <v>-4320</v>
          </cell>
          <cell r="AM245">
            <v>-4932</v>
          </cell>
          <cell r="AN245">
            <v>-5400</v>
          </cell>
          <cell r="AO245">
            <v>-7632</v>
          </cell>
          <cell r="AP245">
            <v>-7632</v>
          </cell>
          <cell r="AQ245">
            <v>-7632</v>
          </cell>
          <cell r="AR245">
            <v>-7632</v>
          </cell>
          <cell r="AS245">
            <v>-10116</v>
          </cell>
          <cell r="AT245">
            <v>-10116</v>
          </cell>
          <cell r="AU245">
            <v>-10116</v>
          </cell>
          <cell r="AV245">
            <v>-10116</v>
          </cell>
          <cell r="AW245">
            <v>-10116</v>
          </cell>
          <cell r="AX245">
            <v>-12276</v>
          </cell>
          <cell r="AY245">
            <v>-12276</v>
          </cell>
          <cell r="AZ245">
            <v>-12276</v>
          </cell>
          <cell r="BA245">
            <v>-12276</v>
          </cell>
          <cell r="BB245">
            <v>-14436</v>
          </cell>
          <cell r="BC245">
            <v>-14436</v>
          </cell>
          <cell r="BD245">
            <v>-14436</v>
          </cell>
          <cell r="BE245">
            <v>-16596</v>
          </cell>
          <cell r="BF245">
            <v>-16596</v>
          </cell>
          <cell r="BG245">
            <v>-16596</v>
          </cell>
          <cell r="BH245">
            <v>-16596</v>
          </cell>
          <cell r="BI245">
            <v>-16596</v>
          </cell>
          <cell r="BJ245">
            <v>-16596</v>
          </cell>
          <cell r="BK245">
            <v>-16596</v>
          </cell>
          <cell r="BL245">
            <v>-16596</v>
          </cell>
          <cell r="BM245">
            <v>-16596</v>
          </cell>
          <cell r="BN245">
            <v>-16596</v>
          </cell>
          <cell r="BO245">
            <v>-16596</v>
          </cell>
          <cell r="BP245">
            <v>-16596</v>
          </cell>
          <cell r="BQ245">
            <v>-16596</v>
          </cell>
          <cell r="BR245">
            <v>-16596</v>
          </cell>
          <cell r="BS245">
            <v>-16596</v>
          </cell>
          <cell r="BT245">
            <v>-16596</v>
          </cell>
          <cell r="BU245">
            <v>-16596</v>
          </cell>
          <cell r="BV245">
            <v>-16596</v>
          </cell>
        </row>
        <row r="246">
          <cell r="A246" t="str">
            <v>PORSCHE</v>
          </cell>
          <cell r="B246" t="str">
            <v>PO426 ARM</v>
          </cell>
          <cell r="D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</row>
        <row r="247">
          <cell r="A247" t="str">
            <v>PORSCHE</v>
          </cell>
          <cell r="B247" t="str">
            <v>PO426 ARM</v>
          </cell>
          <cell r="D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</row>
        <row r="248">
          <cell r="A248" t="str">
            <v>PORSCHE</v>
          </cell>
          <cell r="B248" t="str">
            <v>PO426 ARM</v>
          </cell>
          <cell r="D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</row>
        <row r="249">
          <cell r="A249" t="str">
            <v>PORSCHE</v>
          </cell>
          <cell r="B249" t="str">
            <v>PO426 ARM</v>
          </cell>
          <cell r="D249" t="str">
            <v>STOCK</v>
          </cell>
          <cell r="Z249">
            <v>1800</v>
          </cell>
          <cell r="AA249">
            <v>2140.0503778337534</v>
          </cell>
          <cell r="AB249">
            <v>1812.1511335012597</v>
          </cell>
          <cell r="AC249">
            <v>1886.251889168766</v>
          </cell>
          <cell r="AD249">
            <v>1658.3123425692697</v>
          </cell>
          <cell r="AE249">
            <v>1522.413098236776</v>
          </cell>
          <cell r="AF249">
            <v>1374.5138539042823</v>
          </cell>
          <cell r="AG249">
            <v>1222.5642317380355</v>
          </cell>
          <cell r="AH249">
            <v>1260.6649874055418</v>
          </cell>
          <cell r="AI249">
            <v>976.7153652392949</v>
          </cell>
          <cell r="AJ249">
            <v>1032.8161209068012</v>
          </cell>
          <cell r="AK249">
            <v>724.89672544080622</v>
          </cell>
          <cell r="AL249">
            <v>944.97732997481125</v>
          </cell>
          <cell r="AM249">
            <v>1013.0780856423175</v>
          </cell>
          <cell r="AN249">
            <v>1089.1586901763226</v>
          </cell>
          <cell r="AO249">
            <v>-702.74055415617113</v>
          </cell>
          <cell r="AP249">
            <v>-22.639798488664837</v>
          </cell>
          <cell r="AQ249">
            <v>657.46095717884145</v>
          </cell>
          <cell r="AR249">
            <v>1337.5617128463477</v>
          </cell>
          <cell r="AS249">
            <v>-796.33753148614596</v>
          </cell>
          <cell r="AT249">
            <v>-116.23677581863967</v>
          </cell>
          <cell r="AU249">
            <v>563.86397984886662</v>
          </cell>
          <cell r="AV249">
            <v>1243.9647355163729</v>
          </cell>
          <cell r="AW249">
            <v>1924.0654911838792</v>
          </cell>
          <cell r="AX249">
            <v>204.16624685138549</v>
          </cell>
          <cell r="AY249">
            <v>884.26700251889179</v>
          </cell>
          <cell r="AZ249">
            <v>884.26700251889179</v>
          </cell>
          <cell r="BA249">
            <v>884.26700251889179</v>
          </cell>
          <cell r="BB249">
            <v>-835.63224181360192</v>
          </cell>
          <cell r="BC249">
            <v>-155.53148614609563</v>
          </cell>
          <cell r="BD249">
            <v>524.56926952141066</v>
          </cell>
          <cell r="BE249">
            <v>-1195.329974811083</v>
          </cell>
          <cell r="BF249">
            <v>-515.22921914357676</v>
          </cell>
          <cell r="BG249">
            <v>164.87153652392954</v>
          </cell>
          <cell r="BH249">
            <v>844.97229219143583</v>
          </cell>
          <cell r="BI249">
            <v>1525.0730478589421</v>
          </cell>
          <cell r="BJ249">
            <v>2205.1738035264484</v>
          </cell>
          <cell r="BK249">
            <v>3225.3249370277081</v>
          </cell>
          <cell r="BL249">
            <v>3837.415617128464</v>
          </cell>
          <cell r="BM249">
            <v>4449.5062972292199</v>
          </cell>
          <cell r="BN249">
            <v>5061.5969773299757</v>
          </cell>
          <cell r="BO249">
            <v>5673.6876574307316</v>
          </cell>
          <cell r="BP249">
            <v>6285.7783375314875</v>
          </cell>
          <cell r="BQ249">
            <v>6897.8690176322434</v>
          </cell>
          <cell r="BR249">
            <v>7509.9596977329993</v>
          </cell>
          <cell r="BS249">
            <v>8122.0503778337552</v>
          </cell>
          <cell r="BT249">
            <v>8734.1410579345102</v>
          </cell>
          <cell r="BU249">
            <v>9346.2317380352652</v>
          </cell>
          <cell r="BV249">
            <v>9958.3224181360201</v>
          </cell>
        </row>
        <row r="250">
          <cell r="A250" t="str">
            <v>Blank</v>
          </cell>
          <cell r="B250" t="str">
            <v>Blank</v>
          </cell>
          <cell r="D250" t="str">
            <v>Blank</v>
          </cell>
          <cell r="Z250">
            <v>3972</v>
          </cell>
          <cell r="AA250">
            <v>0</v>
          </cell>
          <cell r="AB250">
            <v>6802</v>
          </cell>
          <cell r="AC250">
            <v>1142</v>
          </cell>
          <cell r="AD250">
            <v>1916</v>
          </cell>
          <cell r="AE250">
            <v>2168</v>
          </cell>
          <cell r="AF250">
            <v>2804</v>
          </cell>
          <cell r="AG250">
            <v>2228</v>
          </cell>
          <cell r="AH250">
            <v>2930</v>
          </cell>
          <cell r="AI250">
            <v>3347</v>
          </cell>
          <cell r="AJ250">
            <v>2392</v>
          </cell>
          <cell r="AK250">
            <v>3348</v>
          </cell>
          <cell r="AL250">
            <v>1868</v>
          </cell>
          <cell r="AM250">
            <v>3012</v>
          </cell>
          <cell r="AN250">
            <v>2396</v>
          </cell>
          <cell r="AO250">
            <v>13684</v>
          </cell>
          <cell r="AP250">
            <v>0</v>
          </cell>
          <cell r="AQ250">
            <v>0</v>
          </cell>
          <cell r="AR250">
            <v>0</v>
          </cell>
          <cell r="AS250">
            <v>11781</v>
          </cell>
          <cell r="AT250">
            <v>0</v>
          </cell>
          <cell r="AU250">
            <v>1191.611322222222</v>
          </cell>
          <cell r="AV250">
            <v>1191.611322222222</v>
          </cell>
          <cell r="AW250">
            <v>953.83388333333335</v>
          </cell>
          <cell r="AX250">
            <v>8681.8338833333328</v>
          </cell>
          <cell r="AY250">
            <v>953.83388333333335</v>
          </cell>
          <cell r="AZ250">
            <v>953.83388333333335</v>
          </cell>
          <cell r="BA250">
            <v>953.83388333333335</v>
          </cell>
          <cell r="BB250">
            <v>8308.5310874999996</v>
          </cell>
          <cell r="BC250">
            <v>580.53108750000001</v>
          </cell>
          <cell r="BD250">
            <v>580.53108750000001</v>
          </cell>
          <cell r="BE250">
            <v>8308.5310874999996</v>
          </cell>
          <cell r="BF250">
            <v>580.53108750000001</v>
          </cell>
          <cell r="BG250">
            <v>2572.7441055555555</v>
          </cell>
          <cell r="BH250">
            <v>2572.7441055555555</v>
          </cell>
          <cell r="BI250">
            <v>2572.7441055555555</v>
          </cell>
          <cell r="BJ250">
            <v>2572.7441055555555</v>
          </cell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</row>
        <row r="251">
          <cell r="A251" t="str">
            <v>PORSCHE</v>
          </cell>
          <cell r="B251" t="str">
            <v>PO426 Gueset</v>
          </cell>
          <cell r="D251" t="str">
            <v>Work days</v>
          </cell>
          <cell r="Z251">
            <v>2</v>
          </cell>
          <cell r="AA251">
            <v>5</v>
          </cell>
          <cell r="AB251">
            <v>5</v>
          </cell>
          <cell r="AC251">
            <v>5</v>
          </cell>
          <cell r="AD251">
            <v>3</v>
          </cell>
          <cell r="AE251">
            <v>5</v>
          </cell>
          <cell r="AF251">
            <v>5</v>
          </cell>
          <cell r="AG251">
            <v>5</v>
          </cell>
          <cell r="AH251">
            <v>5</v>
          </cell>
          <cell r="AI251">
            <v>5</v>
          </cell>
          <cell r="AJ251">
            <v>5</v>
          </cell>
          <cell r="AK251">
            <v>4</v>
          </cell>
          <cell r="AL251">
            <v>4</v>
          </cell>
          <cell r="AM251">
            <v>5</v>
          </cell>
          <cell r="AN251">
            <v>4</v>
          </cell>
          <cell r="AO251">
            <v>5</v>
          </cell>
          <cell r="AP251">
            <v>5</v>
          </cell>
          <cell r="AQ251">
            <v>5</v>
          </cell>
          <cell r="AR251">
            <v>5</v>
          </cell>
          <cell r="AS251">
            <v>5</v>
          </cell>
          <cell r="AT251">
            <v>5</v>
          </cell>
          <cell r="AU251">
            <v>5</v>
          </cell>
          <cell r="AV251">
            <v>5</v>
          </cell>
          <cell r="AW251">
            <v>5</v>
          </cell>
          <cell r="AX251">
            <v>5</v>
          </cell>
          <cell r="AY251">
            <v>5</v>
          </cell>
          <cell r="AZ251">
            <v>0</v>
          </cell>
          <cell r="BA251">
            <v>0</v>
          </cell>
          <cell r="BB251">
            <v>5</v>
          </cell>
          <cell r="BC251">
            <v>5</v>
          </cell>
          <cell r="BD251">
            <v>5</v>
          </cell>
          <cell r="BE251">
            <v>5</v>
          </cell>
          <cell r="BF251">
            <v>5</v>
          </cell>
          <cell r="BG251">
            <v>5</v>
          </cell>
          <cell r="BH251">
            <v>5</v>
          </cell>
          <cell r="BI251">
            <v>5</v>
          </cell>
          <cell r="BJ251">
            <v>5</v>
          </cell>
          <cell r="BK251">
            <v>5</v>
          </cell>
          <cell r="BL251">
            <v>1</v>
          </cell>
          <cell r="BM251">
            <v>1</v>
          </cell>
          <cell r="BN251">
            <v>1</v>
          </cell>
          <cell r="BO251">
            <v>1</v>
          </cell>
          <cell r="BP251">
            <v>1</v>
          </cell>
          <cell r="BQ251">
            <v>1</v>
          </cell>
          <cell r="BR251">
            <v>1</v>
          </cell>
          <cell r="BS251">
            <v>1</v>
          </cell>
          <cell r="BT251">
            <v>1</v>
          </cell>
          <cell r="BU251">
            <v>1</v>
          </cell>
          <cell r="BV251">
            <v>1</v>
          </cell>
        </row>
        <row r="252">
          <cell r="A252" t="str">
            <v>PORSCHE</v>
          </cell>
          <cell r="B252" t="str">
            <v>PO426 Gueset</v>
          </cell>
          <cell r="D252" t="str">
            <v>SHIFT A HC - operators</v>
          </cell>
          <cell r="Z252">
            <v>2</v>
          </cell>
          <cell r="AA252">
            <v>2</v>
          </cell>
          <cell r="AB252">
            <v>2</v>
          </cell>
          <cell r="AC252">
            <v>1</v>
          </cell>
          <cell r="AD252">
            <v>1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J252">
            <v>1</v>
          </cell>
          <cell r="AK252">
            <v>2</v>
          </cell>
          <cell r="AL252">
            <v>2</v>
          </cell>
          <cell r="AM252">
            <v>1</v>
          </cell>
          <cell r="AN252">
            <v>2</v>
          </cell>
          <cell r="AO252">
            <v>1</v>
          </cell>
          <cell r="AP252">
            <v>2</v>
          </cell>
          <cell r="AQ252">
            <v>1</v>
          </cell>
          <cell r="AR252">
            <v>2</v>
          </cell>
          <cell r="AS252">
            <v>1</v>
          </cell>
          <cell r="AT252">
            <v>2</v>
          </cell>
          <cell r="AU252">
            <v>1</v>
          </cell>
          <cell r="AV252">
            <v>2</v>
          </cell>
          <cell r="AW252">
            <v>1</v>
          </cell>
          <cell r="AX252">
            <v>2</v>
          </cell>
          <cell r="AY252">
            <v>1</v>
          </cell>
          <cell r="AZ252">
            <v>2</v>
          </cell>
          <cell r="BA252">
            <v>2</v>
          </cell>
          <cell r="BB252">
            <v>1</v>
          </cell>
          <cell r="BC252">
            <v>2</v>
          </cell>
          <cell r="BD252">
            <v>1</v>
          </cell>
          <cell r="BE252">
            <v>2</v>
          </cell>
          <cell r="BF252">
            <v>1</v>
          </cell>
          <cell r="BG252">
            <v>2</v>
          </cell>
          <cell r="BH252">
            <v>1</v>
          </cell>
          <cell r="BI252">
            <v>2</v>
          </cell>
          <cell r="BJ252">
            <v>2</v>
          </cell>
          <cell r="BK252">
            <v>1</v>
          </cell>
          <cell r="BL252">
            <v>1</v>
          </cell>
          <cell r="BM252">
            <v>1</v>
          </cell>
          <cell r="BN252">
            <v>1</v>
          </cell>
          <cell r="BO252">
            <v>1</v>
          </cell>
          <cell r="BP252">
            <v>1</v>
          </cell>
          <cell r="BQ252">
            <v>1</v>
          </cell>
          <cell r="BR252">
            <v>1</v>
          </cell>
          <cell r="BS252">
            <v>1</v>
          </cell>
          <cell r="BT252">
            <v>1</v>
          </cell>
          <cell r="BU252">
            <v>1</v>
          </cell>
          <cell r="BV252">
            <v>1</v>
          </cell>
        </row>
        <row r="253">
          <cell r="A253" t="str">
            <v>PORSCHE</v>
          </cell>
          <cell r="B253" t="str">
            <v>PO426 Gueset</v>
          </cell>
          <cell r="D253" t="str">
            <v>SHIFT B HC  - operators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</row>
        <row r="254">
          <cell r="A254" t="str">
            <v>PORSCHE</v>
          </cell>
          <cell r="B254" t="str">
            <v>PO426 Gueset</v>
          </cell>
          <cell r="D254" t="str">
            <v>SHIFT C HC  - operators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</row>
        <row r="255">
          <cell r="A255" t="str">
            <v>PORSCHE</v>
          </cell>
          <cell r="B255" t="str">
            <v>PO426 Gueset</v>
          </cell>
          <cell r="D255" t="str">
            <v>Total HC</v>
          </cell>
          <cell r="Z255">
            <v>2</v>
          </cell>
          <cell r="AA255">
            <v>2</v>
          </cell>
          <cell r="AB255">
            <v>2</v>
          </cell>
          <cell r="AC255">
            <v>1</v>
          </cell>
          <cell r="AD255">
            <v>1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J255">
            <v>1</v>
          </cell>
          <cell r="AK255">
            <v>2</v>
          </cell>
          <cell r="AL255">
            <v>2</v>
          </cell>
          <cell r="AM255">
            <v>1</v>
          </cell>
          <cell r="AN255">
            <v>2</v>
          </cell>
          <cell r="AO255">
            <v>1</v>
          </cell>
          <cell r="AP255">
            <v>2</v>
          </cell>
          <cell r="AQ255">
            <v>1</v>
          </cell>
          <cell r="AR255">
            <v>2</v>
          </cell>
          <cell r="AS255">
            <v>1</v>
          </cell>
          <cell r="AT255">
            <v>2</v>
          </cell>
          <cell r="AU255">
            <v>1</v>
          </cell>
          <cell r="AV255">
            <v>2</v>
          </cell>
          <cell r="AW255">
            <v>1</v>
          </cell>
          <cell r="AX255">
            <v>2</v>
          </cell>
          <cell r="AY255">
            <v>1</v>
          </cell>
          <cell r="AZ255">
            <v>2</v>
          </cell>
          <cell r="BA255">
            <v>2</v>
          </cell>
          <cell r="BB255">
            <v>1</v>
          </cell>
          <cell r="BC255">
            <v>2</v>
          </cell>
          <cell r="BD255">
            <v>1</v>
          </cell>
          <cell r="BE255">
            <v>2</v>
          </cell>
          <cell r="BF255">
            <v>1</v>
          </cell>
          <cell r="BG255">
            <v>2</v>
          </cell>
          <cell r="BH255">
            <v>1</v>
          </cell>
          <cell r="BI255">
            <v>2</v>
          </cell>
          <cell r="BJ255">
            <v>2</v>
          </cell>
          <cell r="BK255">
            <v>1</v>
          </cell>
          <cell r="BL255">
            <v>1</v>
          </cell>
          <cell r="BM255">
            <v>1</v>
          </cell>
          <cell r="BN255">
            <v>1</v>
          </cell>
          <cell r="BO255">
            <v>1</v>
          </cell>
          <cell r="BP255">
            <v>1</v>
          </cell>
          <cell r="BQ255">
            <v>1</v>
          </cell>
          <cell r="BR255">
            <v>1</v>
          </cell>
          <cell r="BS255">
            <v>1</v>
          </cell>
          <cell r="BT255">
            <v>1</v>
          </cell>
          <cell r="BU255">
            <v>1</v>
          </cell>
          <cell r="BV255">
            <v>1</v>
          </cell>
        </row>
        <row r="256">
          <cell r="A256" t="str">
            <v>PORSCHE</v>
          </cell>
          <cell r="B256" t="str">
            <v>PO426 Gueset</v>
          </cell>
          <cell r="D256" t="str">
            <v>SHIFT A HC  - efficiency</v>
          </cell>
          <cell r="Z256">
            <v>1</v>
          </cell>
          <cell r="AA256">
            <v>1</v>
          </cell>
          <cell r="AB256">
            <v>1</v>
          </cell>
          <cell r="AC256">
            <v>1</v>
          </cell>
          <cell r="AD256">
            <v>1</v>
          </cell>
          <cell r="AE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1</v>
          </cell>
          <cell r="AJ256">
            <v>1</v>
          </cell>
          <cell r="AK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>
            <v>1</v>
          </cell>
          <cell r="AR256">
            <v>1</v>
          </cell>
          <cell r="AS256">
            <v>1</v>
          </cell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1</v>
          </cell>
          <cell r="BH256">
            <v>1</v>
          </cell>
          <cell r="BI256">
            <v>1</v>
          </cell>
          <cell r="BJ256">
            <v>1</v>
          </cell>
          <cell r="BK256">
            <v>1.2</v>
          </cell>
          <cell r="BL256">
            <v>1.2</v>
          </cell>
          <cell r="BM256">
            <v>1.2</v>
          </cell>
          <cell r="BN256">
            <v>1.2</v>
          </cell>
          <cell r="BO256">
            <v>1.2</v>
          </cell>
          <cell r="BP256">
            <v>1.2</v>
          </cell>
          <cell r="BQ256">
            <v>1.2</v>
          </cell>
          <cell r="BR256">
            <v>1.2</v>
          </cell>
          <cell r="BS256">
            <v>1.2</v>
          </cell>
          <cell r="BT256">
            <v>1.2</v>
          </cell>
          <cell r="BU256">
            <v>1.2</v>
          </cell>
          <cell r="BV256">
            <v>1.2</v>
          </cell>
        </row>
        <row r="257">
          <cell r="A257" t="str">
            <v>PORSCHE</v>
          </cell>
          <cell r="B257" t="str">
            <v>PO426 Gueset</v>
          </cell>
          <cell r="D257" t="str">
            <v>SHIFT B HC  - efficiency</v>
          </cell>
          <cell r="Z257">
            <v>1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1</v>
          </cell>
          <cell r="AJ257">
            <v>1</v>
          </cell>
          <cell r="AK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>
            <v>1</v>
          </cell>
          <cell r="AR257">
            <v>1</v>
          </cell>
          <cell r="AS257">
            <v>1</v>
          </cell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1</v>
          </cell>
          <cell r="AY257">
            <v>1</v>
          </cell>
          <cell r="AZ257">
            <v>1</v>
          </cell>
          <cell r="BA257">
            <v>1</v>
          </cell>
          <cell r="BB257">
            <v>1</v>
          </cell>
          <cell r="BC257">
            <v>1</v>
          </cell>
          <cell r="BD257">
            <v>1</v>
          </cell>
          <cell r="BE257">
            <v>1</v>
          </cell>
          <cell r="BF257">
            <v>1</v>
          </cell>
          <cell r="BG257">
            <v>1</v>
          </cell>
          <cell r="BH257">
            <v>1</v>
          </cell>
          <cell r="BI257">
            <v>1</v>
          </cell>
          <cell r="BJ257">
            <v>1</v>
          </cell>
          <cell r="BK257">
            <v>1</v>
          </cell>
          <cell r="BL257">
            <v>1</v>
          </cell>
          <cell r="BM257">
            <v>1</v>
          </cell>
          <cell r="BN257">
            <v>1</v>
          </cell>
          <cell r="BO257">
            <v>1</v>
          </cell>
          <cell r="BP257">
            <v>1</v>
          </cell>
          <cell r="BQ257">
            <v>1</v>
          </cell>
          <cell r="BR257">
            <v>1</v>
          </cell>
          <cell r="BS257">
            <v>1</v>
          </cell>
          <cell r="BT257">
            <v>1</v>
          </cell>
          <cell r="BU257">
            <v>1</v>
          </cell>
          <cell r="BV257">
            <v>1</v>
          </cell>
        </row>
        <row r="258">
          <cell r="A258" t="str">
            <v>PORSCHE</v>
          </cell>
          <cell r="B258" t="str">
            <v>PO426 Gueset</v>
          </cell>
          <cell r="D258" t="str">
            <v>SHIFT C HC  - efficiency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</v>
          </cell>
          <cell r="AE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1</v>
          </cell>
          <cell r="AJ258">
            <v>1</v>
          </cell>
          <cell r="AK258">
            <v>1</v>
          </cell>
          <cell r="AL258">
            <v>1</v>
          </cell>
          <cell r="AM258">
            <v>1</v>
          </cell>
          <cell r="AN258">
            <v>1</v>
          </cell>
          <cell r="AO258">
            <v>1</v>
          </cell>
          <cell r="AP258">
            <v>1</v>
          </cell>
          <cell r="AQ258">
            <v>1</v>
          </cell>
          <cell r="AR258">
            <v>1</v>
          </cell>
          <cell r="AS258">
            <v>1</v>
          </cell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1</v>
          </cell>
          <cell r="AY258">
            <v>1</v>
          </cell>
          <cell r="AZ258">
            <v>1</v>
          </cell>
          <cell r="BA258">
            <v>1</v>
          </cell>
          <cell r="BB258">
            <v>1</v>
          </cell>
          <cell r="BC258">
            <v>1</v>
          </cell>
          <cell r="BD258">
            <v>1</v>
          </cell>
          <cell r="BE258">
            <v>1</v>
          </cell>
          <cell r="BF258">
            <v>1</v>
          </cell>
          <cell r="BG258">
            <v>1</v>
          </cell>
          <cell r="BH258">
            <v>1</v>
          </cell>
          <cell r="BI258">
            <v>1</v>
          </cell>
          <cell r="BJ258">
            <v>1</v>
          </cell>
          <cell r="BK258">
            <v>1</v>
          </cell>
          <cell r="BL258">
            <v>1</v>
          </cell>
          <cell r="BM258">
            <v>1</v>
          </cell>
          <cell r="BN258">
            <v>1</v>
          </cell>
          <cell r="BO258">
            <v>1</v>
          </cell>
          <cell r="BP258">
            <v>1</v>
          </cell>
          <cell r="BQ258">
            <v>1</v>
          </cell>
          <cell r="BR258">
            <v>1</v>
          </cell>
          <cell r="BS258">
            <v>1</v>
          </cell>
          <cell r="BT258">
            <v>1</v>
          </cell>
          <cell r="BU258">
            <v>1</v>
          </cell>
          <cell r="BV258">
            <v>1</v>
          </cell>
        </row>
        <row r="259">
          <cell r="A259" t="str">
            <v>PORSCHE</v>
          </cell>
          <cell r="B259" t="str">
            <v>PO426 Gueset</v>
          </cell>
          <cell r="D259" t="str">
            <v>Total efficiency</v>
          </cell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</row>
        <row r="260">
          <cell r="A260" t="str">
            <v>PORSCHE</v>
          </cell>
          <cell r="B260" t="str">
            <v>PO426 Gueset</v>
          </cell>
          <cell r="D260" t="str">
            <v>SHIFT A - output</v>
          </cell>
          <cell r="Z260">
            <v>441.89129474149354</v>
          </cell>
          <cell r="AA260">
            <v>441.89129474149354</v>
          </cell>
          <cell r="AB260">
            <v>441.89129474149354</v>
          </cell>
          <cell r="AC260">
            <v>220.94564737074677</v>
          </cell>
          <cell r="AD260">
            <v>220.94564737074677</v>
          </cell>
          <cell r="AE260">
            <v>220.94564737074677</v>
          </cell>
          <cell r="AF260">
            <v>220.94564737074677</v>
          </cell>
          <cell r="AG260">
            <v>220.94564737074677</v>
          </cell>
          <cell r="AH260">
            <v>220.94564737074677</v>
          </cell>
          <cell r="AI260">
            <v>220.94564737074677</v>
          </cell>
          <cell r="AJ260">
            <v>220.94564737074677</v>
          </cell>
          <cell r="AK260">
            <v>441.89129474149354</v>
          </cell>
          <cell r="AL260">
            <v>441.89129474149354</v>
          </cell>
          <cell r="AM260">
            <v>220.94564737074677</v>
          </cell>
          <cell r="AN260">
            <v>441.89129474149354</v>
          </cell>
          <cell r="AO260">
            <v>220.94564737074677</v>
          </cell>
          <cell r="AP260">
            <v>441.89129474149354</v>
          </cell>
          <cell r="AQ260">
            <v>220.94564737074677</v>
          </cell>
          <cell r="AR260">
            <v>441.89129474149354</v>
          </cell>
          <cell r="AS260">
            <v>220.94564737074677</v>
          </cell>
          <cell r="AT260">
            <v>441.89129474149354</v>
          </cell>
          <cell r="AU260">
            <v>220.94564737074677</v>
          </cell>
          <cell r="AV260">
            <v>441.89129474149354</v>
          </cell>
          <cell r="AW260">
            <v>220.94564737074677</v>
          </cell>
          <cell r="AX260">
            <v>441.89129474149354</v>
          </cell>
          <cell r="AY260">
            <v>220.94564737074677</v>
          </cell>
          <cell r="AZ260">
            <v>441.89129474149354</v>
          </cell>
          <cell r="BA260">
            <v>441.89129474149354</v>
          </cell>
          <cell r="BB260">
            <v>220.94564737074677</v>
          </cell>
          <cell r="BC260">
            <v>441.89129474149354</v>
          </cell>
          <cell r="BD260">
            <v>220.94564737074677</v>
          </cell>
          <cell r="BE260">
            <v>441.89129474149354</v>
          </cell>
          <cell r="BF260">
            <v>220.94564737074677</v>
          </cell>
          <cell r="BG260">
            <v>441.89129474149354</v>
          </cell>
          <cell r="BH260">
            <v>220.94564737074677</v>
          </cell>
          <cell r="BI260">
            <v>441.89129474149354</v>
          </cell>
          <cell r="BJ260">
            <v>441.89129474149354</v>
          </cell>
          <cell r="BK260">
            <v>265.13477684489612</v>
          </cell>
          <cell r="BL260">
            <v>265.13477684489612</v>
          </cell>
          <cell r="BM260">
            <v>265.13477684489612</v>
          </cell>
          <cell r="BN260">
            <v>265.13477684489612</v>
          </cell>
          <cell r="BO260">
            <v>265.13477684489612</v>
          </cell>
          <cell r="BP260">
            <v>265.13477684489612</v>
          </cell>
          <cell r="BQ260">
            <v>265.13477684489612</v>
          </cell>
          <cell r="BR260">
            <v>265.13477684489612</v>
          </cell>
          <cell r="BS260">
            <v>265.13477684489612</v>
          </cell>
          <cell r="BT260">
            <v>265.13477684489612</v>
          </cell>
          <cell r="BU260">
            <v>265.13477684489612</v>
          </cell>
          <cell r="BV260">
            <v>265.13477684489612</v>
          </cell>
        </row>
        <row r="261">
          <cell r="A261" t="str">
            <v>PORSCHE</v>
          </cell>
          <cell r="B261" t="str">
            <v>PO426 Gueset</v>
          </cell>
          <cell r="D261" t="str">
            <v>SHIFT B  - output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</row>
        <row r="262">
          <cell r="A262" t="str">
            <v>PORSCHE</v>
          </cell>
          <cell r="B262" t="str">
            <v>PO426 Gueset</v>
          </cell>
          <cell r="D262" t="str">
            <v>SHIFT C  - output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</row>
        <row r="263">
          <cell r="A263" t="str">
            <v>PORSCHE</v>
          </cell>
          <cell r="B263" t="str">
            <v>PO426 Gueset</v>
          </cell>
          <cell r="D263" t="str">
            <v>Est. Output (Pcs day)</v>
          </cell>
          <cell r="E263">
            <v>2.0367000000000002</v>
          </cell>
          <cell r="Z263">
            <v>441.89129474149354</v>
          </cell>
          <cell r="AA263">
            <v>441.89129474149354</v>
          </cell>
          <cell r="AB263">
            <v>441.89129474149354</v>
          </cell>
          <cell r="AC263">
            <v>220.94564737074677</v>
          </cell>
          <cell r="AD263">
            <v>220.94564737074677</v>
          </cell>
          <cell r="AE263">
            <v>220.94564737074677</v>
          </cell>
          <cell r="AF263">
            <v>220.94564737074677</v>
          </cell>
          <cell r="AG263">
            <v>220.94564737074677</v>
          </cell>
          <cell r="AH263">
            <v>220.94564737074677</v>
          </cell>
          <cell r="AI263">
            <v>220.94564737074677</v>
          </cell>
          <cell r="AJ263">
            <v>220.94564737074677</v>
          </cell>
          <cell r="AK263">
            <v>441.89129474149354</v>
          </cell>
          <cell r="AL263">
            <v>441.89129474149354</v>
          </cell>
          <cell r="AM263">
            <v>220.94564737074677</v>
          </cell>
          <cell r="AN263">
            <v>441.89129474149354</v>
          </cell>
          <cell r="AO263">
            <v>220.94564737074677</v>
          </cell>
          <cell r="AP263">
            <v>441.89129474149354</v>
          </cell>
          <cell r="AQ263">
            <v>220.94564737074677</v>
          </cell>
          <cell r="AR263">
            <v>441.89129474149354</v>
          </cell>
          <cell r="AS263">
            <v>220.94564737074677</v>
          </cell>
          <cell r="AT263">
            <v>441.89129474149354</v>
          </cell>
          <cell r="AU263">
            <v>220.94564737074677</v>
          </cell>
          <cell r="AV263">
            <v>441.89129474149354</v>
          </cell>
          <cell r="AW263">
            <v>220.94564737074677</v>
          </cell>
          <cell r="AX263">
            <v>441.89129474149354</v>
          </cell>
          <cell r="AY263">
            <v>220.94564737074677</v>
          </cell>
          <cell r="AZ263">
            <v>441.89129474149354</v>
          </cell>
          <cell r="BA263">
            <v>441.89129474149354</v>
          </cell>
          <cell r="BB263">
            <v>220.94564737074677</v>
          </cell>
          <cell r="BC263">
            <v>441.89129474149354</v>
          </cell>
          <cell r="BD263">
            <v>220.94564737074677</v>
          </cell>
          <cell r="BE263">
            <v>441.89129474149354</v>
          </cell>
          <cell r="BF263">
            <v>220.94564737074677</v>
          </cell>
          <cell r="BG263">
            <v>441.89129474149354</v>
          </cell>
          <cell r="BH263">
            <v>220.94564737074677</v>
          </cell>
          <cell r="BI263">
            <v>441.89129474149354</v>
          </cell>
          <cell r="BJ263">
            <v>441.89129474149354</v>
          </cell>
          <cell r="BK263">
            <v>265.13477684489612</v>
          </cell>
          <cell r="BL263">
            <v>265.13477684489612</v>
          </cell>
          <cell r="BM263">
            <v>265.13477684489612</v>
          </cell>
          <cell r="BN263">
            <v>265.13477684489612</v>
          </cell>
          <cell r="BO263">
            <v>265.13477684489612</v>
          </cell>
          <cell r="BP263">
            <v>265.13477684489612</v>
          </cell>
          <cell r="BQ263">
            <v>265.13477684489612</v>
          </cell>
          <cell r="BR263">
            <v>265.13477684489612</v>
          </cell>
          <cell r="BS263">
            <v>265.13477684489612</v>
          </cell>
          <cell r="BT263">
            <v>265.13477684489612</v>
          </cell>
          <cell r="BU263">
            <v>265.13477684489612</v>
          </cell>
          <cell r="BV263">
            <v>265.13477684489612</v>
          </cell>
        </row>
        <row r="264">
          <cell r="A264" t="str">
            <v>PORSCHE</v>
          </cell>
          <cell r="B264" t="str">
            <v>PO426 Gueset</v>
          </cell>
          <cell r="D264" t="str">
            <v>Weekly Output PLAN</v>
          </cell>
          <cell r="E264" t="str">
            <v>SEW</v>
          </cell>
          <cell r="Z264">
            <v>883.78258948298708</v>
          </cell>
          <cell r="AA264">
            <v>2209.4564737074679</v>
          </cell>
          <cell r="AB264">
            <v>2209.4564737074679</v>
          </cell>
          <cell r="AC264">
            <v>1104.728236853734</v>
          </cell>
          <cell r="AD264">
            <v>662.83694211224031</v>
          </cell>
          <cell r="AE264">
            <v>1104.728236853734</v>
          </cell>
          <cell r="AF264">
            <v>1104.728236853734</v>
          </cell>
          <cell r="AG264">
            <v>1104.728236853734</v>
          </cell>
          <cell r="AH264">
            <v>1104.728236853734</v>
          </cell>
          <cell r="AI264">
            <v>1104.728236853734</v>
          </cell>
          <cell r="AJ264">
            <v>1104.728236853734</v>
          </cell>
          <cell r="AK264">
            <v>1767.5651789659742</v>
          </cell>
          <cell r="AL264">
            <v>1767.5651789659742</v>
          </cell>
          <cell r="AM264">
            <v>1104.728236853734</v>
          </cell>
          <cell r="AN264">
            <v>1767.5651789659742</v>
          </cell>
          <cell r="AO264">
            <v>1104.728236853734</v>
          </cell>
          <cell r="AP264">
            <v>2209.4564737074679</v>
          </cell>
          <cell r="AQ264">
            <v>1104.728236853734</v>
          </cell>
          <cell r="AR264">
            <v>2209.4564737074679</v>
          </cell>
          <cell r="AS264">
            <v>1104.728236853734</v>
          </cell>
          <cell r="AT264">
            <v>2209.4564737074679</v>
          </cell>
          <cell r="AU264">
            <v>1104.728236853734</v>
          </cell>
          <cell r="AV264">
            <v>2209.4564737074679</v>
          </cell>
          <cell r="AW264">
            <v>1104.728236853734</v>
          </cell>
          <cell r="AX264">
            <v>2209.4564737074679</v>
          </cell>
          <cell r="AY264">
            <v>1104.728236853734</v>
          </cell>
          <cell r="AZ264">
            <v>0</v>
          </cell>
          <cell r="BA264">
            <v>0</v>
          </cell>
          <cell r="BB264">
            <v>1104.728236853734</v>
          </cell>
          <cell r="BC264">
            <v>2209.4564737074679</v>
          </cell>
          <cell r="BD264">
            <v>1104.728236853734</v>
          </cell>
          <cell r="BE264">
            <v>2209.4564737074679</v>
          </cell>
          <cell r="BF264">
            <v>1104.728236853734</v>
          </cell>
          <cell r="BG264">
            <v>2209.4564737074679</v>
          </cell>
          <cell r="BH264">
            <v>1104.728236853734</v>
          </cell>
          <cell r="BI264">
            <v>2209.4564737074679</v>
          </cell>
          <cell r="BJ264">
            <v>2209.4564737074679</v>
          </cell>
          <cell r="BK264">
            <v>1325.6738842244806</v>
          </cell>
          <cell r="BL264">
            <v>265.13477684489612</v>
          </cell>
          <cell r="BM264">
            <v>265.13477684489612</v>
          </cell>
          <cell r="BN264">
            <v>265.13477684489612</v>
          </cell>
          <cell r="BO264">
            <v>265.13477684489612</v>
          </cell>
          <cell r="BP264">
            <v>265.13477684489612</v>
          </cell>
          <cell r="BQ264">
            <v>265.13477684489612</v>
          </cell>
          <cell r="BR264">
            <v>265.13477684489612</v>
          </cell>
          <cell r="BS264">
            <v>265.13477684489612</v>
          </cell>
          <cell r="BT264">
            <v>265.13477684489612</v>
          </cell>
          <cell r="BU264">
            <v>265.13477684489612</v>
          </cell>
          <cell r="BV264">
            <v>265.13477684489612</v>
          </cell>
        </row>
        <row r="265">
          <cell r="A265" t="str">
            <v>PORSCHE</v>
          </cell>
          <cell r="B265" t="str">
            <v>PO426 Gueset</v>
          </cell>
          <cell r="D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</row>
        <row r="266">
          <cell r="A266" t="str">
            <v>PORSCHE</v>
          </cell>
          <cell r="B266" t="str">
            <v>PO426 Gueset</v>
          </cell>
          <cell r="D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</row>
        <row r="267">
          <cell r="A267" t="str">
            <v>PORSCHE</v>
          </cell>
          <cell r="B267" t="str">
            <v>PO426 Gueset</v>
          </cell>
          <cell r="D267" t="str">
            <v>Gueset</v>
          </cell>
          <cell r="E267">
            <v>2.0367000000000002</v>
          </cell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</row>
        <row r="268">
          <cell r="A268" t="str">
            <v>PORSCHE</v>
          </cell>
          <cell r="B268" t="str">
            <v>PO426 Gueset</v>
          </cell>
          <cell r="D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</row>
        <row r="269">
          <cell r="A269" t="str">
            <v>PORSCHE</v>
          </cell>
          <cell r="B269" t="str">
            <v>PO426 Gueset</v>
          </cell>
          <cell r="D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</row>
        <row r="270">
          <cell r="A270" t="str">
            <v>PORSCHE</v>
          </cell>
          <cell r="B270" t="str">
            <v>PO426 Gueset</v>
          </cell>
          <cell r="D270" t="str">
            <v>Weekly Output PLAN - SUM of models</v>
          </cell>
          <cell r="Z270">
            <v>883.78258948298708</v>
          </cell>
          <cell r="AA270">
            <v>2209.4564737074679</v>
          </cell>
          <cell r="AB270">
            <v>2209.4564737074679</v>
          </cell>
          <cell r="AC270">
            <v>1104.728236853734</v>
          </cell>
          <cell r="AD270">
            <v>662.83694211224031</v>
          </cell>
          <cell r="AE270">
            <v>1104.728236853734</v>
          </cell>
          <cell r="AF270">
            <v>1104.728236853734</v>
          </cell>
          <cell r="AG270">
            <v>1104.728236853734</v>
          </cell>
          <cell r="AH270">
            <v>1104.728236853734</v>
          </cell>
          <cell r="AI270">
            <v>1104.728236853734</v>
          </cell>
          <cell r="AJ270">
            <v>1104.728236853734</v>
          </cell>
          <cell r="AK270">
            <v>1767.5651789659742</v>
          </cell>
          <cell r="AL270">
            <v>1767.5651789659742</v>
          </cell>
          <cell r="AM270">
            <v>1104.728236853734</v>
          </cell>
          <cell r="AN270">
            <v>1767.5651789659742</v>
          </cell>
          <cell r="AO270">
            <v>1104.728236853734</v>
          </cell>
          <cell r="AP270">
            <v>2209.4564737074679</v>
          </cell>
          <cell r="AQ270">
            <v>1104.728236853734</v>
          </cell>
          <cell r="AR270">
            <v>2209.4564737074679</v>
          </cell>
          <cell r="AS270">
            <v>1104.728236853734</v>
          </cell>
          <cell r="AT270">
            <v>2209.4564737074679</v>
          </cell>
          <cell r="AU270">
            <v>1104.728236853734</v>
          </cell>
          <cell r="AV270">
            <v>2209.4564737074679</v>
          </cell>
          <cell r="AW270">
            <v>1104.728236853734</v>
          </cell>
          <cell r="AX270">
            <v>2209.4564737074679</v>
          </cell>
          <cell r="AY270">
            <v>1104.728236853734</v>
          </cell>
          <cell r="AZ270">
            <v>0</v>
          </cell>
          <cell r="BA270">
            <v>0</v>
          </cell>
          <cell r="BB270">
            <v>1104.728236853734</v>
          </cell>
          <cell r="BC270">
            <v>2209.4564737074679</v>
          </cell>
          <cell r="BD270">
            <v>1104.728236853734</v>
          </cell>
          <cell r="BE270">
            <v>2209.4564737074679</v>
          </cell>
          <cell r="BF270">
            <v>1104.728236853734</v>
          </cell>
          <cell r="BG270">
            <v>2209.4564737074679</v>
          </cell>
          <cell r="BH270">
            <v>1104.728236853734</v>
          </cell>
          <cell r="BI270">
            <v>2209.4564737074679</v>
          </cell>
          <cell r="BJ270">
            <v>2209.4564737074679</v>
          </cell>
          <cell r="BK270">
            <v>1325.6738842244806</v>
          </cell>
          <cell r="BL270">
            <v>265.13477684489612</v>
          </cell>
          <cell r="BM270">
            <v>265.13477684489612</v>
          </cell>
          <cell r="BN270">
            <v>265.13477684489612</v>
          </cell>
          <cell r="BO270">
            <v>265.13477684489612</v>
          </cell>
          <cell r="BP270">
            <v>265.13477684489612</v>
          </cell>
          <cell r="BQ270">
            <v>265.13477684489612</v>
          </cell>
          <cell r="BR270">
            <v>265.13477684489612</v>
          </cell>
          <cell r="BS270">
            <v>265.13477684489612</v>
          </cell>
          <cell r="BT270">
            <v>265.13477684489612</v>
          </cell>
          <cell r="BU270">
            <v>265.13477684489612</v>
          </cell>
          <cell r="BV270">
            <v>265.13477684489612</v>
          </cell>
        </row>
        <row r="271">
          <cell r="A271" t="str">
            <v>PORSCHE</v>
          </cell>
          <cell r="B271" t="str">
            <v>PO426 Gueset</v>
          </cell>
          <cell r="D271" t="str">
            <v>Weekly Output CHECK with TO time multiple</v>
          </cell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</row>
        <row r="272">
          <cell r="A272" t="str">
            <v>PORSCHE</v>
          </cell>
          <cell r="B272" t="str">
            <v>PO426 Gueset</v>
          </cell>
          <cell r="D272" t="str">
            <v>Weekly Output ACT</v>
          </cell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</row>
        <row r="273">
          <cell r="A273" t="str">
            <v>PORSCHE</v>
          </cell>
          <cell r="B273" t="str">
            <v>PO426 Gueset</v>
          </cell>
          <cell r="D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</row>
        <row r="274">
          <cell r="A274" t="str">
            <v>PORSCHE</v>
          </cell>
          <cell r="B274" t="str">
            <v>PO426 Gueset</v>
          </cell>
          <cell r="D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</row>
        <row r="275">
          <cell r="A275" t="str">
            <v>PORSCHE</v>
          </cell>
          <cell r="B275" t="str">
            <v>PO426 Gueset</v>
          </cell>
          <cell r="D275" t="str">
            <v>Gueset</v>
          </cell>
          <cell r="Z275">
            <v>2100</v>
          </cell>
          <cell r="AA275">
            <v>0</v>
          </cell>
          <cell r="AB275">
            <v>2964</v>
          </cell>
          <cell r="AC275">
            <v>0</v>
          </cell>
          <cell r="AD275">
            <v>720</v>
          </cell>
          <cell r="AE275">
            <v>792</v>
          </cell>
          <cell r="AF275">
            <v>816</v>
          </cell>
          <cell r="AG275">
            <v>912</v>
          </cell>
          <cell r="AH275">
            <v>1224</v>
          </cell>
          <cell r="AI275">
            <v>1296</v>
          </cell>
          <cell r="AJ275">
            <v>936</v>
          </cell>
          <cell r="AK275">
            <v>1200</v>
          </cell>
          <cell r="AL275">
            <v>1032</v>
          </cell>
          <cell r="AM275">
            <v>1416</v>
          </cell>
          <cell r="AN275">
            <v>1248</v>
          </cell>
          <cell r="AO275">
            <v>6456</v>
          </cell>
          <cell r="AP275">
            <v>0</v>
          </cell>
          <cell r="AQ275">
            <v>0</v>
          </cell>
          <cell r="AR275">
            <v>0</v>
          </cell>
          <cell r="AS275">
            <v>5616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5328</v>
          </cell>
          <cell r="AY275">
            <v>0</v>
          </cell>
          <cell r="AZ275">
            <v>0</v>
          </cell>
          <cell r="BA275">
            <v>0</v>
          </cell>
          <cell r="BB275">
            <v>5328</v>
          </cell>
          <cell r="BC275">
            <v>0</v>
          </cell>
          <cell r="BD275">
            <v>0</v>
          </cell>
          <cell r="BE275">
            <v>5328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</row>
        <row r="276">
          <cell r="A276" t="str">
            <v>PORSCHE</v>
          </cell>
          <cell r="B276" t="str">
            <v>PO426 Gueset</v>
          </cell>
          <cell r="D276">
            <v>0</v>
          </cell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</row>
        <row r="277">
          <cell r="A277" t="str">
            <v>PORSCHE</v>
          </cell>
          <cell r="B277" t="str">
            <v>PO426 Gueset</v>
          </cell>
          <cell r="D277">
            <v>0</v>
          </cell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</row>
        <row r="278">
          <cell r="A278" t="str">
            <v>PORSCHE</v>
          </cell>
          <cell r="B278" t="str">
            <v>PO426 Gueset</v>
          </cell>
          <cell r="D278" t="str">
            <v>Weekly demand</v>
          </cell>
          <cell r="Z278">
            <v>2100</v>
          </cell>
          <cell r="AA278">
            <v>0</v>
          </cell>
          <cell r="AB278">
            <v>2964</v>
          </cell>
          <cell r="AC278">
            <v>0</v>
          </cell>
          <cell r="AD278">
            <v>720</v>
          </cell>
          <cell r="AE278">
            <v>792</v>
          </cell>
          <cell r="AF278">
            <v>816</v>
          </cell>
          <cell r="AG278">
            <v>912</v>
          </cell>
          <cell r="AH278">
            <v>1224</v>
          </cell>
          <cell r="AI278">
            <v>1296</v>
          </cell>
          <cell r="AJ278">
            <v>936</v>
          </cell>
          <cell r="AK278">
            <v>1200</v>
          </cell>
          <cell r="AL278">
            <v>1032</v>
          </cell>
          <cell r="AM278">
            <v>1416</v>
          </cell>
          <cell r="AN278">
            <v>1248</v>
          </cell>
          <cell r="AO278">
            <v>6456</v>
          </cell>
          <cell r="AP278">
            <v>0</v>
          </cell>
          <cell r="AQ278">
            <v>0</v>
          </cell>
          <cell r="AR278">
            <v>0</v>
          </cell>
          <cell r="AS278">
            <v>5616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5328</v>
          </cell>
          <cell r="AY278">
            <v>0</v>
          </cell>
          <cell r="AZ278">
            <v>0</v>
          </cell>
          <cell r="BA278">
            <v>0</v>
          </cell>
          <cell r="BB278">
            <v>5328</v>
          </cell>
          <cell r="BC278">
            <v>0</v>
          </cell>
          <cell r="BD278">
            <v>0</v>
          </cell>
          <cell r="BE278">
            <v>5328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</row>
        <row r="279">
          <cell r="A279" t="str">
            <v>PORSCHE</v>
          </cell>
          <cell r="B279" t="str">
            <v>PO426 Gueset</v>
          </cell>
          <cell r="D279" t="str">
            <v>Stock Target</v>
          </cell>
          <cell r="Z279">
            <v>1200</v>
          </cell>
          <cell r="AA279">
            <v>1200</v>
          </cell>
          <cell r="AB279">
            <v>1200</v>
          </cell>
          <cell r="AC279">
            <v>1200</v>
          </cell>
          <cell r="AD279">
            <v>1200</v>
          </cell>
          <cell r="AE279">
            <v>1200</v>
          </cell>
          <cell r="AF279">
            <v>1200</v>
          </cell>
          <cell r="AG279">
            <v>800</v>
          </cell>
          <cell r="AH279">
            <v>800</v>
          </cell>
          <cell r="AI279">
            <v>800</v>
          </cell>
          <cell r="AJ279">
            <v>800</v>
          </cell>
          <cell r="AK279">
            <v>800</v>
          </cell>
          <cell r="AL279">
            <v>800</v>
          </cell>
          <cell r="AM279">
            <v>800</v>
          </cell>
          <cell r="AN279">
            <v>800</v>
          </cell>
          <cell r="AO279">
            <v>800</v>
          </cell>
          <cell r="AP279">
            <v>800</v>
          </cell>
          <cell r="AQ279">
            <v>800</v>
          </cell>
          <cell r="AR279">
            <v>800</v>
          </cell>
          <cell r="AS279">
            <v>800</v>
          </cell>
          <cell r="AT279">
            <v>800</v>
          </cell>
          <cell r="AU279">
            <v>800</v>
          </cell>
          <cell r="AV279">
            <v>800</v>
          </cell>
          <cell r="AW279">
            <v>800</v>
          </cell>
          <cell r="AX279">
            <v>800</v>
          </cell>
          <cell r="AY279">
            <v>800</v>
          </cell>
          <cell r="AZ279">
            <v>800</v>
          </cell>
          <cell r="BA279">
            <v>800</v>
          </cell>
          <cell r="BB279">
            <v>800</v>
          </cell>
          <cell r="BC279">
            <v>800</v>
          </cell>
          <cell r="BD279">
            <v>2500</v>
          </cell>
          <cell r="BE279">
            <v>2500</v>
          </cell>
          <cell r="BF279">
            <v>2500</v>
          </cell>
          <cell r="BG279">
            <v>2500</v>
          </cell>
          <cell r="BH279">
            <v>2500</v>
          </cell>
          <cell r="BI279">
            <v>2500</v>
          </cell>
          <cell r="BJ279">
            <v>2500</v>
          </cell>
          <cell r="BK279">
            <v>2500</v>
          </cell>
          <cell r="BL279">
            <v>2500</v>
          </cell>
          <cell r="BM279">
            <v>2500</v>
          </cell>
          <cell r="BN279">
            <v>2500</v>
          </cell>
          <cell r="BO279">
            <v>2500</v>
          </cell>
          <cell r="BP279">
            <v>2500</v>
          </cell>
          <cell r="BQ279">
            <v>2500</v>
          </cell>
          <cell r="BR279">
            <v>2500</v>
          </cell>
          <cell r="BS279">
            <v>2500</v>
          </cell>
          <cell r="BT279">
            <v>2500</v>
          </cell>
          <cell r="BU279">
            <v>2500</v>
          </cell>
          <cell r="BV279">
            <v>2500</v>
          </cell>
        </row>
        <row r="280">
          <cell r="A280" t="str">
            <v>PORSCHE</v>
          </cell>
          <cell r="B280" t="str">
            <v>PO426 Gueset</v>
          </cell>
          <cell r="D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</row>
        <row r="281">
          <cell r="A281" t="str">
            <v>PORSCHE</v>
          </cell>
          <cell r="B281" t="str">
            <v>PO426 Gueset</v>
          </cell>
          <cell r="D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</row>
        <row r="282">
          <cell r="A282" t="str">
            <v>PORSCHE</v>
          </cell>
          <cell r="B282" t="str">
            <v>PO426 Gueset</v>
          </cell>
          <cell r="D282" t="str">
            <v>Gueset</v>
          </cell>
          <cell r="Z282">
            <v>0</v>
          </cell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</row>
        <row r="283">
          <cell r="A283" t="str">
            <v>PORSCHE</v>
          </cell>
          <cell r="B283" t="str">
            <v>PO426 Gueset</v>
          </cell>
          <cell r="D283">
            <v>0</v>
          </cell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</row>
        <row r="284">
          <cell r="A284" t="str">
            <v>PORSCHE</v>
          </cell>
          <cell r="B284" t="str">
            <v>PO426 Gueset</v>
          </cell>
          <cell r="D284">
            <v>0</v>
          </cell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</row>
        <row r="285">
          <cell r="A285" t="str">
            <v>PORSCHE</v>
          </cell>
          <cell r="B285" t="str">
            <v>PO426 Gueset</v>
          </cell>
          <cell r="D285" t="str">
            <v>STOCK</v>
          </cell>
          <cell r="Z285">
            <v>0</v>
          </cell>
          <cell r="AA285">
            <v>2209.4564737074679</v>
          </cell>
          <cell r="AB285">
            <v>1454.9129474149358</v>
          </cell>
          <cell r="AC285">
            <v>2559.6411842686698</v>
          </cell>
          <cell r="AD285">
            <v>2502.47812638091</v>
          </cell>
          <cell r="AE285">
            <v>2815.206363234644</v>
          </cell>
          <cell r="AF285">
            <v>3103.9346000883779</v>
          </cell>
          <cell r="AG285">
            <v>3296.6628369421119</v>
          </cell>
          <cell r="AH285">
            <v>3177.3910737958458</v>
          </cell>
          <cell r="AI285">
            <v>2986.1193106495798</v>
          </cell>
          <cell r="AJ285">
            <v>3154.8475475033138</v>
          </cell>
          <cell r="AK285">
            <v>3722.4127264692879</v>
          </cell>
          <cell r="AL285">
            <v>4457.9779054352621</v>
          </cell>
          <cell r="AM285">
            <v>4146.7061422889965</v>
          </cell>
          <cell r="AN285">
            <v>4666.2713212549706</v>
          </cell>
          <cell r="AO285">
            <v>-685.0004418912954</v>
          </cell>
          <cell r="AP285">
            <v>1524.4560318161725</v>
          </cell>
          <cell r="AQ285">
            <v>2629.1842686699065</v>
          </cell>
          <cell r="AR285">
            <v>4838.6407423773744</v>
          </cell>
          <cell r="AS285">
            <v>327.36897923110837</v>
          </cell>
          <cell r="AT285">
            <v>2536.8254529385763</v>
          </cell>
          <cell r="AU285">
            <v>3641.5536897923103</v>
          </cell>
          <cell r="AV285">
            <v>5851.0101634997782</v>
          </cell>
          <cell r="AW285">
            <v>6955.7384003535117</v>
          </cell>
          <cell r="AX285">
            <v>3837.1948740609796</v>
          </cell>
          <cell r="AY285">
            <v>4941.9231109147131</v>
          </cell>
          <cell r="AZ285">
            <v>4941.9231109147131</v>
          </cell>
          <cell r="BA285">
            <v>4941.9231109147131</v>
          </cell>
          <cell r="BB285">
            <v>718.65134776844707</v>
          </cell>
          <cell r="BC285">
            <v>2928.107821475915</v>
          </cell>
          <cell r="BD285">
            <v>4032.8360583296489</v>
          </cell>
          <cell r="BE285">
            <v>914.29253203711687</v>
          </cell>
          <cell r="BF285">
            <v>2019.0207688908508</v>
          </cell>
          <cell r="BG285">
            <v>4228.4772425983192</v>
          </cell>
          <cell r="BH285">
            <v>5333.2054794520536</v>
          </cell>
          <cell r="BI285">
            <v>7542.6619531595215</v>
          </cell>
          <cell r="BJ285">
            <v>9752.1184268669895</v>
          </cell>
          <cell r="BK285">
            <v>11077.792311091471</v>
          </cell>
          <cell r="BL285">
            <v>11342.927087936367</v>
          </cell>
          <cell r="BM285">
            <v>11608.061864781263</v>
          </cell>
          <cell r="BN285">
            <v>11873.196641626158</v>
          </cell>
          <cell r="BO285">
            <v>12138.331418471054</v>
          </cell>
          <cell r="BP285">
            <v>12403.46619531595</v>
          </cell>
          <cell r="BQ285">
            <v>12668.600972160846</v>
          </cell>
          <cell r="BR285">
            <v>12933.735749005742</v>
          </cell>
          <cell r="BS285">
            <v>13198.870525850638</v>
          </cell>
          <cell r="BT285">
            <v>13464.005302695534</v>
          </cell>
          <cell r="BU285">
            <v>13729.14007954043</v>
          </cell>
          <cell r="BV285">
            <v>13994.274856385326</v>
          </cell>
        </row>
        <row r="286">
          <cell r="A286" t="str">
            <v>Blank</v>
          </cell>
          <cell r="B286" t="str">
            <v>Blank</v>
          </cell>
          <cell r="D286" t="str">
            <v>Blank</v>
          </cell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</row>
        <row r="287">
          <cell r="A287" t="str">
            <v>PORSCHE</v>
          </cell>
          <cell r="B287" t="str">
            <v>PO426 FHR&amp;ROHR</v>
          </cell>
          <cell r="D287" t="str">
            <v>Work days</v>
          </cell>
          <cell r="Z287">
            <v>5</v>
          </cell>
          <cell r="AA287">
            <v>5</v>
          </cell>
          <cell r="AB287">
            <v>5</v>
          </cell>
          <cell r="AC287">
            <v>5</v>
          </cell>
          <cell r="AD287">
            <v>3</v>
          </cell>
          <cell r="AE287">
            <v>5</v>
          </cell>
          <cell r="AF287">
            <v>5</v>
          </cell>
          <cell r="AG287">
            <v>5</v>
          </cell>
          <cell r="AH287">
            <v>5</v>
          </cell>
          <cell r="AI287">
            <v>5</v>
          </cell>
          <cell r="AJ287">
            <v>5</v>
          </cell>
          <cell r="AK287">
            <v>4</v>
          </cell>
          <cell r="AL287">
            <v>4</v>
          </cell>
          <cell r="AM287">
            <v>5</v>
          </cell>
          <cell r="AN287">
            <v>4</v>
          </cell>
          <cell r="AO287">
            <v>5</v>
          </cell>
          <cell r="AP287">
            <v>5</v>
          </cell>
          <cell r="AQ287">
            <v>5</v>
          </cell>
          <cell r="AR287">
            <v>5</v>
          </cell>
          <cell r="AS287">
            <v>5</v>
          </cell>
          <cell r="AT287">
            <v>5</v>
          </cell>
          <cell r="AU287">
            <v>5</v>
          </cell>
          <cell r="AV287">
            <v>5</v>
          </cell>
          <cell r="AW287">
            <v>5</v>
          </cell>
          <cell r="AX287">
            <v>5</v>
          </cell>
          <cell r="AY287">
            <v>5</v>
          </cell>
          <cell r="AZ287">
            <v>0</v>
          </cell>
          <cell r="BA287">
            <v>0</v>
          </cell>
          <cell r="BB287">
            <v>5</v>
          </cell>
          <cell r="BC287">
            <v>5</v>
          </cell>
          <cell r="BD287">
            <v>5</v>
          </cell>
          <cell r="BE287">
            <v>5</v>
          </cell>
          <cell r="BF287">
            <v>5</v>
          </cell>
          <cell r="BG287">
            <v>5</v>
          </cell>
          <cell r="BH287">
            <v>5</v>
          </cell>
          <cell r="BI287">
            <v>5</v>
          </cell>
          <cell r="BJ287">
            <v>5</v>
          </cell>
          <cell r="BK287">
            <v>5</v>
          </cell>
          <cell r="BL287">
            <v>2</v>
          </cell>
          <cell r="BM287">
            <v>2</v>
          </cell>
          <cell r="BN287">
            <v>3</v>
          </cell>
          <cell r="BO287">
            <v>3</v>
          </cell>
          <cell r="BP287">
            <v>3</v>
          </cell>
          <cell r="BQ287">
            <v>3</v>
          </cell>
          <cell r="BR287">
            <v>3</v>
          </cell>
          <cell r="BS287">
            <v>3</v>
          </cell>
          <cell r="BT287">
            <v>3</v>
          </cell>
          <cell r="BU287">
            <v>3</v>
          </cell>
          <cell r="BV287">
            <v>3</v>
          </cell>
        </row>
        <row r="288">
          <cell r="A288" t="str">
            <v>PORSCHE</v>
          </cell>
          <cell r="B288" t="str">
            <v>PO426 FHR&amp;ROHR</v>
          </cell>
          <cell r="D288" t="str">
            <v>SHIFT A HC - operators</v>
          </cell>
          <cell r="Z288">
            <v>3</v>
          </cell>
          <cell r="AA288">
            <v>3</v>
          </cell>
          <cell r="AB288">
            <v>3</v>
          </cell>
          <cell r="AC288">
            <v>4</v>
          </cell>
          <cell r="AD288">
            <v>4</v>
          </cell>
          <cell r="AE288">
            <v>4</v>
          </cell>
          <cell r="AF288">
            <v>4</v>
          </cell>
          <cell r="AG288">
            <v>3</v>
          </cell>
          <cell r="AH288">
            <v>3</v>
          </cell>
          <cell r="AI288">
            <v>3</v>
          </cell>
          <cell r="AJ288">
            <v>3</v>
          </cell>
          <cell r="AK288">
            <v>3</v>
          </cell>
          <cell r="AL288">
            <v>3</v>
          </cell>
          <cell r="AM288">
            <v>3</v>
          </cell>
          <cell r="AN288">
            <v>3</v>
          </cell>
          <cell r="AO288">
            <v>3</v>
          </cell>
          <cell r="AP288">
            <v>3</v>
          </cell>
          <cell r="AQ288">
            <v>3</v>
          </cell>
          <cell r="AR288">
            <v>3</v>
          </cell>
          <cell r="AS288">
            <v>3</v>
          </cell>
          <cell r="AT288">
            <v>3</v>
          </cell>
          <cell r="AU288">
            <v>3</v>
          </cell>
          <cell r="AV288">
            <v>3</v>
          </cell>
          <cell r="AW288">
            <v>3</v>
          </cell>
          <cell r="AX288">
            <v>3</v>
          </cell>
          <cell r="AY288">
            <v>3</v>
          </cell>
          <cell r="AZ288">
            <v>2</v>
          </cell>
          <cell r="BA288">
            <v>2</v>
          </cell>
          <cell r="BB288">
            <v>2</v>
          </cell>
          <cell r="BC288">
            <v>4</v>
          </cell>
          <cell r="BD288">
            <v>4</v>
          </cell>
          <cell r="BE288">
            <v>4</v>
          </cell>
          <cell r="BF288">
            <v>4</v>
          </cell>
          <cell r="BG288">
            <v>4</v>
          </cell>
          <cell r="BH288">
            <v>4</v>
          </cell>
          <cell r="BI288">
            <v>4</v>
          </cell>
          <cell r="BJ288">
            <v>4</v>
          </cell>
          <cell r="BK288">
            <v>2</v>
          </cell>
          <cell r="BL288">
            <v>2</v>
          </cell>
          <cell r="BM288">
            <v>2</v>
          </cell>
          <cell r="BN288">
            <v>3</v>
          </cell>
          <cell r="BO288">
            <v>3</v>
          </cell>
          <cell r="BP288">
            <v>3</v>
          </cell>
          <cell r="BQ288">
            <v>3</v>
          </cell>
          <cell r="BR288">
            <v>3</v>
          </cell>
          <cell r="BS288">
            <v>3</v>
          </cell>
          <cell r="BT288">
            <v>3</v>
          </cell>
          <cell r="BU288">
            <v>3</v>
          </cell>
          <cell r="BV288">
            <v>3</v>
          </cell>
        </row>
        <row r="289">
          <cell r="A289" t="str">
            <v>PORSCHE</v>
          </cell>
          <cell r="B289" t="str">
            <v>PO426 FHR&amp;ROHR</v>
          </cell>
          <cell r="D289" t="str">
            <v>SHIFT B HC  - operators</v>
          </cell>
          <cell r="Z289"/>
          <cell r="AA289"/>
          <cell r="AB289"/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</row>
        <row r="290">
          <cell r="A290" t="str">
            <v>PORSCHE</v>
          </cell>
          <cell r="B290" t="str">
            <v>PO426 FHR&amp;ROHR</v>
          </cell>
          <cell r="D290" t="str">
            <v>SHIFT C HC  - operators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</row>
        <row r="291">
          <cell r="A291" t="str">
            <v>PORSCHE</v>
          </cell>
          <cell r="B291" t="str">
            <v>PO426 FHR&amp;ROHR</v>
          </cell>
          <cell r="D291" t="str">
            <v>Total HC</v>
          </cell>
          <cell r="Z291">
            <v>3</v>
          </cell>
          <cell r="AA291">
            <v>3</v>
          </cell>
          <cell r="AB291">
            <v>3</v>
          </cell>
          <cell r="AC291">
            <v>4</v>
          </cell>
          <cell r="AD291">
            <v>4</v>
          </cell>
          <cell r="AE291">
            <v>4</v>
          </cell>
          <cell r="AF291">
            <v>4</v>
          </cell>
          <cell r="AG291">
            <v>3</v>
          </cell>
          <cell r="AH291">
            <v>3</v>
          </cell>
          <cell r="AI291">
            <v>3</v>
          </cell>
          <cell r="AJ291">
            <v>3</v>
          </cell>
          <cell r="AK291">
            <v>3</v>
          </cell>
          <cell r="AL291">
            <v>3</v>
          </cell>
          <cell r="AM291">
            <v>3</v>
          </cell>
          <cell r="AN291">
            <v>3</v>
          </cell>
          <cell r="AO291">
            <v>3</v>
          </cell>
          <cell r="AP291">
            <v>3</v>
          </cell>
          <cell r="AQ291">
            <v>3</v>
          </cell>
          <cell r="AR291">
            <v>3</v>
          </cell>
          <cell r="AS291">
            <v>3</v>
          </cell>
          <cell r="AT291">
            <v>3</v>
          </cell>
          <cell r="AU291">
            <v>3</v>
          </cell>
          <cell r="AV291">
            <v>3</v>
          </cell>
          <cell r="AW291">
            <v>3</v>
          </cell>
          <cell r="AX291">
            <v>3</v>
          </cell>
          <cell r="AY291">
            <v>3</v>
          </cell>
          <cell r="AZ291">
            <v>2</v>
          </cell>
          <cell r="BA291">
            <v>2</v>
          </cell>
          <cell r="BB291">
            <v>2</v>
          </cell>
          <cell r="BC291">
            <v>4</v>
          </cell>
          <cell r="BD291">
            <v>4</v>
          </cell>
          <cell r="BE291">
            <v>4</v>
          </cell>
          <cell r="BF291">
            <v>4</v>
          </cell>
          <cell r="BG291">
            <v>4</v>
          </cell>
          <cell r="BH291">
            <v>4</v>
          </cell>
          <cell r="BI291">
            <v>4</v>
          </cell>
          <cell r="BJ291">
            <v>4</v>
          </cell>
          <cell r="BK291">
            <v>2</v>
          </cell>
          <cell r="BL291">
            <v>2</v>
          </cell>
          <cell r="BM291">
            <v>2</v>
          </cell>
          <cell r="BN291">
            <v>3</v>
          </cell>
          <cell r="BO291">
            <v>3</v>
          </cell>
          <cell r="BP291">
            <v>3</v>
          </cell>
          <cell r="BQ291">
            <v>3</v>
          </cell>
          <cell r="BR291">
            <v>3</v>
          </cell>
          <cell r="BS291">
            <v>3</v>
          </cell>
          <cell r="BT291">
            <v>3</v>
          </cell>
          <cell r="BU291">
            <v>3</v>
          </cell>
          <cell r="BV291">
            <v>3</v>
          </cell>
        </row>
        <row r="292">
          <cell r="A292" t="str">
            <v>PORSCHE</v>
          </cell>
          <cell r="B292" t="str">
            <v>PO426 FHR&amp;ROHR</v>
          </cell>
          <cell r="D292" t="str">
            <v>SHIFT A HC  - efficiency</v>
          </cell>
          <cell r="Z292">
            <v>0.9</v>
          </cell>
          <cell r="AA292">
            <v>0.95000000000000007</v>
          </cell>
          <cell r="AB292">
            <v>1.1000000000000001</v>
          </cell>
          <cell r="AC292">
            <v>1.1000000000000001</v>
          </cell>
          <cell r="AD292">
            <v>1.1000000000000001</v>
          </cell>
          <cell r="AE292">
            <v>1.1000000000000001</v>
          </cell>
          <cell r="AF292">
            <v>1.1000000000000001</v>
          </cell>
          <cell r="AG292">
            <v>1.1000000000000001</v>
          </cell>
          <cell r="AH292">
            <v>1</v>
          </cell>
          <cell r="AI292">
            <v>1</v>
          </cell>
          <cell r="AJ292">
            <v>1</v>
          </cell>
          <cell r="AK292">
            <v>1</v>
          </cell>
          <cell r="AL292">
            <v>1</v>
          </cell>
          <cell r="AM292">
            <v>1</v>
          </cell>
          <cell r="AN292">
            <v>1</v>
          </cell>
          <cell r="AO292">
            <v>1</v>
          </cell>
          <cell r="AP292">
            <v>1</v>
          </cell>
          <cell r="AQ292">
            <v>1</v>
          </cell>
          <cell r="AR292">
            <v>1</v>
          </cell>
          <cell r="AS292">
            <v>1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1</v>
          </cell>
          <cell r="AY292">
            <v>1</v>
          </cell>
          <cell r="AZ292">
            <v>1</v>
          </cell>
          <cell r="BA292">
            <v>1</v>
          </cell>
          <cell r="BB292">
            <v>1</v>
          </cell>
          <cell r="BC292">
            <v>1</v>
          </cell>
          <cell r="BD292">
            <v>1</v>
          </cell>
          <cell r="BE292">
            <v>1</v>
          </cell>
          <cell r="BF292">
            <v>1</v>
          </cell>
          <cell r="BG292">
            <v>1</v>
          </cell>
          <cell r="BH292">
            <v>1</v>
          </cell>
          <cell r="BI292">
            <v>1</v>
          </cell>
          <cell r="BJ292">
            <v>1</v>
          </cell>
          <cell r="BK292">
            <v>1.2</v>
          </cell>
          <cell r="BL292">
            <v>1.2</v>
          </cell>
          <cell r="BM292">
            <v>1.2</v>
          </cell>
          <cell r="BN292">
            <v>1.2</v>
          </cell>
          <cell r="BO292">
            <v>1.2</v>
          </cell>
          <cell r="BP292">
            <v>1.2</v>
          </cell>
          <cell r="BQ292">
            <v>1.2</v>
          </cell>
          <cell r="BR292">
            <v>1.2</v>
          </cell>
          <cell r="BS292">
            <v>1.2</v>
          </cell>
          <cell r="BT292">
            <v>1.2</v>
          </cell>
          <cell r="BU292">
            <v>1.2</v>
          </cell>
          <cell r="BV292">
            <v>1.2</v>
          </cell>
        </row>
        <row r="293">
          <cell r="A293" t="str">
            <v>PORSCHE</v>
          </cell>
          <cell r="B293" t="str">
            <v>PO426 FHR&amp;ROHR</v>
          </cell>
          <cell r="D293" t="str">
            <v>SHIFT B HC  - efficiency</v>
          </cell>
          <cell r="Z293">
            <v>0.9</v>
          </cell>
          <cell r="AA293">
            <v>0.95000000000000007</v>
          </cell>
          <cell r="AB293">
            <v>1</v>
          </cell>
          <cell r="AC293">
            <v>1</v>
          </cell>
          <cell r="AD293">
            <v>1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J293">
            <v>1</v>
          </cell>
          <cell r="AK293">
            <v>1</v>
          </cell>
          <cell r="AL293">
            <v>1</v>
          </cell>
          <cell r="AM293">
            <v>1</v>
          </cell>
          <cell r="AN293">
            <v>1</v>
          </cell>
          <cell r="AO293">
            <v>1</v>
          </cell>
          <cell r="AP293">
            <v>1</v>
          </cell>
          <cell r="AQ293">
            <v>1</v>
          </cell>
          <cell r="AR293">
            <v>1</v>
          </cell>
          <cell r="AS293">
            <v>1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1</v>
          </cell>
          <cell r="AY293">
            <v>1</v>
          </cell>
          <cell r="AZ293">
            <v>1</v>
          </cell>
          <cell r="BA293">
            <v>1</v>
          </cell>
          <cell r="BB293">
            <v>1</v>
          </cell>
          <cell r="BC293">
            <v>1</v>
          </cell>
          <cell r="BD293">
            <v>1</v>
          </cell>
          <cell r="BE293">
            <v>1</v>
          </cell>
          <cell r="BF293">
            <v>1</v>
          </cell>
          <cell r="BG293">
            <v>1</v>
          </cell>
          <cell r="BH293">
            <v>1</v>
          </cell>
          <cell r="BI293">
            <v>1</v>
          </cell>
          <cell r="BJ293">
            <v>1</v>
          </cell>
          <cell r="BK293">
            <v>1</v>
          </cell>
          <cell r="BL293">
            <v>1</v>
          </cell>
          <cell r="BM293">
            <v>1</v>
          </cell>
          <cell r="BN293">
            <v>1</v>
          </cell>
          <cell r="BO293">
            <v>1</v>
          </cell>
          <cell r="BP293">
            <v>1</v>
          </cell>
          <cell r="BQ293">
            <v>1</v>
          </cell>
          <cell r="BR293">
            <v>1</v>
          </cell>
          <cell r="BS293">
            <v>1</v>
          </cell>
          <cell r="BT293">
            <v>1</v>
          </cell>
          <cell r="BU293">
            <v>1</v>
          </cell>
          <cell r="BV293">
            <v>1</v>
          </cell>
        </row>
        <row r="294">
          <cell r="A294" t="str">
            <v>PORSCHE</v>
          </cell>
          <cell r="B294" t="str">
            <v>PO426 FHR&amp;ROHR</v>
          </cell>
          <cell r="D294" t="str">
            <v>SHIFT C HC  - efficiency</v>
          </cell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</row>
        <row r="295">
          <cell r="A295" t="str">
            <v>PORSCHE</v>
          </cell>
          <cell r="B295" t="str">
            <v>PO426 FHR&amp;ROHR</v>
          </cell>
          <cell r="D295" t="str">
            <v>Total efficiency</v>
          </cell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</row>
        <row r="296">
          <cell r="A296" t="str">
            <v>PORSCHE</v>
          </cell>
          <cell r="B296" t="str">
            <v>PO426 FHR&amp;ROHR</v>
          </cell>
          <cell r="D296" t="str">
            <v>SHIFT A - output</v>
          </cell>
          <cell r="Z296">
            <v>182.70676691729324</v>
          </cell>
          <cell r="AA296">
            <v>192.85714285714286</v>
          </cell>
          <cell r="AB296">
            <v>223.30827067669176</v>
          </cell>
          <cell r="AC296">
            <v>297.74436090225566</v>
          </cell>
          <cell r="AD296">
            <v>297.74436090225566</v>
          </cell>
          <cell r="AE296">
            <v>297.74436090225566</v>
          </cell>
          <cell r="AF296">
            <v>297.74436090225566</v>
          </cell>
          <cell r="AG296">
            <v>223.30827067669176</v>
          </cell>
          <cell r="AH296">
            <v>203.00751879699249</v>
          </cell>
          <cell r="AI296">
            <v>203.00751879699249</v>
          </cell>
          <cell r="AJ296">
            <v>203.00751879699249</v>
          </cell>
          <cell r="AK296">
            <v>203.00751879699249</v>
          </cell>
          <cell r="AL296">
            <v>203.00751879699249</v>
          </cell>
          <cell r="AM296">
            <v>203.00751879699249</v>
          </cell>
          <cell r="AN296">
            <v>203.00751879699249</v>
          </cell>
          <cell r="AO296">
            <v>203.00751879699249</v>
          </cell>
          <cell r="AP296">
            <v>203.00751879699249</v>
          </cell>
          <cell r="AQ296">
            <v>203.00751879699249</v>
          </cell>
          <cell r="AR296">
            <v>203.00751879699249</v>
          </cell>
          <cell r="AS296">
            <v>203.00751879699249</v>
          </cell>
          <cell r="AT296">
            <v>203.00751879699249</v>
          </cell>
          <cell r="AU296">
            <v>203.00751879699249</v>
          </cell>
          <cell r="AV296">
            <v>203.00751879699249</v>
          </cell>
          <cell r="AW296">
            <v>203.00751879699249</v>
          </cell>
          <cell r="AX296">
            <v>203.00751879699249</v>
          </cell>
          <cell r="AY296">
            <v>203.00751879699249</v>
          </cell>
          <cell r="AZ296">
            <v>135.33834586466165</v>
          </cell>
          <cell r="BA296">
            <v>135.33834586466165</v>
          </cell>
          <cell r="BB296">
            <v>135.33834586466165</v>
          </cell>
          <cell r="BC296">
            <v>270.6766917293233</v>
          </cell>
          <cell r="BD296">
            <v>270.6766917293233</v>
          </cell>
          <cell r="BE296">
            <v>270.6766917293233</v>
          </cell>
          <cell r="BF296">
            <v>270.6766917293233</v>
          </cell>
          <cell r="BG296">
            <v>270.6766917293233</v>
          </cell>
          <cell r="BH296">
            <v>270.6766917293233</v>
          </cell>
          <cell r="BI296">
            <v>270.6766917293233</v>
          </cell>
          <cell r="BJ296">
            <v>270.6766917293233</v>
          </cell>
          <cell r="BK296">
            <v>162.40601503759396</v>
          </cell>
          <cell r="BL296">
            <v>162.40601503759396</v>
          </cell>
          <cell r="BM296">
            <v>162.40601503759396</v>
          </cell>
          <cell r="BN296">
            <v>243.60902255639098</v>
          </cell>
          <cell r="BO296">
            <v>243.60902255639098</v>
          </cell>
          <cell r="BP296">
            <v>243.60902255639098</v>
          </cell>
          <cell r="BQ296">
            <v>243.60902255639098</v>
          </cell>
          <cell r="BR296">
            <v>243.60902255639098</v>
          </cell>
          <cell r="BS296">
            <v>243.60902255639098</v>
          </cell>
          <cell r="BT296">
            <v>243.60902255639098</v>
          </cell>
          <cell r="BU296">
            <v>243.60902255639098</v>
          </cell>
          <cell r="BV296">
            <v>243.60902255639098</v>
          </cell>
        </row>
        <row r="297">
          <cell r="A297" t="str">
            <v>PORSCHE</v>
          </cell>
          <cell r="B297" t="str">
            <v>PO426 FHR&amp;ROHR</v>
          </cell>
          <cell r="D297" t="str">
            <v>SHIFT B  - output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</row>
        <row r="298">
          <cell r="A298" t="str">
            <v>PORSCHE</v>
          </cell>
          <cell r="B298" t="str">
            <v>PO426 FHR&amp;ROHR</v>
          </cell>
          <cell r="D298" t="str">
            <v>SHIFT C  - output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</row>
        <row r="299">
          <cell r="A299" t="str">
            <v>PORSCHE</v>
          </cell>
          <cell r="B299" t="str">
            <v>PO426 FHR&amp;ROHR</v>
          </cell>
          <cell r="D299" t="str">
            <v>Est. Output (Pcs day)</v>
          </cell>
          <cell r="E299">
            <v>6.65</v>
          </cell>
          <cell r="Z299">
            <v>182.70676691729324</v>
          </cell>
          <cell r="AA299">
            <v>192.85714285714286</v>
          </cell>
          <cell r="AB299">
            <v>223.30827067669176</v>
          </cell>
          <cell r="AC299">
            <v>297.74436090225566</v>
          </cell>
          <cell r="AD299">
            <v>297.74436090225566</v>
          </cell>
          <cell r="AE299">
            <v>297.74436090225566</v>
          </cell>
          <cell r="AF299">
            <v>297.74436090225566</v>
          </cell>
          <cell r="AG299">
            <v>223.30827067669176</v>
          </cell>
          <cell r="AH299">
            <v>203.00751879699249</v>
          </cell>
          <cell r="AI299">
            <v>203.00751879699249</v>
          </cell>
          <cell r="AJ299">
            <v>203.00751879699249</v>
          </cell>
          <cell r="AK299">
            <v>203.00751879699249</v>
          </cell>
          <cell r="AL299">
            <v>203.00751879699249</v>
          </cell>
          <cell r="AM299">
            <v>203.00751879699249</v>
          </cell>
          <cell r="AN299">
            <v>203.00751879699249</v>
          </cell>
          <cell r="AO299">
            <v>203.00751879699249</v>
          </cell>
          <cell r="AP299">
            <v>203.00751879699249</v>
          </cell>
          <cell r="AQ299">
            <v>203.00751879699249</v>
          </cell>
          <cell r="AR299">
            <v>203.00751879699249</v>
          </cell>
          <cell r="AS299">
            <v>203.00751879699249</v>
          </cell>
          <cell r="AT299">
            <v>203.00751879699249</v>
          </cell>
          <cell r="AU299">
            <v>203.00751879699249</v>
          </cell>
          <cell r="AV299">
            <v>203.00751879699249</v>
          </cell>
          <cell r="AW299">
            <v>203.00751879699249</v>
          </cell>
          <cell r="AX299">
            <v>203.00751879699249</v>
          </cell>
          <cell r="AY299">
            <v>203.00751879699249</v>
          </cell>
          <cell r="AZ299">
            <v>135.33834586466165</v>
          </cell>
          <cell r="BA299">
            <v>135.33834586466165</v>
          </cell>
          <cell r="BB299">
            <v>135.33834586466165</v>
          </cell>
          <cell r="BC299">
            <v>270.6766917293233</v>
          </cell>
          <cell r="BD299">
            <v>270.6766917293233</v>
          </cell>
          <cell r="BE299">
            <v>270.6766917293233</v>
          </cell>
          <cell r="BF299">
            <v>270.6766917293233</v>
          </cell>
          <cell r="BG299">
            <v>270.6766917293233</v>
          </cell>
          <cell r="BH299">
            <v>270.6766917293233</v>
          </cell>
          <cell r="BI299">
            <v>270.6766917293233</v>
          </cell>
          <cell r="BJ299">
            <v>270.6766917293233</v>
          </cell>
          <cell r="BK299">
            <v>162.40601503759396</v>
          </cell>
          <cell r="BL299">
            <v>162.40601503759396</v>
          </cell>
          <cell r="BM299">
            <v>162.40601503759396</v>
          </cell>
          <cell r="BN299">
            <v>243.60902255639098</v>
          </cell>
          <cell r="BO299">
            <v>243.60902255639098</v>
          </cell>
          <cell r="BP299">
            <v>243.60902255639098</v>
          </cell>
          <cell r="BQ299">
            <v>243.60902255639098</v>
          </cell>
          <cell r="BR299">
            <v>243.60902255639098</v>
          </cell>
          <cell r="BS299">
            <v>243.60902255639098</v>
          </cell>
          <cell r="BT299">
            <v>243.60902255639098</v>
          </cell>
          <cell r="BU299">
            <v>243.60902255639098</v>
          </cell>
          <cell r="BV299">
            <v>243.60902255639098</v>
          </cell>
        </row>
        <row r="300">
          <cell r="A300" t="str">
            <v>PORSCHE</v>
          </cell>
          <cell r="B300" t="str">
            <v>PO426 FHR&amp;ROHR</v>
          </cell>
          <cell r="D300" t="str">
            <v>Weekly Output PLAN</v>
          </cell>
          <cell r="E300" t="str">
            <v>SEW</v>
          </cell>
          <cell r="Z300">
            <v>913.53383458646613</v>
          </cell>
          <cell r="AA300">
            <v>964.28571428571433</v>
          </cell>
          <cell r="AB300">
            <v>1116.5413533834587</v>
          </cell>
          <cell r="AC300">
            <v>1488.7218045112784</v>
          </cell>
          <cell r="AD300">
            <v>893.23308270676694</v>
          </cell>
          <cell r="AE300">
            <v>1488.7218045112784</v>
          </cell>
          <cell r="AF300">
            <v>1488.7218045112784</v>
          </cell>
          <cell r="AG300">
            <v>1116.5413533834587</v>
          </cell>
          <cell r="AH300">
            <v>1015.0375939849624</v>
          </cell>
          <cell r="AI300">
            <v>1015.0375939849624</v>
          </cell>
          <cell r="AJ300">
            <v>1015.0375939849624</v>
          </cell>
          <cell r="AK300">
            <v>812.03007518796994</v>
          </cell>
          <cell r="AL300">
            <v>812.03007518796994</v>
          </cell>
          <cell r="AM300">
            <v>1015.0375939849624</v>
          </cell>
          <cell r="AN300">
            <v>812.03007518796994</v>
          </cell>
          <cell r="AO300">
            <v>1015.0375939849624</v>
          </cell>
          <cell r="AP300">
            <v>1015.0375939849624</v>
          </cell>
          <cell r="AQ300">
            <v>1015.0375939849624</v>
          </cell>
          <cell r="AR300">
            <v>1015.0375939849624</v>
          </cell>
          <cell r="AS300">
            <v>1015.0375939849624</v>
          </cell>
          <cell r="AT300">
            <v>1015.0375939849624</v>
          </cell>
          <cell r="AU300">
            <v>1015.0375939849624</v>
          </cell>
          <cell r="AV300">
            <v>1015.0375939849624</v>
          </cell>
          <cell r="AW300">
            <v>1015.0375939849624</v>
          </cell>
          <cell r="AX300">
            <v>1015.0375939849624</v>
          </cell>
          <cell r="AY300">
            <v>1015.0375939849624</v>
          </cell>
          <cell r="AZ300">
            <v>0</v>
          </cell>
          <cell r="BA300">
            <v>0</v>
          </cell>
          <cell r="BB300">
            <v>676.69172932330821</v>
          </cell>
          <cell r="BC300">
            <v>1353.3834586466164</v>
          </cell>
          <cell r="BD300">
            <v>1353.3834586466164</v>
          </cell>
          <cell r="BE300">
            <v>1353.3834586466164</v>
          </cell>
          <cell r="BF300">
            <v>1353.3834586466164</v>
          </cell>
          <cell r="BG300">
            <v>1353.3834586466164</v>
          </cell>
          <cell r="BH300">
            <v>1353.3834586466164</v>
          </cell>
          <cell r="BI300">
            <v>1353.3834586466164</v>
          </cell>
          <cell r="BJ300">
            <v>1353.3834586466164</v>
          </cell>
          <cell r="BK300">
            <v>812.03007518796983</v>
          </cell>
          <cell r="BL300">
            <v>324.81203007518792</v>
          </cell>
          <cell r="BM300">
            <v>324.81203007518792</v>
          </cell>
          <cell r="BN300">
            <v>730.82706766917295</v>
          </cell>
          <cell r="BO300">
            <v>730.82706766917295</v>
          </cell>
          <cell r="BP300">
            <v>730.82706766917295</v>
          </cell>
          <cell r="BQ300">
            <v>730.82706766917295</v>
          </cell>
          <cell r="BR300">
            <v>730.82706766917295</v>
          </cell>
          <cell r="BS300">
            <v>730.82706766917295</v>
          </cell>
          <cell r="BT300">
            <v>730.82706766917295</v>
          </cell>
          <cell r="BU300">
            <v>730.82706766917295</v>
          </cell>
          <cell r="BV300">
            <v>730.82706766917295</v>
          </cell>
        </row>
        <row r="301">
          <cell r="A301" t="str">
            <v>PORSCHE</v>
          </cell>
          <cell r="B301" t="str">
            <v>PO426 FHR&amp;ROHR</v>
          </cell>
          <cell r="D301" t="str">
            <v>FHR VNL</v>
          </cell>
          <cell r="E301">
            <v>5.9103000000000003</v>
          </cell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</row>
        <row r="302">
          <cell r="A302" t="str">
            <v>PORSCHE</v>
          </cell>
          <cell r="B302" t="str">
            <v>PO426 FHR&amp;ROHR</v>
          </cell>
          <cell r="D302" t="str">
            <v>FHR LTH BLK</v>
          </cell>
          <cell r="E302">
            <v>6.3449999999999998</v>
          </cell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</row>
        <row r="303">
          <cell r="A303" t="str">
            <v>PORSCHE</v>
          </cell>
          <cell r="B303" t="str">
            <v>PO426 FHR&amp;ROHR</v>
          </cell>
          <cell r="D303" t="str">
            <v>ROHR VNL</v>
          </cell>
          <cell r="E303">
            <v>7.6959</v>
          </cell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</row>
        <row r="304">
          <cell r="A304" t="str">
            <v>PORSCHE</v>
          </cell>
          <cell r="B304" t="str">
            <v>PO426 FHR&amp;ROHR</v>
          </cell>
          <cell r="D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</row>
        <row r="305">
          <cell r="A305" t="str">
            <v>PORSCHE</v>
          </cell>
          <cell r="B305" t="str">
            <v>PO426 FHR&amp;ROHR</v>
          </cell>
          <cell r="D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</row>
        <row r="306">
          <cell r="A306" t="str">
            <v>PORSCHE</v>
          </cell>
          <cell r="B306" t="str">
            <v>PO426 FHR&amp;ROHR</v>
          </cell>
          <cell r="D306" t="str">
            <v>Weekly Output PLAN - SUM of models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</row>
        <row r="307">
          <cell r="A307" t="str">
            <v>PORSCHE</v>
          </cell>
          <cell r="B307" t="str">
            <v>PO426 FHR&amp;ROHR</v>
          </cell>
          <cell r="D307" t="str">
            <v>Weekly Output CHECK with TO time multiple</v>
          </cell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</row>
        <row r="308">
          <cell r="A308" t="str">
            <v>PORSCHE</v>
          </cell>
          <cell r="B308" t="str">
            <v>PO426 FHR&amp;ROHR</v>
          </cell>
          <cell r="D308" t="str">
            <v>Weekly Output ACT</v>
          </cell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</row>
        <row r="309">
          <cell r="A309" t="str">
            <v>PORSCHE</v>
          </cell>
          <cell r="B309" t="str">
            <v>PO426 FHR&amp;ROHR</v>
          </cell>
          <cell r="D309" t="str">
            <v>FHR VNL</v>
          </cell>
          <cell r="Z309">
            <v>240</v>
          </cell>
          <cell r="AA309">
            <v>0</v>
          </cell>
          <cell r="AB309">
            <v>480</v>
          </cell>
          <cell r="AC309">
            <v>96</v>
          </cell>
          <cell r="AD309">
            <v>96</v>
          </cell>
          <cell r="AE309">
            <v>96</v>
          </cell>
          <cell r="AF309">
            <v>384</v>
          </cell>
          <cell r="AG309">
            <v>96</v>
          </cell>
          <cell r="AH309">
            <v>96</v>
          </cell>
          <cell r="AI309">
            <v>96</v>
          </cell>
          <cell r="AJ309">
            <v>192</v>
          </cell>
          <cell r="AK309">
            <v>456</v>
          </cell>
          <cell r="AL309">
            <v>0</v>
          </cell>
          <cell r="AM309">
            <v>0</v>
          </cell>
          <cell r="AN309">
            <v>0</v>
          </cell>
          <cell r="AO309">
            <v>552</v>
          </cell>
          <cell r="AP309">
            <v>0</v>
          </cell>
          <cell r="AQ309">
            <v>0</v>
          </cell>
          <cell r="AR309">
            <v>0</v>
          </cell>
          <cell r="AS309">
            <v>480</v>
          </cell>
          <cell r="AT309">
            <v>0</v>
          </cell>
          <cell r="AU309">
            <v>1191.611322222222</v>
          </cell>
          <cell r="AV309">
            <v>1191.611322222222</v>
          </cell>
          <cell r="AW309">
            <v>953.83388333333335</v>
          </cell>
          <cell r="AX309">
            <v>953.83388333333335</v>
          </cell>
          <cell r="AY309">
            <v>953.83388333333335</v>
          </cell>
          <cell r="AZ309">
            <v>953.83388333333335</v>
          </cell>
          <cell r="BA309">
            <v>953.83388333333335</v>
          </cell>
          <cell r="BB309">
            <v>580.53108750000001</v>
          </cell>
          <cell r="BC309">
            <v>580.53108750000001</v>
          </cell>
          <cell r="BD309">
            <v>580.53108750000001</v>
          </cell>
          <cell r="BE309">
            <v>580.53108750000001</v>
          </cell>
          <cell r="BF309">
            <v>580.53108750000001</v>
          </cell>
          <cell r="BG309">
            <v>2572.7441055555555</v>
          </cell>
          <cell r="BH309">
            <v>2572.7441055555555</v>
          </cell>
          <cell r="BI309">
            <v>2572.7441055555555</v>
          </cell>
          <cell r="BJ309">
            <v>2572.7441055555555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</row>
        <row r="310">
          <cell r="A310" t="str">
            <v>PORSCHE</v>
          </cell>
          <cell r="B310" t="str">
            <v>PO426 FHR&amp;ROHR</v>
          </cell>
          <cell r="D310" t="str">
            <v>FHR LTH BLK</v>
          </cell>
          <cell r="Z310">
            <v>336</v>
          </cell>
          <cell r="AA310">
            <v>0</v>
          </cell>
          <cell r="AB310">
            <v>1200</v>
          </cell>
          <cell r="AC310">
            <v>48</v>
          </cell>
          <cell r="AD310">
            <v>168</v>
          </cell>
          <cell r="AE310">
            <v>312</v>
          </cell>
          <cell r="AF310">
            <v>360</v>
          </cell>
          <cell r="AG310">
            <v>552</v>
          </cell>
          <cell r="AH310">
            <v>576</v>
          </cell>
          <cell r="AI310">
            <v>312</v>
          </cell>
          <cell r="AJ310">
            <v>360</v>
          </cell>
          <cell r="AK310">
            <v>432</v>
          </cell>
          <cell r="AL310">
            <v>336</v>
          </cell>
          <cell r="AM310">
            <v>360</v>
          </cell>
          <cell r="AN310">
            <v>312</v>
          </cell>
          <cell r="AO310">
            <v>2040</v>
          </cell>
          <cell r="AP310">
            <v>0</v>
          </cell>
          <cell r="AQ310">
            <v>0</v>
          </cell>
          <cell r="AR310">
            <v>0</v>
          </cell>
          <cell r="AS310">
            <v>840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</row>
        <row r="311">
          <cell r="A311" t="str">
            <v>PORSCHE</v>
          </cell>
          <cell r="B311" t="str">
            <v>PO426 FHR&amp;ROHR</v>
          </cell>
          <cell r="D311" t="str">
            <v>ROHR VNL</v>
          </cell>
          <cell r="Z311">
            <v>120</v>
          </cell>
          <cell r="AA311">
            <v>0</v>
          </cell>
          <cell r="AB311">
            <v>310</v>
          </cell>
          <cell r="AC311">
            <v>80</v>
          </cell>
          <cell r="AD311">
            <v>200</v>
          </cell>
          <cell r="AE311">
            <v>80</v>
          </cell>
          <cell r="AF311">
            <v>320</v>
          </cell>
          <cell r="AG311">
            <v>80</v>
          </cell>
          <cell r="AH311">
            <v>200</v>
          </cell>
          <cell r="AI311">
            <v>200</v>
          </cell>
          <cell r="AJ311">
            <v>160</v>
          </cell>
          <cell r="AK311">
            <v>120</v>
          </cell>
          <cell r="AL311">
            <v>80</v>
          </cell>
          <cell r="AM311">
            <v>240</v>
          </cell>
          <cell r="AN311">
            <v>80</v>
          </cell>
          <cell r="AO311">
            <v>720</v>
          </cell>
          <cell r="AP311">
            <v>0</v>
          </cell>
          <cell r="AQ311">
            <v>0</v>
          </cell>
          <cell r="AR311">
            <v>0</v>
          </cell>
          <cell r="AS311">
            <v>560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</row>
        <row r="312">
          <cell r="A312" t="str">
            <v>PORSCHE</v>
          </cell>
          <cell r="B312" t="str">
            <v>PO426 FHR&amp;ROHR</v>
          </cell>
          <cell r="D312" t="str">
            <v>FHR LTH other colors</v>
          </cell>
          <cell r="Z312">
            <v>528</v>
          </cell>
          <cell r="AA312">
            <v>0</v>
          </cell>
          <cell r="AB312">
            <v>840</v>
          </cell>
          <cell r="AC312">
            <v>312</v>
          </cell>
          <cell r="AD312">
            <v>96</v>
          </cell>
          <cell r="AE312">
            <v>72</v>
          </cell>
          <cell r="AF312">
            <v>96</v>
          </cell>
          <cell r="AG312">
            <v>96</v>
          </cell>
          <cell r="AH312">
            <v>192</v>
          </cell>
          <cell r="AI312">
            <v>819</v>
          </cell>
          <cell r="AJ312">
            <v>120</v>
          </cell>
          <cell r="AK312">
            <v>288</v>
          </cell>
          <cell r="AL312">
            <v>96</v>
          </cell>
          <cell r="AM312">
            <v>384</v>
          </cell>
          <cell r="AN312">
            <v>288</v>
          </cell>
          <cell r="AO312">
            <v>1444</v>
          </cell>
          <cell r="AP312">
            <v>0</v>
          </cell>
          <cell r="AQ312">
            <v>0</v>
          </cell>
          <cell r="AR312">
            <v>0</v>
          </cell>
          <cell r="AS312">
            <v>1471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</row>
        <row r="313">
          <cell r="A313" t="str">
            <v>PORSCHE</v>
          </cell>
          <cell r="B313" t="str">
            <v>PO426 FHR&amp;ROHR</v>
          </cell>
          <cell r="D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</row>
        <row r="314">
          <cell r="A314" t="str">
            <v>PORSCHE</v>
          </cell>
          <cell r="B314" t="str">
            <v>PO426 FHR&amp;ROHR</v>
          </cell>
          <cell r="D314" t="str">
            <v>Weekly demand</v>
          </cell>
          <cell r="Z314">
            <v>1224</v>
          </cell>
          <cell r="AA314">
            <v>0</v>
          </cell>
          <cell r="AB314">
            <v>2830</v>
          </cell>
          <cell r="AC314">
            <v>536</v>
          </cell>
          <cell r="AD314">
            <v>560</v>
          </cell>
          <cell r="AE314">
            <v>560</v>
          </cell>
          <cell r="AF314">
            <v>1160</v>
          </cell>
          <cell r="AG314">
            <v>824</v>
          </cell>
          <cell r="AH314">
            <v>1064</v>
          </cell>
          <cell r="AI314">
            <v>1427</v>
          </cell>
          <cell r="AJ314">
            <v>832</v>
          </cell>
          <cell r="AK314">
            <v>1296</v>
          </cell>
          <cell r="AL314">
            <v>512</v>
          </cell>
          <cell r="AM314">
            <v>984</v>
          </cell>
          <cell r="AN314">
            <v>680</v>
          </cell>
          <cell r="AO314">
            <v>4756</v>
          </cell>
          <cell r="AP314">
            <v>0</v>
          </cell>
          <cell r="AQ314">
            <v>0</v>
          </cell>
          <cell r="AR314">
            <v>0</v>
          </cell>
          <cell r="AS314">
            <v>3351</v>
          </cell>
          <cell r="AT314">
            <v>0</v>
          </cell>
          <cell r="AU314">
            <v>1191.611322222222</v>
          </cell>
          <cell r="AV314">
            <v>1191.611322222222</v>
          </cell>
          <cell r="AW314">
            <v>953.83388333333335</v>
          </cell>
          <cell r="AX314">
            <v>953.83388333333335</v>
          </cell>
          <cell r="AY314">
            <v>953.83388333333335</v>
          </cell>
          <cell r="AZ314">
            <v>953.83388333333335</v>
          </cell>
          <cell r="BA314">
            <v>953.83388333333335</v>
          </cell>
          <cell r="BB314">
            <v>580.53108750000001</v>
          </cell>
          <cell r="BC314">
            <v>580.53108750000001</v>
          </cell>
          <cell r="BD314">
            <v>580.53108750000001</v>
          </cell>
          <cell r="BE314">
            <v>580.53108750000001</v>
          </cell>
          <cell r="BF314">
            <v>580.53108750000001</v>
          </cell>
          <cell r="BG314">
            <v>2572.7441055555555</v>
          </cell>
          <cell r="BH314">
            <v>2572.7441055555555</v>
          </cell>
          <cell r="BI314">
            <v>2572.7441055555555</v>
          </cell>
          <cell r="BJ314">
            <v>2572.7441055555555</v>
          </cell>
          <cell r="BK314">
            <v>0</v>
          </cell>
          <cell r="BL314">
            <v>41017.279815277769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</row>
        <row r="315">
          <cell r="A315" t="str">
            <v>PORSCHE</v>
          </cell>
          <cell r="B315" t="str">
            <v>PO426 FHR&amp;ROHR</v>
          </cell>
          <cell r="D315" t="str">
            <v>Stock Target</v>
          </cell>
          <cell r="Z315">
            <v>900</v>
          </cell>
          <cell r="AA315">
            <v>900</v>
          </cell>
          <cell r="AB315">
            <v>900</v>
          </cell>
          <cell r="AC315">
            <v>900</v>
          </cell>
          <cell r="AD315">
            <v>900</v>
          </cell>
          <cell r="AE315">
            <v>900</v>
          </cell>
          <cell r="AF315">
            <v>900</v>
          </cell>
          <cell r="AG315">
            <v>900</v>
          </cell>
          <cell r="AH315">
            <v>900</v>
          </cell>
          <cell r="AI315">
            <v>900</v>
          </cell>
          <cell r="AJ315">
            <v>900</v>
          </cell>
          <cell r="AK315">
            <v>900</v>
          </cell>
          <cell r="AL315">
            <v>900</v>
          </cell>
          <cell r="AM315">
            <v>900</v>
          </cell>
          <cell r="AN315">
            <v>900</v>
          </cell>
          <cell r="AO315">
            <v>900</v>
          </cell>
          <cell r="AP315">
            <v>900</v>
          </cell>
          <cell r="AQ315">
            <v>900</v>
          </cell>
          <cell r="AR315">
            <v>900</v>
          </cell>
          <cell r="AS315">
            <v>900</v>
          </cell>
          <cell r="AT315">
            <v>900</v>
          </cell>
          <cell r="AU315">
            <v>900</v>
          </cell>
          <cell r="AV315">
            <v>900</v>
          </cell>
          <cell r="AW315">
            <v>900</v>
          </cell>
          <cell r="AX315">
            <v>900</v>
          </cell>
          <cell r="AY315">
            <v>900</v>
          </cell>
          <cell r="AZ315">
            <v>900</v>
          </cell>
          <cell r="BA315">
            <v>900</v>
          </cell>
          <cell r="BB315">
            <v>900</v>
          </cell>
          <cell r="BC315">
            <v>900</v>
          </cell>
          <cell r="BD315">
            <v>900</v>
          </cell>
          <cell r="BE315">
            <v>900</v>
          </cell>
          <cell r="BF315">
            <v>900</v>
          </cell>
          <cell r="BG315">
            <v>900</v>
          </cell>
          <cell r="BH315">
            <v>900</v>
          </cell>
          <cell r="BI315">
            <v>900</v>
          </cell>
          <cell r="BJ315">
            <v>900</v>
          </cell>
          <cell r="BK315">
            <v>900</v>
          </cell>
          <cell r="BL315">
            <v>900</v>
          </cell>
          <cell r="BM315">
            <v>900</v>
          </cell>
          <cell r="BN315">
            <v>900</v>
          </cell>
          <cell r="BO315">
            <v>900</v>
          </cell>
          <cell r="BP315">
            <v>900</v>
          </cell>
          <cell r="BQ315">
            <v>900</v>
          </cell>
          <cell r="BR315">
            <v>900</v>
          </cell>
          <cell r="BS315">
            <v>900</v>
          </cell>
          <cell r="BT315">
            <v>900</v>
          </cell>
          <cell r="BU315">
            <v>900</v>
          </cell>
          <cell r="BV315">
            <v>900</v>
          </cell>
        </row>
        <row r="316">
          <cell r="A316" t="str">
            <v>PORSCHE</v>
          </cell>
          <cell r="B316" t="str">
            <v>PO426 FHR&amp;ROHR</v>
          </cell>
          <cell r="D316" t="str">
            <v>FHR VNL</v>
          </cell>
          <cell r="Z316">
            <v>48</v>
          </cell>
          <cell r="AA316">
            <v>168</v>
          </cell>
          <cell r="AB316">
            <v>-312</v>
          </cell>
          <cell r="AC316">
            <v>-408</v>
          </cell>
          <cell r="AD316">
            <v>-504</v>
          </cell>
          <cell r="AE316">
            <v>-600</v>
          </cell>
          <cell r="AF316">
            <v>-984</v>
          </cell>
          <cell r="AG316">
            <v>-1080</v>
          </cell>
          <cell r="AH316">
            <v>-1176</v>
          </cell>
          <cell r="AI316">
            <v>-1272</v>
          </cell>
          <cell r="AJ316">
            <v>-1464</v>
          </cell>
          <cell r="AK316">
            <v>-1920</v>
          </cell>
          <cell r="AL316">
            <v>-1920</v>
          </cell>
          <cell r="AM316">
            <v>-1920</v>
          </cell>
          <cell r="AN316">
            <v>-1920</v>
          </cell>
          <cell r="AO316">
            <v>-2472</v>
          </cell>
          <cell r="AP316">
            <v>-2472</v>
          </cell>
          <cell r="AQ316">
            <v>-2472</v>
          </cell>
          <cell r="AR316">
            <v>-2472</v>
          </cell>
          <cell r="AS316">
            <v>-2952</v>
          </cell>
          <cell r="AT316">
            <v>-2952</v>
          </cell>
          <cell r="AU316">
            <v>-4143.611322222222</v>
          </cell>
          <cell r="AV316">
            <v>-5335.2226444444441</v>
          </cell>
          <cell r="AW316">
            <v>-6289.0565277777778</v>
          </cell>
          <cell r="AX316">
            <v>-7242.8904111111115</v>
          </cell>
          <cell r="AY316">
            <v>-8196.7242944444442</v>
          </cell>
          <cell r="AZ316">
            <v>-9150.558177777777</v>
          </cell>
          <cell r="BA316">
            <v>-10104.39206111111</v>
          </cell>
          <cell r="BB316">
            <v>-10684.923148611109</v>
          </cell>
          <cell r="BC316">
            <v>-11265.454236111109</v>
          </cell>
          <cell r="BD316">
            <v>-11845.985323611108</v>
          </cell>
          <cell r="BE316">
            <v>-12426.516411111108</v>
          </cell>
          <cell r="BF316">
            <v>-13007.047498611108</v>
          </cell>
          <cell r="BG316">
            <v>-15579.791604166663</v>
          </cell>
          <cell r="BH316">
            <v>-18152.535709722219</v>
          </cell>
          <cell r="BI316">
            <v>-20725.279815277776</v>
          </cell>
          <cell r="BJ316">
            <v>-23298.02392083333</v>
          </cell>
          <cell r="BK316">
            <v>-23298.02392083333</v>
          </cell>
          <cell r="BL316">
            <v>-23298.02392083333</v>
          </cell>
          <cell r="BM316">
            <v>-23298.02392083333</v>
          </cell>
          <cell r="BN316">
            <v>-23298.02392083333</v>
          </cell>
          <cell r="BO316">
            <v>-23298.02392083333</v>
          </cell>
          <cell r="BP316">
            <v>-23298.02392083333</v>
          </cell>
          <cell r="BQ316">
            <v>-23298.02392083333</v>
          </cell>
          <cell r="BR316">
            <v>-23298.02392083333</v>
          </cell>
          <cell r="BS316">
            <v>-23298.02392083333</v>
          </cell>
          <cell r="BT316">
            <v>-23298.02392083333</v>
          </cell>
          <cell r="BU316">
            <v>-23298.02392083333</v>
          </cell>
          <cell r="BV316">
            <v>-23298.02392083333</v>
          </cell>
        </row>
        <row r="317">
          <cell r="A317" t="str">
            <v>PORSCHE</v>
          </cell>
          <cell r="B317" t="str">
            <v>PO426 FHR&amp;ROHR</v>
          </cell>
          <cell r="D317" t="str">
            <v>FHR LTH BLK</v>
          </cell>
          <cell r="Z317">
            <v>480</v>
          </cell>
          <cell r="AA317">
            <v>672</v>
          </cell>
          <cell r="AB317">
            <v>-528</v>
          </cell>
          <cell r="AC317">
            <v>-576</v>
          </cell>
          <cell r="AD317">
            <v>-744</v>
          </cell>
          <cell r="AE317">
            <v>-1056</v>
          </cell>
          <cell r="AF317">
            <v>-1416</v>
          </cell>
          <cell r="AG317">
            <v>-1968</v>
          </cell>
          <cell r="AH317">
            <v>-2544</v>
          </cell>
          <cell r="AI317">
            <v>-2856</v>
          </cell>
          <cell r="AJ317">
            <v>-3216</v>
          </cell>
          <cell r="AK317">
            <v>-3648</v>
          </cell>
          <cell r="AL317">
            <v>-3984</v>
          </cell>
          <cell r="AM317">
            <v>-4344</v>
          </cell>
          <cell r="AN317">
            <v>-4656</v>
          </cell>
          <cell r="AO317">
            <v>-6696</v>
          </cell>
          <cell r="AP317">
            <v>-6696</v>
          </cell>
          <cell r="AQ317">
            <v>-6696</v>
          </cell>
          <cell r="AR317">
            <v>-6696</v>
          </cell>
          <cell r="AS317">
            <v>-7536</v>
          </cell>
          <cell r="AT317">
            <v>-7536</v>
          </cell>
          <cell r="AU317">
            <v>-7536</v>
          </cell>
          <cell r="AV317">
            <v>-7536</v>
          </cell>
          <cell r="AW317">
            <v>-7536</v>
          </cell>
          <cell r="AX317">
            <v>-7536</v>
          </cell>
          <cell r="AY317">
            <v>-7536</v>
          </cell>
          <cell r="AZ317">
            <v>-7536</v>
          </cell>
          <cell r="BA317">
            <v>-7536</v>
          </cell>
          <cell r="BB317">
            <v>-7536</v>
          </cell>
          <cell r="BC317">
            <v>-7536</v>
          </cell>
          <cell r="BD317">
            <v>-7536</v>
          </cell>
          <cell r="BE317">
            <v>-7536</v>
          </cell>
          <cell r="BF317">
            <v>-7536</v>
          </cell>
          <cell r="BG317">
            <v>-7536</v>
          </cell>
          <cell r="BH317">
            <v>-7536</v>
          </cell>
          <cell r="BI317">
            <v>-7536</v>
          </cell>
          <cell r="BJ317">
            <v>-7536</v>
          </cell>
          <cell r="BK317">
            <v>-7536</v>
          </cell>
          <cell r="BL317">
            <v>-7536</v>
          </cell>
          <cell r="BM317">
            <v>-7536</v>
          </cell>
          <cell r="BN317">
            <v>-7536</v>
          </cell>
          <cell r="BO317">
            <v>-7536</v>
          </cell>
          <cell r="BP317">
            <v>-7536</v>
          </cell>
          <cell r="BQ317">
            <v>-7536</v>
          </cell>
          <cell r="BR317">
            <v>-7536</v>
          </cell>
          <cell r="BS317">
            <v>-7536</v>
          </cell>
          <cell r="BT317">
            <v>-7536</v>
          </cell>
          <cell r="BU317">
            <v>-7536</v>
          </cell>
          <cell r="BV317">
            <v>-7536</v>
          </cell>
        </row>
        <row r="318">
          <cell r="A318" t="str">
            <v>PORSCHE</v>
          </cell>
          <cell r="B318" t="str">
            <v>PO426 FHR&amp;ROHR</v>
          </cell>
          <cell r="D318" t="str">
            <v>ROHR VNL</v>
          </cell>
          <cell r="Z318">
            <v>60</v>
          </cell>
          <cell r="AA318">
            <v>240</v>
          </cell>
          <cell r="AB318">
            <v>-70</v>
          </cell>
          <cell r="AC318">
            <v>-150</v>
          </cell>
          <cell r="AD318">
            <v>-350</v>
          </cell>
          <cell r="AE318">
            <v>-430</v>
          </cell>
          <cell r="AF318">
            <v>-750</v>
          </cell>
          <cell r="AG318">
            <v>-830</v>
          </cell>
          <cell r="AH318">
            <v>-1030</v>
          </cell>
          <cell r="AI318">
            <v>-1230</v>
          </cell>
          <cell r="AJ318">
            <v>-1390</v>
          </cell>
          <cell r="AK318">
            <v>-1510</v>
          </cell>
          <cell r="AL318">
            <v>-1590</v>
          </cell>
          <cell r="AM318">
            <v>-1830</v>
          </cell>
          <cell r="AN318">
            <v>-1910</v>
          </cell>
          <cell r="AO318">
            <v>-2630</v>
          </cell>
          <cell r="AP318">
            <v>-2630</v>
          </cell>
          <cell r="AQ318">
            <v>-2630</v>
          </cell>
          <cell r="AR318">
            <v>-2630</v>
          </cell>
          <cell r="AS318">
            <v>-3190</v>
          </cell>
          <cell r="AT318">
            <v>-3190</v>
          </cell>
          <cell r="AU318">
            <v>-3190</v>
          </cell>
          <cell r="AV318">
            <v>-3190</v>
          </cell>
          <cell r="AW318">
            <v>-3190</v>
          </cell>
          <cell r="AX318">
            <v>-3190</v>
          </cell>
          <cell r="AY318">
            <v>-3190</v>
          </cell>
          <cell r="AZ318">
            <v>-3190</v>
          </cell>
          <cell r="BA318">
            <v>-3190</v>
          </cell>
          <cell r="BB318">
            <v>-3190</v>
          </cell>
          <cell r="BC318">
            <v>-3190</v>
          </cell>
          <cell r="BD318">
            <v>-3190</v>
          </cell>
          <cell r="BE318">
            <v>-3190</v>
          </cell>
          <cell r="BF318">
            <v>-3190</v>
          </cell>
          <cell r="BG318">
            <v>-3190</v>
          </cell>
          <cell r="BH318">
            <v>-3190</v>
          </cell>
          <cell r="BI318">
            <v>-3190</v>
          </cell>
          <cell r="BJ318">
            <v>-3190</v>
          </cell>
          <cell r="BK318">
            <v>-3190</v>
          </cell>
          <cell r="BL318">
            <v>-3190</v>
          </cell>
          <cell r="BM318">
            <v>-3190</v>
          </cell>
          <cell r="BN318">
            <v>-3190</v>
          </cell>
          <cell r="BO318">
            <v>-3190</v>
          </cell>
          <cell r="BP318">
            <v>-3190</v>
          </cell>
          <cell r="BQ318">
            <v>-3190</v>
          </cell>
          <cell r="BR318">
            <v>-3190</v>
          </cell>
          <cell r="BS318">
            <v>-3190</v>
          </cell>
          <cell r="BT318">
            <v>-3190</v>
          </cell>
          <cell r="BU318">
            <v>-3190</v>
          </cell>
          <cell r="BV318">
            <v>-3190</v>
          </cell>
        </row>
        <row r="319">
          <cell r="A319" t="str">
            <v>PORSCHE</v>
          </cell>
          <cell r="B319" t="str">
            <v>PO426 FHR&amp;ROHR</v>
          </cell>
          <cell r="D319" t="str">
            <v>Other colors</v>
          </cell>
          <cell r="Z319">
            <v>177</v>
          </cell>
          <cell r="AA319">
            <v>561</v>
          </cell>
          <cell r="AB319">
            <v>-279</v>
          </cell>
          <cell r="AC319">
            <v>-591</v>
          </cell>
          <cell r="AD319">
            <v>-687</v>
          </cell>
          <cell r="AE319">
            <v>-759</v>
          </cell>
          <cell r="AF319">
            <v>-855</v>
          </cell>
          <cell r="AG319">
            <v>-951</v>
          </cell>
          <cell r="AH319">
            <v>-1143</v>
          </cell>
          <cell r="AI319">
            <v>-1962</v>
          </cell>
          <cell r="AJ319">
            <v>-2082</v>
          </cell>
          <cell r="AK319">
            <v>-2370</v>
          </cell>
          <cell r="AL319">
            <v>-2466</v>
          </cell>
          <cell r="AM319">
            <v>-2850</v>
          </cell>
          <cell r="AN319">
            <v>-3138</v>
          </cell>
          <cell r="AO319">
            <v>-4582</v>
          </cell>
          <cell r="AP319">
            <v>-4582</v>
          </cell>
          <cell r="AQ319">
            <v>-4582</v>
          </cell>
          <cell r="AR319">
            <v>-4582</v>
          </cell>
          <cell r="AS319">
            <v>-6053</v>
          </cell>
          <cell r="AT319">
            <v>-6053</v>
          </cell>
          <cell r="AU319">
            <v>-6053</v>
          </cell>
          <cell r="AV319">
            <v>-6053</v>
          </cell>
          <cell r="AW319">
            <v>-6053</v>
          </cell>
          <cell r="AX319">
            <v>-6053</v>
          </cell>
          <cell r="AY319">
            <v>-6053</v>
          </cell>
          <cell r="AZ319">
            <v>-6053</v>
          </cell>
          <cell r="BA319">
            <v>-6053</v>
          </cell>
          <cell r="BB319">
            <v>-6053</v>
          </cell>
          <cell r="BC319">
            <v>-6053</v>
          </cell>
          <cell r="BD319">
            <v>-6053</v>
          </cell>
          <cell r="BE319">
            <v>-6053</v>
          </cell>
          <cell r="BF319">
            <v>-6053</v>
          </cell>
          <cell r="BG319">
            <v>-6053</v>
          </cell>
          <cell r="BH319">
            <v>-6053</v>
          </cell>
          <cell r="BI319">
            <v>-6053</v>
          </cell>
          <cell r="BJ319">
            <v>-6053</v>
          </cell>
          <cell r="BK319">
            <v>-6053</v>
          </cell>
          <cell r="BL319">
            <v>-6053</v>
          </cell>
          <cell r="BM319">
            <v>-6053</v>
          </cell>
          <cell r="BN319">
            <v>-6053</v>
          </cell>
          <cell r="BO319">
            <v>-6053</v>
          </cell>
          <cell r="BP319">
            <v>-6053</v>
          </cell>
          <cell r="BQ319">
            <v>-6053</v>
          </cell>
          <cell r="BR319">
            <v>-6053</v>
          </cell>
          <cell r="BS319">
            <v>-6053</v>
          </cell>
          <cell r="BT319">
            <v>-6053</v>
          </cell>
          <cell r="BU319">
            <v>-6053</v>
          </cell>
          <cell r="BV319">
            <v>-6053</v>
          </cell>
        </row>
        <row r="320">
          <cell r="A320" t="str">
            <v>PORSCHE</v>
          </cell>
          <cell r="B320" t="str">
            <v>PO426 FHR&amp;ROHR</v>
          </cell>
          <cell r="D320"/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</row>
        <row r="321">
          <cell r="A321" t="str">
            <v>PORSCHE</v>
          </cell>
          <cell r="B321" t="str">
            <v>PO426 FHR&amp;ROHR</v>
          </cell>
          <cell r="D321" t="str">
            <v>STOCK</v>
          </cell>
          <cell r="Z321">
            <v>765</v>
          </cell>
          <cell r="AA321">
            <v>1729.2857142857142</v>
          </cell>
          <cell r="AB321">
            <v>15.827067669172948</v>
          </cell>
          <cell r="AC321">
            <v>968.54887218045133</v>
          </cell>
          <cell r="AD321">
            <v>1301.7819548872183</v>
          </cell>
          <cell r="AE321">
            <v>2230.5037593984966</v>
          </cell>
          <cell r="AF321">
            <v>2559.2255639097748</v>
          </cell>
          <cell r="AG321">
            <v>2851.7669172932337</v>
          </cell>
          <cell r="AH321">
            <v>2802.8045112781961</v>
          </cell>
          <cell r="AI321">
            <v>2390.8421052631584</v>
          </cell>
          <cell r="AJ321">
            <v>2573.8796992481207</v>
          </cell>
          <cell r="AK321">
            <v>2089.9097744360906</v>
          </cell>
          <cell r="AL321">
            <v>2389.9398496240606</v>
          </cell>
          <cell r="AM321">
            <v>2420.9774436090229</v>
          </cell>
          <cell r="AN321">
            <v>2553.0075187969928</v>
          </cell>
          <cell r="AO321">
            <v>-1187.9548872180449</v>
          </cell>
          <cell r="AP321">
            <v>-172.91729323308243</v>
          </cell>
          <cell r="AQ321">
            <v>842.12030075188</v>
          </cell>
          <cell r="AR321">
            <v>1857.1578947368425</v>
          </cell>
          <cell r="AS321">
            <v>-478.80451127819504</v>
          </cell>
          <cell r="AT321">
            <v>536.23308270676739</v>
          </cell>
          <cell r="AU321">
            <v>359.65935446950778</v>
          </cell>
          <cell r="AV321">
            <v>183.08562623224816</v>
          </cell>
          <cell r="AW321">
            <v>244.28933688387724</v>
          </cell>
          <cell r="AX321">
            <v>305.49304753550632</v>
          </cell>
          <cell r="AY321">
            <v>366.6967581871354</v>
          </cell>
          <cell r="AZ321">
            <v>-587.13712514619795</v>
          </cell>
          <cell r="BA321">
            <v>-1540.9710084795313</v>
          </cell>
          <cell r="BB321">
            <v>-1444.8103666562229</v>
          </cell>
          <cell r="BC321">
            <v>-671.95799550960646</v>
          </cell>
          <cell r="BD321">
            <v>100.89437563700994</v>
          </cell>
          <cell r="BE321">
            <v>873.74674678362635</v>
          </cell>
          <cell r="BF321">
            <v>1646.5991179302428</v>
          </cell>
          <cell r="BG321">
            <v>427.23847102130367</v>
          </cell>
          <cell r="BH321">
            <v>-792.12217588763542</v>
          </cell>
          <cell r="BI321">
            <v>-2011.4828227965745</v>
          </cell>
          <cell r="BJ321">
            <v>-3230.8434697055136</v>
          </cell>
          <cell r="BK321">
            <v>-2418.8133945175437</v>
          </cell>
          <cell r="BL321">
            <v>-43111.281179720121</v>
          </cell>
          <cell r="BM321">
            <v>-42786.46914964493</v>
          </cell>
          <cell r="BN321">
            <v>-42055.642081975755</v>
          </cell>
          <cell r="BO321">
            <v>-41324.81501430658</v>
          </cell>
          <cell r="BP321">
            <v>-40593.987946637404</v>
          </cell>
          <cell r="BQ321">
            <v>-39863.160878968229</v>
          </cell>
          <cell r="BR321">
            <v>-39132.333811299053</v>
          </cell>
          <cell r="BS321">
            <v>-38401.506743629878</v>
          </cell>
          <cell r="BT321">
            <v>-37670.679675960702</v>
          </cell>
          <cell r="BU321">
            <v>-36939.852608291527</v>
          </cell>
          <cell r="BV321">
            <v>-36209.025540622351</v>
          </cell>
        </row>
        <row r="322">
          <cell r="A322" t="str">
            <v>Blank</v>
          </cell>
          <cell r="B322" t="str">
            <v>Blank</v>
          </cell>
          <cell r="D322" t="str">
            <v>Blank</v>
          </cell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</row>
        <row r="323">
          <cell r="A323" t="str">
            <v>Volvo PIP</v>
          </cell>
          <cell r="B323" t="str">
            <v>EX30 PIP Outer</v>
          </cell>
          <cell r="D323" t="str">
            <v>Work days</v>
          </cell>
          <cell r="Z323">
            <v>5</v>
          </cell>
          <cell r="AA323">
            <v>5</v>
          </cell>
          <cell r="AB323">
            <v>5</v>
          </cell>
          <cell r="AC323">
            <v>5</v>
          </cell>
          <cell r="AD323">
            <v>3</v>
          </cell>
          <cell r="AE323">
            <v>5</v>
          </cell>
          <cell r="AF323">
            <v>5</v>
          </cell>
          <cell r="AG323">
            <v>5</v>
          </cell>
          <cell r="AH323">
            <v>5</v>
          </cell>
          <cell r="AI323">
            <v>5</v>
          </cell>
          <cell r="AJ323">
            <v>5</v>
          </cell>
          <cell r="AK323">
            <v>4</v>
          </cell>
          <cell r="AL323">
            <v>4</v>
          </cell>
          <cell r="AM323">
            <v>5</v>
          </cell>
          <cell r="AN323">
            <v>4</v>
          </cell>
          <cell r="AO323">
            <v>5</v>
          </cell>
          <cell r="AP323">
            <v>5</v>
          </cell>
          <cell r="AQ323">
            <v>5</v>
          </cell>
          <cell r="AR323">
            <v>5</v>
          </cell>
          <cell r="AS323">
            <v>5</v>
          </cell>
          <cell r="AT323">
            <v>5</v>
          </cell>
          <cell r="AU323">
            <v>5</v>
          </cell>
          <cell r="AV323">
            <v>5</v>
          </cell>
          <cell r="AW323">
            <v>5</v>
          </cell>
          <cell r="AX323">
            <v>5</v>
          </cell>
          <cell r="AY323">
            <v>5</v>
          </cell>
          <cell r="AZ323">
            <v>0</v>
          </cell>
          <cell r="BA323">
            <v>0</v>
          </cell>
          <cell r="BB323">
            <v>5</v>
          </cell>
          <cell r="BC323">
            <v>5</v>
          </cell>
          <cell r="BD323">
            <v>5</v>
          </cell>
          <cell r="BE323">
            <v>5</v>
          </cell>
          <cell r="BF323">
            <v>5</v>
          </cell>
          <cell r="BG323">
            <v>5</v>
          </cell>
          <cell r="BH323">
            <v>5</v>
          </cell>
          <cell r="BI323">
            <v>5</v>
          </cell>
          <cell r="BJ323">
            <v>5</v>
          </cell>
          <cell r="BK323">
            <v>5</v>
          </cell>
          <cell r="BL323">
            <v>5</v>
          </cell>
          <cell r="BM323">
            <v>5</v>
          </cell>
          <cell r="BN323">
            <v>5</v>
          </cell>
          <cell r="BO323">
            <v>5</v>
          </cell>
          <cell r="BP323">
            <v>5</v>
          </cell>
          <cell r="BQ323">
            <v>5</v>
          </cell>
          <cell r="BR323">
            <v>5</v>
          </cell>
          <cell r="BS323">
            <v>5</v>
          </cell>
          <cell r="BT323">
            <v>5</v>
          </cell>
          <cell r="BU323">
            <v>5</v>
          </cell>
          <cell r="BV323">
            <v>5</v>
          </cell>
        </row>
        <row r="324">
          <cell r="A324" t="str">
            <v>Volvo PIP</v>
          </cell>
          <cell r="B324" t="str">
            <v>EX30 PIP Outer</v>
          </cell>
          <cell r="D324" t="str">
            <v>SHIFT A HC - operators</v>
          </cell>
          <cell r="Z324">
            <v>5</v>
          </cell>
          <cell r="AA324">
            <v>5</v>
          </cell>
          <cell r="AB324">
            <v>6</v>
          </cell>
          <cell r="AC324">
            <v>6</v>
          </cell>
          <cell r="AD324">
            <v>5</v>
          </cell>
          <cell r="AE324">
            <v>5</v>
          </cell>
          <cell r="AF324">
            <v>5</v>
          </cell>
          <cell r="AG324">
            <v>5</v>
          </cell>
          <cell r="AH324">
            <v>5</v>
          </cell>
          <cell r="AI324">
            <v>5</v>
          </cell>
          <cell r="AJ324">
            <v>5</v>
          </cell>
          <cell r="AK324">
            <v>5</v>
          </cell>
          <cell r="AL324">
            <v>5</v>
          </cell>
          <cell r="AM324">
            <v>5</v>
          </cell>
          <cell r="AN324">
            <v>5</v>
          </cell>
          <cell r="AO324">
            <v>5</v>
          </cell>
          <cell r="AP324">
            <v>5</v>
          </cell>
          <cell r="AQ324">
            <v>5</v>
          </cell>
          <cell r="AR324">
            <v>5</v>
          </cell>
          <cell r="AS324">
            <v>5</v>
          </cell>
          <cell r="AT324">
            <v>5</v>
          </cell>
          <cell r="AU324">
            <v>5</v>
          </cell>
          <cell r="AV324">
            <v>5</v>
          </cell>
          <cell r="AW324">
            <v>5</v>
          </cell>
          <cell r="AX324">
            <v>5</v>
          </cell>
          <cell r="AY324">
            <v>5</v>
          </cell>
          <cell r="AZ324">
            <v>5</v>
          </cell>
          <cell r="BA324">
            <v>5</v>
          </cell>
          <cell r="BB324">
            <v>5</v>
          </cell>
          <cell r="BC324">
            <v>5</v>
          </cell>
          <cell r="BD324">
            <v>5</v>
          </cell>
          <cell r="BE324">
            <v>5</v>
          </cell>
          <cell r="BF324">
            <v>5</v>
          </cell>
          <cell r="BG324">
            <v>5</v>
          </cell>
          <cell r="BH324">
            <v>5</v>
          </cell>
          <cell r="BI324">
            <v>5</v>
          </cell>
          <cell r="BJ324">
            <v>5</v>
          </cell>
          <cell r="BK324">
            <v>4</v>
          </cell>
          <cell r="BL324">
            <v>8</v>
          </cell>
          <cell r="BM324">
            <v>8</v>
          </cell>
          <cell r="BN324">
            <v>8</v>
          </cell>
          <cell r="BO324">
            <v>3</v>
          </cell>
          <cell r="BP324">
            <v>3</v>
          </cell>
          <cell r="BQ324">
            <v>3</v>
          </cell>
          <cell r="BR324">
            <v>3</v>
          </cell>
          <cell r="BS324">
            <v>3</v>
          </cell>
          <cell r="BT324">
            <v>3</v>
          </cell>
          <cell r="BU324">
            <v>3</v>
          </cell>
          <cell r="BV324">
            <v>3</v>
          </cell>
        </row>
        <row r="325">
          <cell r="A325" t="str">
            <v>Volvo PIP</v>
          </cell>
          <cell r="B325" t="str">
            <v>EX30 PIP Outer</v>
          </cell>
          <cell r="D325" t="str">
            <v>SHIFT B HC  - operators</v>
          </cell>
          <cell r="Z325">
            <v>4</v>
          </cell>
          <cell r="AA325">
            <v>4</v>
          </cell>
          <cell r="AB325">
            <v>5</v>
          </cell>
          <cell r="AC325">
            <v>5</v>
          </cell>
          <cell r="AD325">
            <v>5</v>
          </cell>
          <cell r="AE325">
            <v>5</v>
          </cell>
          <cell r="AF325">
            <v>5</v>
          </cell>
          <cell r="AG325">
            <v>5</v>
          </cell>
          <cell r="AH325">
            <v>5</v>
          </cell>
          <cell r="AI325">
            <v>5</v>
          </cell>
          <cell r="AJ325">
            <v>5</v>
          </cell>
          <cell r="AK325">
            <v>5</v>
          </cell>
          <cell r="AL325">
            <v>5</v>
          </cell>
          <cell r="AM325">
            <v>5</v>
          </cell>
          <cell r="AN325">
            <v>5</v>
          </cell>
          <cell r="AO325">
            <v>5</v>
          </cell>
          <cell r="AP325">
            <v>5</v>
          </cell>
          <cell r="AQ325">
            <v>5</v>
          </cell>
          <cell r="AR325">
            <v>5</v>
          </cell>
          <cell r="AS325">
            <v>5</v>
          </cell>
          <cell r="AT325">
            <v>5</v>
          </cell>
          <cell r="AU325">
            <v>5</v>
          </cell>
          <cell r="AV325">
            <v>5</v>
          </cell>
          <cell r="AW325">
            <v>5</v>
          </cell>
          <cell r="AX325">
            <v>5</v>
          </cell>
          <cell r="AY325">
            <v>5</v>
          </cell>
          <cell r="AZ325">
            <v>5</v>
          </cell>
          <cell r="BA325">
            <v>5</v>
          </cell>
          <cell r="BB325">
            <v>5</v>
          </cell>
          <cell r="BC325">
            <v>5</v>
          </cell>
          <cell r="BD325">
            <v>5</v>
          </cell>
          <cell r="BE325">
            <v>5</v>
          </cell>
          <cell r="BF325">
            <v>5</v>
          </cell>
          <cell r="BG325">
            <v>5</v>
          </cell>
          <cell r="BH325">
            <v>5</v>
          </cell>
          <cell r="BI325">
            <v>5</v>
          </cell>
          <cell r="BJ325">
            <v>5</v>
          </cell>
          <cell r="BK325">
            <v>4</v>
          </cell>
          <cell r="BL325">
            <v>4</v>
          </cell>
          <cell r="BM325">
            <v>8</v>
          </cell>
          <cell r="BN325">
            <v>8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</row>
        <row r="326">
          <cell r="A326" t="str">
            <v>Volvo PIP</v>
          </cell>
          <cell r="B326" t="str">
            <v>EX30 PIP Outer</v>
          </cell>
          <cell r="D326" t="str">
            <v>SHIFT C HC  - operators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</row>
        <row r="327">
          <cell r="A327" t="str">
            <v>Volvo PIP</v>
          </cell>
          <cell r="B327" t="str">
            <v>EX30 PIP Outer</v>
          </cell>
          <cell r="D327" t="str">
            <v>Total HC</v>
          </cell>
          <cell r="Z327">
            <v>9</v>
          </cell>
          <cell r="AA327">
            <v>9</v>
          </cell>
          <cell r="AB327">
            <v>11</v>
          </cell>
          <cell r="AC327">
            <v>11</v>
          </cell>
          <cell r="AD327">
            <v>10</v>
          </cell>
          <cell r="AE327">
            <v>10</v>
          </cell>
          <cell r="AF327">
            <v>10</v>
          </cell>
          <cell r="AG327">
            <v>10</v>
          </cell>
          <cell r="AH327">
            <v>10</v>
          </cell>
          <cell r="AI327">
            <v>10</v>
          </cell>
          <cell r="AJ327">
            <v>10</v>
          </cell>
          <cell r="AK327">
            <v>10</v>
          </cell>
          <cell r="AL327">
            <v>10</v>
          </cell>
          <cell r="AM327">
            <v>10</v>
          </cell>
          <cell r="AN327">
            <v>10</v>
          </cell>
          <cell r="AO327">
            <v>10</v>
          </cell>
          <cell r="AP327">
            <v>10</v>
          </cell>
          <cell r="AQ327">
            <v>10</v>
          </cell>
          <cell r="AR327">
            <v>10</v>
          </cell>
          <cell r="AS327">
            <v>10</v>
          </cell>
          <cell r="AT327">
            <v>10</v>
          </cell>
          <cell r="AU327">
            <v>10</v>
          </cell>
          <cell r="AV327">
            <v>10</v>
          </cell>
          <cell r="AW327">
            <v>10</v>
          </cell>
          <cell r="AX327">
            <v>10</v>
          </cell>
          <cell r="AY327">
            <v>10</v>
          </cell>
          <cell r="AZ327">
            <v>10</v>
          </cell>
          <cell r="BA327">
            <v>10</v>
          </cell>
          <cell r="BB327">
            <v>10</v>
          </cell>
          <cell r="BC327">
            <v>10</v>
          </cell>
          <cell r="BD327">
            <v>10</v>
          </cell>
          <cell r="BE327">
            <v>10</v>
          </cell>
          <cell r="BF327">
            <v>10</v>
          </cell>
          <cell r="BG327">
            <v>10</v>
          </cell>
          <cell r="BH327">
            <v>10</v>
          </cell>
          <cell r="BI327">
            <v>10</v>
          </cell>
          <cell r="BJ327">
            <v>10</v>
          </cell>
          <cell r="BK327">
            <v>8</v>
          </cell>
          <cell r="BL327">
            <v>12</v>
          </cell>
          <cell r="BM327">
            <v>16</v>
          </cell>
          <cell r="BN327">
            <v>16</v>
          </cell>
          <cell r="BO327">
            <v>3</v>
          </cell>
          <cell r="BP327">
            <v>3</v>
          </cell>
          <cell r="BQ327">
            <v>3</v>
          </cell>
          <cell r="BR327">
            <v>3</v>
          </cell>
          <cell r="BS327">
            <v>3</v>
          </cell>
          <cell r="BT327">
            <v>3</v>
          </cell>
          <cell r="BU327">
            <v>3</v>
          </cell>
          <cell r="BV327">
            <v>3</v>
          </cell>
        </row>
        <row r="328">
          <cell r="A328" t="str">
            <v>Volvo PIP</v>
          </cell>
          <cell r="B328" t="str">
            <v>EX30 PIP Outer</v>
          </cell>
          <cell r="D328" t="str">
            <v>SHIFT A HC  - efficiency</v>
          </cell>
          <cell r="Z328">
            <v>0.9</v>
          </cell>
          <cell r="AA328">
            <v>0.95000000000000007</v>
          </cell>
          <cell r="AB328">
            <v>1</v>
          </cell>
          <cell r="AC328">
            <v>1.1000000000000001</v>
          </cell>
          <cell r="AD328">
            <v>1.1000000000000001</v>
          </cell>
          <cell r="AE328">
            <v>1.1000000000000001</v>
          </cell>
          <cell r="AF328">
            <v>1.1000000000000001</v>
          </cell>
          <cell r="AG328">
            <v>1.1000000000000001</v>
          </cell>
          <cell r="AH328">
            <v>1.1000000000000001</v>
          </cell>
          <cell r="AI328">
            <v>1.1000000000000001</v>
          </cell>
          <cell r="AJ328">
            <v>1.1000000000000001</v>
          </cell>
          <cell r="AK328">
            <v>1.1000000000000001</v>
          </cell>
          <cell r="AL328">
            <v>1.1000000000000001</v>
          </cell>
          <cell r="AM328">
            <v>1.1000000000000001</v>
          </cell>
          <cell r="AN328">
            <v>1.1000000000000001</v>
          </cell>
          <cell r="AO328">
            <v>1.1000000000000001</v>
          </cell>
          <cell r="AP328">
            <v>1.1000000000000001</v>
          </cell>
          <cell r="AQ328">
            <v>1.1000000000000001</v>
          </cell>
          <cell r="AR328">
            <v>1.1000000000000001</v>
          </cell>
          <cell r="AS328">
            <v>1.1000000000000001</v>
          </cell>
          <cell r="AT328">
            <v>1.05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1</v>
          </cell>
          <cell r="BB328">
            <v>1</v>
          </cell>
          <cell r="BC328">
            <v>1</v>
          </cell>
          <cell r="BD328">
            <v>1</v>
          </cell>
          <cell r="BE328">
            <v>1</v>
          </cell>
          <cell r="BF328">
            <v>1</v>
          </cell>
          <cell r="BG328">
            <v>1</v>
          </cell>
          <cell r="BH328">
            <v>1</v>
          </cell>
          <cell r="BI328">
            <v>1.0000000000000007</v>
          </cell>
          <cell r="BJ328">
            <v>1.0000000000000007</v>
          </cell>
          <cell r="BK328">
            <v>1.2</v>
          </cell>
          <cell r="BL328">
            <v>1.2</v>
          </cell>
          <cell r="BM328">
            <v>1.2</v>
          </cell>
          <cell r="BN328">
            <v>1.2</v>
          </cell>
          <cell r="BO328">
            <v>1.2</v>
          </cell>
          <cell r="BP328">
            <v>1.2</v>
          </cell>
          <cell r="BQ328">
            <v>1.2</v>
          </cell>
          <cell r="BR328">
            <v>1.2</v>
          </cell>
          <cell r="BS328">
            <v>1.2</v>
          </cell>
          <cell r="BT328">
            <v>1.2</v>
          </cell>
          <cell r="BU328">
            <v>1.2</v>
          </cell>
          <cell r="BV328">
            <v>1.2</v>
          </cell>
        </row>
        <row r="329">
          <cell r="A329" t="str">
            <v>Volvo PIP</v>
          </cell>
          <cell r="B329" t="str">
            <v>EX30 PIP Outer</v>
          </cell>
          <cell r="D329" t="str">
            <v>SHIFT B HC  - efficiency</v>
          </cell>
          <cell r="Z329">
            <v>0.9</v>
          </cell>
          <cell r="AA329">
            <v>0.95000000000000007</v>
          </cell>
          <cell r="AB329">
            <v>1</v>
          </cell>
          <cell r="AC329">
            <v>1.1000000000000001</v>
          </cell>
          <cell r="AD329">
            <v>1.1000000000000001</v>
          </cell>
          <cell r="AE329">
            <v>1.1000000000000001</v>
          </cell>
          <cell r="AF329">
            <v>1.1000000000000001</v>
          </cell>
          <cell r="AG329">
            <v>1.1000000000000001</v>
          </cell>
          <cell r="AH329">
            <v>1.1000000000000001</v>
          </cell>
          <cell r="AI329">
            <v>1.1000000000000001</v>
          </cell>
          <cell r="AJ329">
            <v>1.1000000000000001</v>
          </cell>
          <cell r="AK329">
            <v>1.1000000000000001</v>
          </cell>
          <cell r="AL329">
            <v>1.1000000000000001</v>
          </cell>
          <cell r="AM329">
            <v>1.1000000000000001</v>
          </cell>
          <cell r="AN329">
            <v>1.1000000000000001</v>
          </cell>
          <cell r="AO329">
            <v>1.1000000000000001</v>
          </cell>
          <cell r="AP329">
            <v>1.1000000000000001</v>
          </cell>
          <cell r="AQ329">
            <v>1.1000000000000001</v>
          </cell>
          <cell r="AR329">
            <v>1.1000000000000001</v>
          </cell>
          <cell r="AS329">
            <v>1.1000000000000001</v>
          </cell>
          <cell r="AT329">
            <v>1.05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1</v>
          </cell>
          <cell r="BB329">
            <v>1</v>
          </cell>
          <cell r="BC329">
            <v>1</v>
          </cell>
          <cell r="BD329">
            <v>1</v>
          </cell>
          <cell r="BE329">
            <v>1</v>
          </cell>
          <cell r="BF329">
            <v>1</v>
          </cell>
          <cell r="BG329">
            <v>1</v>
          </cell>
          <cell r="BH329">
            <v>1</v>
          </cell>
          <cell r="BI329">
            <v>1</v>
          </cell>
          <cell r="BJ329">
            <v>1</v>
          </cell>
          <cell r="BK329">
            <v>1</v>
          </cell>
          <cell r="BL329">
            <v>1</v>
          </cell>
          <cell r="BM329">
            <v>1</v>
          </cell>
          <cell r="BN329">
            <v>1</v>
          </cell>
          <cell r="BO329">
            <v>1</v>
          </cell>
          <cell r="BP329">
            <v>1</v>
          </cell>
          <cell r="BQ329">
            <v>1</v>
          </cell>
          <cell r="BR329">
            <v>1</v>
          </cell>
          <cell r="BS329">
            <v>1</v>
          </cell>
          <cell r="BT329">
            <v>1</v>
          </cell>
          <cell r="BU329">
            <v>1</v>
          </cell>
          <cell r="BV329">
            <v>1</v>
          </cell>
        </row>
        <row r="330">
          <cell r="A330" t="str">
            <v>Volvo PIP</v>
          </cell>
          <cell r="B330" t="str">
            <v>EX30 PIP Outer</v>
          </cell>
          <cell r="D330" t="str">
            <v>SHIFT C HC  - efficiency</v>
          </cell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</row>
        <row r="331">
          <cell r="A331" t="str">
            <v>Volvo PIP</v>
          </cell>
          <cell r="B331" t="str">
            <v>EX30 PIP Outer</v>
          </cell>
          <cell r="D331" t="str">
            <v>Total efficiency</v>
          </cell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</row>
        <row r="332">
          <cell r="A332" t="str">
            <v>Volvo PIP</v>
          </cell>
          <cell r="B332" t="str">
            <v>EX30 PIP Outer</v>
          </cell>
          <cell r="D332" t="str">
            <v>SHIFT A - output</v>
          </cell>
          <cell r="Z332">
            <v>268.08054330990109</v>
          </cell>
          <cell r="AA332">
            <v>282.97390682711784</v>
          </cell>
          <cell r="AB332">
            <v>357.44072441320145</v>
          </cell>
          <cell r="AC332">
            <v>393.18479685452161</v>
          </cell>
          <cell r="AD332">
            <v>327.653997378768</v>
          </cell>
          <cell r="AE332">
            <v>327.653997378768</v>
          </cell>
          <cell r="AF332">
            <v>327.653997378768</v>
          </cell>
          <cell r="AG332">
            <v>327.653997378768</v>
          </cell>
          <cell r="AH332">
            <v>327.653997378768</v>
          </cell>
          <cell r="AI332">
            <v>327.653997378768</v>
          </cell>
          <cell r="AJ332">
            <v>327.653997378768</v>
          </cell>
          <cell r="AK332">
            <v>327.653997378768</v>
          </cell>
          <cell r="AL332">
            <v>327.653997378768</v>
          </cell>
          <cell r="AM332">
            <v>327.653997378768</v>
          </cell>
          <cell r="AN332">
            <v>327.653997378768</v>
          </cell>
          <cell r="AO332">
            <v>327.653997378768</v>
          </cell>
          <cell r="AP332">
            <v>327.653997378768</v>
          </cell>
          <cell r="AQ332">
            <v>327.653997378768</v>
          </cell>
          <cell r="AR332">
            <v>327.653997378768</v>
          </cell>
          <cell r="AS332">
            <v>327.653997378768</v>
          </cell>
          <cell r="AT332">
            <v>312.7606338615513</v>
          </cell>
          <cell r="AU332">
            <v>297.86727034433454</v>
          </cell>
          <cell r="AV332">
            <v>297.86727034433454</v>
          </cell>
          <cell r="AW332">
            <v>297.86727034433454</v>
          </cell>
          <cell r="AX332">
            <v>297.86727034433454</v>
          </cell>
          <cell r="AY332">
            <v>297.86727034433454</v>
          </cell>
          <cell r="AZ332">
            <v>297.86727034433454</v>
          </cell>
          <cell r="BA332">
            <v>297.86727034433454</v>
          </cell>
          <cell r="BB332">
            <v>297.86727034433454</v>
          </cell>
          <cell r="BC332">
            <v>297.86727034433454</v>
          </cell>
          <cell r="BD332">
            <v>297.86727034433454</v>
          </cell>
          <cell r="BE332">
            <v>297.86727034433454</v>
          </cell>
          <cell r="BF332">
            <v>297.86727034433454</v>
          </cell>
          <cell r="BG332">
            <v>297.86727034433454</v>
          </cell>
          <cell r="BH332">
            <v>297.86727034433454</v>
          </cell>
          <cell r="BI332">
            <v>297.86727034433471</v>
          </cell>
          <cell r="BJ332">
            <v>297.86727034433471</v>
          </cell>
          <cell r="BK332">
            <v>285.95257953056114</v>
          </cell>
          <cell r="BL332">
            <v>571.90515906112228</v>
          </cell>
          <cell r="BM332">
            <v>571.90515906112228</v>
          </cell>
          <cell r="BN332">
            <v>571.90515906112228</v>
          </cell>
          <cell r="BO332">
            <v>214.46443464792085</v>
          </cell>
          <cell r="BP332">
            <v>214.46443464792085</v>
          </cell>
          <cell r="BQ332">
            <v>214.46443464792085</v>
          </cell>
          <cell r="BR332">
            <v>214.46443464792085</v>
          </cell>
          <cell r="BS332">
            <v>214.46443464792085</v>
          </cell>
          <cell r="BT332">
            <v>214.46443464792085</v>
          </cell>
          <cell r="BU332">
            <v>214.46443464792085</v>
          </cell>
          <cell r="BV332">
            <v>214.46443464792085</v>
          </cell>
        </row>
        <row r="333">
          <cell r="A333" t="str">
            <v>Volvo PIP</v>
          </cell>
          <cell r="B333" t="str">
            <v>EX30 PIP Outer</v>
          </cell>
          <cell r="D333" t="str">
            <v>SHIFT B  - output</v>
          </cell>
          <cell r="Z333">
            <v>214.46443464792088</v>
          </cell>
          <cell r="AA333">
            <v>226.37912546169426</v>
          </cell>
          <cell r="AB333">
            <v>297.86727034433454</v>
          </cell>
          <cell r="AC333">
            <v>327.653997378768</v>
          </cell>
          <cell r="AD333">
            <v>327.653997378768</v>
          </cell>
          <cell r="AE333">
            <v>327.653997378768</v>
          </cell>
          <cell r="AF333">
            <v>327.653997378768</v>
          </cell>
          <cell r="AG333">
            <v>327.653997378768</v>
          </cell>
          <cell r="AH333">
            <v>327.653997378768</v>
          </cell>
          <cell r="AI333">
            <v>327.653997378768</v>
          </cell>
          <cell r="AJ333">
            <v>327.653997378768</v>
          </cell>
          <cell r="AK333">
            <v>327.653997378768</v>
          </cell>
          <cell r="AL333">
            <v>327.653997378768</v>
          </cell>
          <cell r="AM333">
            <v>327.653997378768</v>
          </cell>
          <cell r="AN333">
            <v>327.653997378768</v>
          </cell>
          <cell r="AO333">
            <v>327.653997378768</v>
          </cell>
          <cell r="AP333">
            <v>327.653997378768</v>
          </cell>
          <cell r="AQ333">
            <v>327.653997378768</v>
          </cell>
          <cell r="AR333">
            <v>327.653997378768</v>
          </cell>
          <cell r="AS333">
            <v>327.653997378768</v>
          </cell>
          <cell r="AT333">
            <v>312.7606338615513</v>
          </cell>
          <cell r="AU333">
            <v>297.86727034433454</v>
          </cell>
          <cell r="AV333">
            <v>297.86727034433454</v>
          </cell>
          <cell r="AW333">
            <v>297.86727034433454</v>
          </cell>
          <cell r="AX333">
            <v>297.86727034433454</v>
          </cell>
          <cell r="AY333">
            <v>297.86727034433454</v>
          </cell>
          <cell r="AZ333">
            <v>297.86727034433454</v>
          </cell>
          <cell r="BA333">
            <v>297.86727034433454</v>
          </cell>
          <cell r="BB333">
            <v>297.86727034433454</v>
          </cell>
          <cell r="BC333">
            <v>297.86727034433454</v>
          </cell>
          <cell r="BD333">
            <v>297.86727034433454</v>
          </cell>
          <cell r="BE333">
            <v>297.86727034433454</v>
          </cell>
          <cell r="BF333">
            <v>297.86727034433454</v>
          </cell>
          <cell r="BG333">
            <v>297.86727034433454</v>
          </cell>
          <cell r="BH333">
            <v>297.86727034433454</v>
          </cell>
          <cell r="BI333">
            <v>297.86727034433454</v>
          </cell>
          <cell r="BJ333">
            <v>297.86727034433454</v>
          </cell>
          <cell r="BK333">
            <v>238.29381627546763</v>
          </cell>
          <cell r="BL333">
            <v>238.29381627546763</v>
          </cell>
          <cell r="BM333">
            <v>476.58763255093527</v>
          </cell>
          <cell r="BN333">
            <v>476.58763255093527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</row>
        <row r="334">
          <cell r="A334" t="str">
            <v>Volvo PIP</v>
          </cell>
          <cell r="B334" t="str">
            <v>EX30 PIP Outer</v>
          </cell>
          <cell r="D334" t="str">
            <v>SHIFT C  - output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</row>
        <row r="335">
          <cell r="A335" t="str">
            <v>Volvo PIP</v>
          </cell>
          <cell r="B335" t="str">
            <v>EX30 PIP Outer</v>
          </cell>
          <cell r="D335" t="str">
            <v>Est. Output (Pcs day)</v>
          </cell>
          <cell r="E335">
            <v>7.553700000000001</v>
          </cell>
          <cell r="Z335">
            <v>482.54497795782197</v>
          </cell>
          <cell r="AA335">
            <v>509.35303228881207</v>
          </cell>
          <cell r="AB335">
            <v>655.30799475753599</v>
          </cell>
          <cell r="AC335">
            <v>720.8387942332896</v>
          </cell>
          <cell r="AD335">
            <v>655.30799475753599</v>
          </cell>
          <cell r="AE335">
            <v>655.30799475753599</v>
          </cell>
          <cell r="AF335">
            <v>655.30799475753599</v>
          </cell>
          <cell r="AG335">
            <v>655.30799475753599</v>
          </cell>
          <cell r="AH335">
            <v>655.30799475753599</v>
          </cell>
          <cell r="AI335">
            <v>655.30799475753599</v>
          </cell>
          <cell r="AJ335">
            <v>655.30799475753599</v>
          </cell>
          <cell r="AK335">
            <v>655.30799475753599</v>
          </cell>
          <cell r="AL335">
            <v>655.30799475753599</v>
          </cell>
          <cell r="AM335">
            <v>655.30799475753599</v>
          </cell>
          <cell r="AN335">
            <v>655.30799475753599</v>
          </cell>
          <cell r="AO335">
            <v>655.30799475753599</v>
          </cell>
          <cell r="AP335">
            <v>655.30799475753599</v>
          </cell>
          <cell r="AQ335">
            <v>655.30799475753599</v>
          </cell>
          <cell r="AR335">
            <v>655.30799475753599</v>
          </cell>
          <cell r="AS335">
            <v>655.30799475753599</v>
          </cell>
          <cell r="AT335">
            <v>625.5212677231026</v>
          </cell>
          <cell r="AU335">
            <v>595.73454068866909</v>
          </cell>
          <cell r="AV335">
            <v>595.73454068866909</v>
          </cell>
          <cell r="AW335">
            <v>595.73454068866909</v>
          </cell>
          <cell r="AX335">
            <v>595.73454068866909</v>
          </cell>
          <cell r="AY335">
            <v>595.73454068866909</v>
          </cell>
          <cell r="AZ335">
            <v>595.73454068866909</v>
          </cell>
          <cell r="BA335">
            <v>595.73454068866909</v>
          </cell>
          <cell r="BB335">
            <v>595.73454068866909</v>
          </cell>
          <cell r="BC335">
            <v>595.73454068866909</v>
          </cell>
          <cell r="BD335">
            <v>595.73454068866909</v>
          </cell>
          <cell r="BE335">
            <v>595.73454068866909</v>
          </cell>
          <cell r="BF335">
            <v>595.73454068866909</v>
          </cell>
          <cell r="BG335">
            <v>595.73454068866909</v>
          </cell>
          <cell r="BH335">
            <v>595.73454068866909</v>
          </cell>
          <cell r="BI335">
            <v>595.73454068866931</v>
          </cell>
          <cell r="BJ335">
            <v>595.73454068866931</v>
          </cell>
          <cell r="BK335">
            <v>524.24639580602877</v>
          </cell>
          <cell r="BL335">
            <v>810.19897533658991</v>
          </cell>
          <cell r="BM335">
            <v>1048.4927916120575</v>
          </cell>
          <cell r="BN335">
            <v>1048.4927916120575</v>
          </cell>
          <cell r="BO335">
            <v>214.46443464792085</v>
          </cell>
          <cell r="BP335">
            <v>214.46443464792085</v>
          </cell>
          <cell r="BQ335">
            <v>214.46443464792085</v>
          </cell>
          <cell r="BR335">
            <v>214.46443464792085</v>
          </cell>
          <cell r="BS335">
            <v>214.46443464792085</v>
          </cell>
          <cell r="BT335">
            <v>214.46443464792085</v>
          </cell>
          <cell r="BU335">
            <v>214.46443464792085</v>
          </cell>
          <cell r="BV335">
            <v>214.46443464792085</v>
          </cell>
        </row>
        <row r="336">
          <cell r="A336" t="str">
            <v>Volvo PIP</v>
          </cell>
          <cell r="B336" t="str">
            <v>EX30 PIP Outer</v>
          </cell>
          <cell r="D336" t="str">
            <v>Weekly Output PLAN</v>
          </cell>
          <cell r="E336" t="str">
            <v>SEW</v>
          </cell>
          <cell r="Z336">
            <v>2412.72488978911</v>
          </cell>
          <cell r="AA336">
            <v>2546.7651614440601</v>
          </cell>
          <cell r="AB336">
            <v>3276.5399737876801</v>
          </cell>
          <cell r="AC336">
            <v>3604.1939711664481</v>
          </cell>
          <cell r="AD336">
            <v>1965.9239842726079</v>
          </cell>
          <cell r="AE336">
            <v>3276.5399737876801</v>
          </cell>
          <cell r="AF336">
            <v>3276.5399737876801</v>
          </cell>
          <cell r="AG336">
            <v>3276.5399737876801</v>
          </cell>
          <cell r="AH336">
            <v>3276.5399737876801</v>
          </cell>
          <cell r="AI336">
            <v>3276.5399737876801</v>
          </cell>
          <cell r="AJ336">
            <v>3276.5399737876801</v>
          </cell>
          <cell r="AK336">
            <v>2621.231979030144</v>
          </cell>
          <cell r="AL336">
            <v>2621.231979030144</v>
          </cell>
          <cell r="AM336">
            <v>3276.5399737876801</v>
          </cell>
          <cell r="AN336">
            <v>2621.231979030144</v>
          </cell>
          <cell r="AO336">
            <v>3276.5399737876801</v>
          </cell>
          <cell r="AP336">
            <v>3276.5399737876801</v>
          </cell>
          <cell r="AQ336">
            <v>3276.5399737876801</v>
          </cell>
          <cell r="AR336">
            <v>3276.5399737876801</v>
          </cell>
          <cell r="AS336">
            <v>3276.5399737876801</v>
          </cell>
          <cell r="AT336">
            <v>3127.6063386155129</v>
          </cell>
          <cell r="AU336">
            <v>2978.6727034433452</v>
          </cell>
          <cell r="AV336">
            <v>2978.6727034433452</v>
          </cell>
          <cell r="AW336">
            <v>2978.6727034433452</v>
          </cell>
          <cell r="AX336">
            <v>2978.6727034433452</v>
          </cell>
          <cell r="AY336">
            <v>2978.6727034433452</v>
          </cell>
          <cell r="AZ336">
            <v>0</v>
          </cell>
          <cell r="BA336">
            <v>0</v>
          </cell>
          <cell r="BB336">
            <v>2978.6727034433452</v>
          </cell>
          <cell r="BC336">
            <v>2978.6727034433452</v>
          </cell>
          <cell r="BD336">
            <v>2978.6727034433452</v>
          </cell>
          <cell r="BE336">
            <v>2978.6727034433452</v>
          </cell>
          <cell r="BF336">
            <v>2978.6727034433452</v>
          </cell>
          <cell r="BG336">
            <v>2978.6727034433452</v>
          </cell>
          <cell r="BH336">
            <v>2978.6727034433452</v>
          </cell>
          <cell r="BI336">
            <v>2978.6727034433466</v>
          </cell>
          <cell r="BJ336">
            <v>2978.6727034433466</v>
          </cell>
          <cell r="BK336">
            <v>2621.231979030144</v>
          </cell>
          <cell r="BL336">
            <v>4050.9948766829493</v>
          </cell>
          <cell r="BM336">
            <v>5242.463958060288</v>
          </cell>
          <cell r="BN336">
            <v>5242.463958060288</v>
          </cell>
          <cell r="BO336">
            <v>1072.3221732396044</v>
          </cell>
          <cell r="BP336">
            <v>1072.3221732396044</v>
          </cell>
          <cell r="BQ336">
            <v>1072.3221732396044</v>
          </cell>
          <cell r="BR336">
            <v>1072.3221732396044</v>
          </cell>
          <cell r="BS336">
            <v>1072.3221732396044</v>
          </cell>
          <cell r="BT336">
            <v>1072.3221732396044</v>
          </cell>
          <cell r="BU336">
            <v>1072.3221732396044</v>
          </cell>
          <cell r="BV336">
            <v>1072.3221732396044</v>
          </cell>
        </row>
        <row r="337">
          <cell r="A337" t="str">
            <v>Volvo PIP</v>
          </cell>
          <cell r="B337" t="str">
            <v>EX30 PIP Outer</v>
          </cell>
          <cell r="D337" t="str">
            <v>RHR OUTER BREEZE</v>
          </cell>
          <cell r="E337">
            <v>7.553700000000001</v>
          </cell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</row>
        <row r="338">
          <cell r="A338" t="str">
            <v>Volvo PIP</v>
          </cell>
          <cell r="B338" t="str">
            <v>EX30 PIP Outer</v>
          </cell>
          <cell r="D338" t="str">
            <v>RHR OUTER INDIGO</v>
          </cell>
          <cell r="E338">
            <v>7.553700000000001</v>
          </cell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</row>
        <row r="339">
          <cell r="A339" t="str">
            <v>Volvo PIP</v>
          </cell>
          <cell r="B339" t="str">
            <v>EX30 PIP Outer</v>
          </cell>
          <cell r="D339" t="str">
            <v>RHR OUTER MIST</v>
          </cell>
          <cell r="E339">
            <v>7.553700000000001</v>
          </cell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</row>
        <row r="340">
          <cell r="A340" t="str">
            <v>Volvo PIP</v>
          </cell>
          <cell r="B340" t="str">
            <v>EX30 PIP Outer</v>
          </cell>
          <cell r="D340" t="str">
            <v>RHR OUTER PINE</v>
          </cell>
          <cell r="E340">
            <v>7.553700000000001</v>
          </cell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</row>
        <row r="341">
          <cell r="A341" t="str">
            <v>Volvo PIP</v>
          </cell>
          <cell r="B341" t="str">
            <v>EX30 PIP Outer</v>
          </cell>
          <cell r="D341" t="str">
            <v>RHR CENTER BREEZE</v>
          </cell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</row>
        <row r="342">
          <cell r="A342" t="str">
            <v>Volvo PIP</v>
          </cell>
          <cell r="B342" t="str">
            <v>EX30 PIP Outer</v>
          </cell>
          <cell r="D342" t="str">
            <v>RHR CENTER INDIGO</v>
          </cell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</row>
        <row r="343">
          <cell r="A343" t="str">
            <v>Volvo PIP</v>
          </cell>
          <cell r="B343" t="str">
            <v>EX30 PIP Outer</v>
          </cell>
          <cell r="D343" t="str">
            <v>RHR CENTER MIST</v>
          </cell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</row>
        <row r="344">
          <cell r="A344" t="str">
            <v>Volvo PIP</v>
          </cell>
          <cell r="B344" t="str">
            <v>EX30 PIP Outer</v>
          </cell>
          <cell r="D344" t="str">
            <v>RHR CENTER PINE</v>
          </cell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</row>
        <row r="345">
          <cell r="A345" t="str">
            <v>Volvo PIP</v>
          </cell>
          <cell r="B345" t="str">
            <v>EX30 PIP Outer</v>
          </cell>
          <cell r="D345" t="str">
            <v>Weekly Output PLAN - SUM of models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</row>
        <row r="346">
          <cell r="A346" t="str">
            <v>Volvo PIP</v>
          </cell>
          <cell r="B346" t="str">
            <v>EX30 PIP Outer</v>
          </cell>
          <cell r="D346" t="str">
            <v>Weekly Output CHECK with TO time multiple</v>
          </cell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</row>
        <row r="347">
          <cell r="A347" t="str">
            <v>Volvo PIP</v>
          </cell>
          <cell r="B347" t="str">
            <v>EX30 PIP Outer</v>
          </cell>
          <cell r="D347" t="str">
            <v>Weekly Output ACT</v>
          </cell>
          <cell r="Z347">
            <v>2412.72488978911</v>
          </cell>
          <cell r="AA347">
            <v>2546.7651614440601</v>
          </cell>
          <cell r="AB347">
            <v>3276.5399737876801</v>
          </cell>
          <cell r="AC347">
            <v>3604.1939711664481</v>
          </cell>
          <cell r="AD347">
            <v>1965.9239842726079</v>
          </cell>
          <cell r="AE347">
            <v>3276.5399737876801</v>
          </cell>
          <cell r="AF347">
            <v>3276.5399737876801</v>
          </cell>
          <cell r="AG347">
            <v>3276.5399737876801</v>
          </cell>
          <cell r="AH347">
            <v>3276.5399737876801</v>
          </cell>
          <cell r="AI347">
            <v>3276.5399737876801</v>
          </cell>
          <cell r="AJ347">
            <v>3276.5399737876801</v>
          </cell>
          <cell r="AK347">
            <v>2621.231979030144</v>
          </cell>
          <cell r="AL347">
            <v>2621.231979030144</v>
          </cell>
          <cell r="AM347">
            <v>3276.5399737876801</v>
          </cell>
          <cell r="AN347">
            <v>2621.231979030144</v>
          </cell>
          <cell r="AO347">
            <v>3276.5399737876801</v>
          </cell>
          <cell r="AP347">
            <v>3276.5399737876801</v>
          </cell>
          <cell r="AQ347">
            <v>3276.5399737876801</v>
          </cell>
          <cell r="AR347">
            <v>3276.5399737876801</v>
          </cell>
          <cell r="AS347">
            <v>3276.5399737876801</v>
          </cell>
          <cell r="AT347">
            <v>3127.6063386155129</v>
          </cell>
          <cell r="AU347">
            <v>2978.6727034433452</v>
          </cell>
          <cell r="AV347">
            <v>2978.6727034433452</v>
          </cell>
          <cell r="AW347">
            <v>2978.6727034433452</v>
          </cell>
          <cell r="AX347">
            <v>2978.6727034433452</v>
          </cell>
          <cell r="AY347">
            <v>2978.6727034433452</v>
          </cell>
          <cell r="AZ347">
            <v>0</v>
          </cell>
          <cell r="BA347">
            <v>0</v>
          </cell>
          <cell r="BB347">
            <v>2978.6727034433452</v>
          </cell>
          <cell r="BC347">
            <v>2978.6727034433452</v>
          </cell>
          <cell r="BD347">
            <v>2978.6727034433452</v>
          </cell>
          <cell r="BE347">
            <v>2978.6727034433452</v>
          </cell>
          <cell r="BF347">
            <v>2978.6727034433452</v>
          </cell>
          <cell r="BG347">
            <v>2978.6727034433452</v>
          </cell>
          <cell r="BH347">
            <v>2978.6727034433452</v>
          </cell>
          <cell r="BI347">
            <v>2978.6727034433466</v>
          </cell>
          <cell r="BJ347">
            <v>2978.6727034433466</v>
          </cell>
          <cell r="BK347">
            <v>2621.231979030144</v>
          </cell>
          <cell r="BL347">
            <v>4050.9948766829493</v>
          </cell>
          <cell r="BM347">
            <v>5242.463958060288</v>
          </cell>
          <cell r="BN347">
            <v>5242.463958060288</v>
          </cell>
          <cell r="BO347">
            <v>1072.3221732396044</v>
          </cell>
          <cell r="BP347">
            <v>1072.3221732396044</v>
          </cell>
          <cell r="BQ347">
            <v>1072.3221732396044</v>
          </cell>
          <cell r="BR347">
            <v>1072.3221732396044</v>
          </cell>
          <cell r="BS347">
            <v>1072.3221732396044</v>
          </cell>
          <cell r="BT347">
            <v>1072.3221732396044</v>
          </cell>
          <cell r="BU347">
            <v>1072.3221732396044</v>
          </cell>
          <cell r="BV347">
            <v>1072.3221732396044</v>
          </cell>
        </row>
        <row r="348">
          <cell r="A348" t="str">
            <v>Volvo PIP</v>
          </cell>
          <cell r="B348" t="str">
            <v>EX30 PIP Outer</v>
          </cell>
          <cell r="D348" t="str">
            <v>RHR OUTER BREEZE</v>
          </cell>
          <cell r="Z348">
            <v>144</v>
          </cell>
          <cell r="AA348">
            <v>144</v>
          </cell>
          <cell r="AB348">
            <v>144</v>
          </cell>
          <cell r="AC348">
            <v>144</v>
          </cell>
          <cell r="AD348">
            <v>216</v>
          </cell>
          <cell r="AE348">
            <v>144</v>
          </cell>
          <cell r="AF348">
            <v>72</v>
          </cell>
          <cell r="AG348">
            <v>144</v>
          </cell>
          <cell r="AH348">
            <v>0</v>
          </cell>
          <cell r="AI348">
            <v>72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</row>
        <row r="349">
          <cell r="A349" t="str">
            <v>Volvo PIP</v>
          </cell>
          <cell r="B349" t="str">
            <v>EX30 PIP Outer</v>
          </cell>
          <cell r="D349" t="str">
            <v>RHR OUTER INDIGO</v>
          </cell>
          <cell r="Z349">
            <v>1800</v>
          </cell>
          <cell r="AA349">
            <v>1512</v>
          </cell>
          <cell r="AB349">
            <v>1800</v>
          </cell>
          <cell r="AC349">
            <v>1440</v>
          </cell>
          <cell r="AD349">
            <v>1584</v>
          </cell>
          <cell r="AE349">
            <v>1584</v>
          </cell>
          <cell r="AF349">
            <v>1728</v>
          </cell>
          <cell r="AG349">
            <v>1728</v>
          </cell>
          <cell r="AH349">
            <v>1152</v>
          </cell>
          <cell r="AI349">
            <v>1800</v>
          </cell>
          <cell r="AJ349">
            <v>1800</v>
          </cell>
          <cell r="AK349">
            <v>8208</v>
          </cell>
          <cell r="AL349">
            <v>0</v>
          </cell>
          <cell r="AM349">
            <v>0</v>
          </cell>
          <cell r="AN349">
            <v>0</v>
          </cell>
          <cell r="AO349">
            <v>7632</v>
          </cell>
          <cell r="AP349">
            <v>0</v>
          </cell>
          <cell r="AQ349">
            <v>0</v>
          </cell>
          <cell r="AR349">
            <v>0</v>
          </cell>
          <cell r="AS349">
            <v>6984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3528</v>
          </cell>
          <cell r="AY349">
            <v>0</v>
          </cell>
          <cell r="AZ349">
            <v>0</v>
          </cell>
          <cell r="BA349">
            <v>0</v>
          </cell>
          <cell r="BB349">
            <v>6552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6624</v>
          </cell>
          <cell r="BH349">
            <v>0</v>
          </cell>
          <cell r="BI349">
            <v>0</v>
          </cell>
          <cell r="BJ349">
            <v>0</v>
          </cell>
          <cell r="BK349">
            <v>5256</v>
          </cell>
          <cell r="BL349">
            <v>0</v>
          </cell>
          <cell r="BM349">
            <v>0</v>
          </cell>
          <cell r="BN349">
            <v>0</v>
          </cell>
          <cell r="BO349">
            <v>4392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</row>
        <row r="350">
          <cell r="A350" t="str">
            <v>Volvo PIP</v>
          </cell>
          <cell r="B350" t="str">
            <v>EX30 PIP Outer</v>
          </cell>
          <cell r="D350" t="str">
            <v>RHR OUTER MIST</v>
          </cell>
          <cell r="Z350">
            <v>72</v>
          </cell>
          <cell r="AA350">
            <v>144</v>
          </cell>
          <cell r="AB350">
            <v>72</v>
          </cell>
          <cell r="AC350">
            <v>72</v>
          </cell>
          <cell r="AD350">
            <v>144</v>
          </cell>
          <cell r="AE350">
            <v>144</v>
          </cell>
          <cell r="AF350">
            <v>0</v>
          </cell>
          <cell r="AG350">
            <v>72</v>
          </cell>
          <cell r="AH350">
            <v>0</v>
          </cell>
          <cell r="AI350">
            <v>72</v>
          </cell>
          <cell r="AJ350">
            <v>144</v>
          </cell>
          <cell r="AK350">
            <v>432</v>
          </cell>
          <cell r="AL350">
            <v>0</v>
          </cell>
          <cell r="AM350">
            <v>0</v>
          </cell>
          <cell r="AN350">
            <v>0</v>
          </cell>
          <cell r="AO350">
            <v>360</v>
          </cell>
          <cell r="AP350">
            <v>0</v>
          </cell>
          <cell r="AQ350">
            <v>0</v>
          </cell>
          <cell r="AR350">
            <v>0</v>
          </cell>
          <cell r="AS350">
            <v>288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216</v>
          </cell>
          <cell r="AY350">
            <v>0</v>
          </cell>
          <cell r="AZ350">
            <v>0</v>
          </cell>
          <cell r="BA350">
            <v>0</v>
          </cell>
          <cell r="BB350">
            <v>360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288</v>
          </cell>
          <cell r="BH350">
            <v>0</v>
          </cell>
          <cell r="BI350">
            <v>0</v>
          </cell>
          <cell r="BJ350">
            <v>0</v>
          </cell>
          <cell r="BK350">
            <v>216</v>
          </cell>
          <cell r="BL350">
            <v>0</v>
          </cell>
          <cell r="BM350">
            <v>0</v>
          </cell>
          <cell r="BN350">
            <v>0</v>
          </cell>
          <cell r="BO350">
            <v>216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</row>
        <row r="351">
          <cell r="A351" t="str">
            <v>Volvo PIP</v>
          </cell>
          <cell r="B351" t="str">
            <v>EX30 PIP Outer</v>
          </cell>
          <cell r="D351" t="str">
            <v>RHR OUTER PINE</v>
          </cell>
          <cell r="Z351">
            <v>144</v>
          </cell>
          <cell r="AA351">
            <v>288</v>
          </cell>
          <cell r="AB351">
            <v>360</v>
          </cell>
          <cell r="AC351">
            <v>288</v>
          </cell>
          <cell r="AD351">
            <v>216</v>
          </cell>
          <cell r="AE351">
            <v>288</v>
          </cell>
          <cell r="AF351">
            <v>216</v>
          </cell>
          <cell r="AG351">
            <v>216</v>
          </cell>
          <cell r="AH351">
            <v>144</v>
          </cell>
          <cell r="AI351">
            <v>144</v>
          </cell>
          <cell r="AJ351">
            <v>0</v>
          </cell>
          <cell r="AK351">
            <v>144</v>
          </cell>
          <cell r="AL351">
            <v>0</v>
          </cell>
          <cell r="AM351">
            <v>0</v>
          </cell>
          <cell r="AN351">
            <v>0</v>
          </cell>
          <cell r="AO351">
            <v>144</v>
          </cell>
          <cell r="AP351">
            <v>0</v>
          </cell>
          <cell r="AQ351">
            <v>0</v>
          </cell>
          <cell r="AR351">
            <v>0</v>
          </cell>
          <cell r="AS351">
            <v>72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72</v>
          </cell>
          <cell r="AY351">
            <v>0</v>
          </cell>
          <cell r="AZ351">
            <v>0</v>
          </cell>
          <cell r="BA351">
            <v>0</v>
          </cell>
          <cell r="BB351">
            <v>72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144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72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</row>
        <row r="352">
          <cell r="A352" t="str">
            <v>Volvo PIP</v>
          </cell>
          <cell r="B352" t="str">
            <v>EX30 PIP Outer</v>
          </cell>
          <cell r="D352" t="str">
            <v>RHR CENTER BREEZE</v>
          </cell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</row>
        <row r="353">
          <cell r="A353" t="str">
            <v>Volvo PIP</v>
          </cell>
          <cell r="B353" t="str">
            <v>EX30 PIP Outer</v>
          </cell>
          <cell r="D353" t="str">
            <v>RHR CENTER INDIGO</v>
          </cell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>
            <v>3564</v>
          </cell>
          <cell r="BL353">
            <v>0</v>
          </cell>
          <cell r="BM353">
            <v>0</v>
          </cell>
          <cell r="BN353">
            <v>0</v>
          </cell>
          <cell r="BO353">
            <v>2916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</row>
        <row r="354">
          <cell r="A354" t="str">
            <v>Volvo PIP</v>
          </cell>
          <cell r="B354" t="str">
            <v>EX30 PIP Outer</v>
          </cell>
          <cell r="D354" t="str">
            <v>RHR CENTER MIST</v>
          </cell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>
            <v>108</v>
          </cell>
          <cell r="BL354">
            <v>0</v>
          </cell>
          <cell r="BM354">
            <v>0</v>
          </cell>
          <cell r="BN354">
            <v>0</v>
          </cell>
          <cell r="BO354">
            <v>108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</row>
        <row r="355">
          <cell r="A355" t="str">
            <v>Volvo PIP</v>
          </cell>
          <cell r="B355" t="str">
            <v>EX30 PIP Outer</v>
          </cell>
          <cell r="D355" t="str">
            <v>RHR CENTER PINE</v>
          </cell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108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</row>
        <row r="356">
          <cell r="A356" t="str">
            <v>Volvo PIP</v>
          </cell>
          <cell r="B356" t="str">
            <v>EX30 PIP Outer</v>
          </cell>
          <cell r="D356" t="str">
            <v>Weekly demand</v>
          </cell>
          <cell r="Z356">
            <v>3564</v>
          </cell>
          <cell r="AA356">
            <v>2088</v>
          </cell>
          <cell r="AB356">
            <v>4104</v>
          </cell>
          <cell r="AC356">
            <v>2916</v>
          </cell>
          <cell r="AD356">
            <v>3456</v>
          </cell>
          <cell r="AE356">
            <v>3240</v>
          </cell>
          <cell r="AF356">
            <v>2880</v>
          </cell>
          <cell r="AG356">
            <v>3348</v>
          </cell>
          <cell r="AH356">
            <v>1836</v>
          </cell>
          <cell r="AI356">
            <v>3276</v>
          </cell>
          <cell r="AJ356">
            <v>2808</v>
          </cell>
          <cell r="AK356">
            <v>13212</v>
          </cell>
          <cell r="AL356">
            <v>0</v>
          </cell>
          <cell r="AM356">
            <v>0</v>
          </cell>
          <cell r="AN356">
            <v>0</v>
          </cell>
          <cell r="AO356">
            <v>12564</v>
          </cell>
          <cell r="AP356">
            <v>0</v>
          </cell>
          <cell r="AQ356">
            <v>0</v>
          </cell>
          <cell r="AR356">
            <v>0</v>
          </cell>
          <cell r="AS356">
            <v>11556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6300</v>
          </cell>
          <cell r="AY356">
            <v>0</v>
          </cell>
          <cell r="AZ356">
            <v>0</v>
          </cell>
          <cell r="BA356">
            <v>0</v>
          </cell>
          <cell r="BB356">
            <v>11736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11808</v>
          </cell>
          <cell r="BH356">
            <v>0</v>
          </cell>
          <cell r="BI356">
            <v>0</v>
          </cell>
          <cell r="BJ356">
            <v>0</v>
          </cell>
          <cell r="BK356">
            <v>9144</v>
          </cell>
          <cell r="BL356">
            <v>107172</v>
          </cell>
          <cell r="BM356">
            <v>0</v>
          </cell>
          <cell r="BN356">
            <v>0</v>
          </cell>
          <cell r="BO356">
            <v>7812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</row>
        <row r="357">
          <cell r="A357" t="str">
            <v>Volvo PIP</v>
          </cell>
          <cell r="B357" t="str">
            <v>EX30 PIP Outer</v>
          </cell>
          <cell r="D357" t="str">
            <v>Stock Target</v>
          </cell>
          <cell r="Z357">
            <v>3000</v>
          </cell>
          <cell r="AA357">
            <v>3000</v>
          </cell>
          <cell r="AB357">
            <v>3000</v>
          </cell>
          <cell r="AC357">
            <v>3000</v>
          </cell>
          <cell r="AD357">
            <v>3000</v>
          </cell>
          <cell r="AE357">
            <v>3000</v>
          </cell>
          <cell r="AF357">
            <v>3000</v>
          </cell>
          <cell r="AG357">
            <v>2525</v>
          </cell>
          <cell r="AH357">
            <v>2526</v>
          </cell>
          <cell r="AI357">
            <v>2527</v>
          </cell>
          <cell r="AJ357">
            <v>2528</v>
          </cell>
          <cell r="AK357">
            <v>2529</v>
          </cell>
          <cell r="AL357">
            <v>2530</v>
          </cell>
          <cell r="AM357">
            <v>2531</v>
          </cell>
          <cell r="AN357">
            <v>2532</v>
          </cell>
          <cell r="AO357">
            <v>2533</v>
          </cell>
          <cell r="AP357">
            <v>2534</v>
          </cell>
          <cell r="AQ357">
            <v>2535</v>
          </cell>
          <cell r="AR357">
            <v>2536</v>
          </cell>
          <cell r="AS357">
            <v>2537</v>
          </cell>
          <cell r="AT357">
            <v>2538</v>
          </cell>
          <cell r="AU357">
            <v>2539</v>
          </cell>
          <cell r="AV357">
            <v>2540</v>
          </cell>
          <cell r="AW357">
            <v>2541</v>
          </cell>
          <cell r="AX357">
            <v>2542</v>
          </cell>
          <cell r="AY357">
            <v>2543</v>
          </cell>
          <cell r="AZ357">
            <v>2544</v>
          </cell>
          <cell r="BA357">
            <v>2545</v>
          </cell>
          <cell r="BB357">
            <v>2546</v>
          </cell>
          <cell r="BC357">
            <v>2547</v>
          </cell>
          <cell r="BD357">
            <v>2548</v>
          </cell>
          <cell r="BE357">
            <v>2549</v>
          </cell>
          <cell r="BF357">
            <v>2550</v>
          </cell>
          <cell r="BG357">
            <v>2551</v>
          </cell>
          <cell r="BH357">
            <v>2552</v>
          </cell>
          <cell r="BI357">
            <v>2553</v>
          </cell>
          <cell r="BJ357">
            <v>2554</v>
          </cell>
          <cell r="BK357">
            <v>2555</v>
          </cell>
          <cell r="BL357">
            <v>2556</v>
          </cell>
          <cell r="BM357">
            <v>2557</v>
          </cell>
          <cell r="BN357">
            <v>2558</v>
          </cell>
          <cell r="BO357">
            <v>2559</v>
          </cell>
          <cell r="BP357">
            <v>2560</v>
          </cell>
          <cell r="BQ357">
            <v>2561</v>
          </cell>
          <cell r="BR357">
            <v>2562</v>
          </cell>
          <cell r="BS357">
            <v>2563</v>
          </cell>
          <cell r="BT357">
            <v>2564</v>
          </cell>
          <cell r="BU357">
            <v>2565</v>
          </cell>
          <cell r="BV357">
            <v>2566</v>
          </cell>
        </row>
        <row r="358">
          <cell r="A358" t="str">
            <v>Volvo PIP</v>
          </cell>
          <cell r="B358" t="str">
            <v>EX30 PIP Outer</v>
          </cell>
          <cell r="D358" t="str">
            <v>RHR OUTER BREEZE</v>
          </cell>
          <cell r="Z358">
            <v>72</v>
          </cell>
          <cell r="AA358">
            <v>-72</v>
          </cell>
          <cell r="AB358">
            <v>-216</v>
          </cell>
          <cell r="AC358">
            <v>-360</v>
          </cell>
          <cell r="AD358">
            <v>-576</v>
          </cell>
          <cell r="AE358">
            <v>-720</v>
          </cell>
          <cell r="AF358">
            <v>-792</v>
          </cell>
          <cell r="AG358">
            <v>-936</v>
          </cell>
          <cell r="AH358">
            <v>-936</v>
          </cell>
          <cell r="AI358">
            <v>-1008</v>
          </cell>
          <cell r="AJ358">
            <v>-1008</v>
          </cell>
          <cell r="AK358">
            <v>-1008</v>
          </cell>
          <cell r="AL358">
            <v>-1008</v>
          </cell>
          <cell r="AM358">
            <v>-1008</v>
          </cell>
          <cell r="AN358">
            <v>-1008</v>
          </cell>
          <cell r="AO358">
            <v>-1008</v>
          </cell>
          <cell r="AP358">
            <v>-1008</v>
          </cell>
          <cell r="AQ358">
            <v>-1008</v>
          </cell>
          <cell r="AR358">
            <v>-1008</v>
          </cell>
          <cell r="AS358">
            <v>-1008</v>
          </cell>
          <cell r="AT358">
            <v>-1008</v>
          </cell>
          <cell r="AU358">
            <v>-1008</v>
          </cell>
          <cell r="AV358">
            <v>-1008</v>
          </cell>
          <cell r="AW358">
            <v>-1008</v>
          </cell>
          <cell r="AX358">
            <v>-1008</v>
          </cell>
          <cell r="AY358">
            <v>-1008</v>
          </cell>
          <cell r="AZ358">
            <v>-1008</v>
          </cell>
          <cell r="BA358">
            <v>-1008</v>
          </cell>
          <cell r="BB358">
            <v>-1008</v>
          </cell>
          <cell r="BC358">
            <v>-1008</v>
          </cell>
          <cell r="BD358">
            <v>-1008</v>
          </cell>
          <cell r="BE358">
            <v>-1008</v>
          </cell>
          <cell r="BF358">
            <v>-1008</v>
          </cell>
          <cell r="BG358">
            <v>-1008</v>
          </cell>
          <cell r="BH358">
            <v>-1008</v>
          </cell>
          <cell r="BI358">
            <v>-1008</v>
          </cell>
          <cell r="BJ358">
            <v>-1008</v>
          </cell>
          <cell r="BK358">
            <v>-1008</v>
          </cell>
          <cell r="BL358">
            <v>-1008</v>
          </cell>
          <cell r="BM358">
            <v>-1008</v>
          </cell>
          <cell r="BN358">
            <v>-1008</v>
          </cell>
          <cell r="BO358">
            <v>-1008</v>
          </cell>
          <cell r="BP358">
            <v>-1008</v>
          </cell>
          <cell r="BQ358">
            <v>-1008</v>
          </cell>
          <cell r="BR358">
            <v>-1008</v>
          </cell>
          <cell r="BS358">
            <v>-1008</v>
          </cell>
          <cell r="BT358">
            <v>-1008</v>
          </cell>
          <cell r="BU358">
            <v>-1008</v>
          </cell>
          <cell r="BV358">
            <v>-1008</v>
          </cell>
        </row>
        <row r="359">
          <cell r="A359" t="str">
            <v>Volvo PIP</v>
          </cell>
          <cell r="B359" t="str">
            <v>EX30 PIP Outer</v>
          </cell>
          <cell r="D359" t="str">
            <v>RHR OUTER INDIGO</v>
          </cell>
          <cell r="Z359">
            <v>936</v>
          </cell>
          <cell r="AA359">
            <v>-576</v>
          </cell>
          <cell r="AB359">
            <v>-2376</v>
          </cell>
          <cell r="AC359">
            <v>-3816</v>
          </cell>
          <cell r="AD359">
            <v>-5400</v>
          </cell>
          <cell r="AE359">
            <v>-6984</v>
          </cell>
          <cell r="AF359">
            <v>-8712</v>
          </cell>
          <cell r="AG359">
            <v>-10440</v>
          </cell>
          <cell r="AH359">
            <v>-11592</v>
          </cell>
          <cell r="AI359">
            <v>-13392</v>
          </cell>
          <cell r="AJ359">
            <v>-15192</v>
          </cell>
          <cell r="AK359">
            <v>-23400</v>
          </cell>
          <cell r="AL359">
            <v>-23400</v>
          </cell>
          <cell r="AM359">
            <v>-23400</v>
          </cell>
          <cell r="AN359">
            <v>-23400</v>
          </cell>
          <cell r="AO359">
            <v>-31032</v>
          </cell>
          <cell r="AP359">
            <v>-31032</v>
          </cell>
          <cell r="AQ359">
            <v>-31032</v>
          </cell>
          <cell r="AR359">
            <v>-31032</v>
          </cell>
          <cell r="AS359">
            <v>-38016</v>
          </cell>
          <cell r="AT359">
            <v>-38016</v>
          </cell>
          <cell r="AU359">
            <v>-38016</v>
          </cell>
          <cell r="AV359">
            <v>-38016</v>
          </cell>
          <cell r="AW359">
            <v>-38016</v>
          </cell>
          <cell r="AX359">
            <v>-41544</v>
          </cell>
          <cell r="AY359">
            <v>-41544</v>
          </cell>
          <cell r="AZ359">
            <v>-41544</v>
          </cell>
          <cell r="BA359">
            <v>-41544</v>
          </cell>
          <cell r="BB359">
            <v>-48096</v>
          </cell>
          <cell r="BC359">
            <v>-48096</v>
          </cell>
          <cell r="BD359">
            <v>-48096</v>
          </cell>
          <cell r="BE359">
            <v>-48096</v>
          </cell>
          <cell r="BF359">
            <v>-48096</v>
          </cell>
          <cell r="BG359">
            <v>-54720</v>
          </cell>
          <cell r="BH359">
            <v>-54720</v>
          </cell>
          <cell r="BI359">
            <v>-54720</v>
          </cell>
          <cell r="BJ359">
            <v>-54720</v>
          </cell>
          <cell r="BK359">
            <v>-59976</v>
          </cell>
          <cell r="BL359">
            <v>-59976</v>
          </cell>
          <cell r="BM359">
            <v>-59976</v>
          </cell>
          <cell r="BN359">
            <v>-59976</v>
          </cell>
          <cell r="BO359">
            <v>-64368</v>
          </cell>
          <cell r="BP359">
            <v>-64368</v>
          </cell>
          <cell r="BQ359">
            <v>-64368</v>
          </cell>
          <cell r="BR359">
            <v>-64368</v>
          </cell>
          <cell r="BS359">
            <v>-64368</v>
          </cell>
          <cell r="BT359">
            <v>-64368</v>
          </cell>
          <cell r="BU359">
            <v>-64368</v>
          </cell>
          <cell r="BV359">
            <v>-64368</v>
          </cell>
        </row>
        <row r="360">
          <cell r="A360" t="str">
            <v>Volvo PIP</v>
          </cell>
          <cell r="B360" t="str">
            <v>EX30 PIP Outer</v>
          </cell>
          <cell r="D360" t="str">
            <v>RHR OUTER MIST</v>
          </cell>
          <cell r="Z360">
            <v>216</v>
          </cell>
          <cell r="AA360">
            <v>72</v>
          </cell>
          <cell r="AB360">
            <v>0</v>
          </cell>
          <cell r="AC360">
            <v>-72</v>
          </cell>
          <cell r="AD360">
            <v>-216</v>
          </cell>
          <cell r="AE360">
            <v>-360</v>
          </cell>
          <cell r="AF360">
            <v>-360</v>
          </cell>
          <cell r="AG360">
            <v>-432</v>
          </cell>
          <cell r="AH360">
            <v>-432</v>
          </cell>
          <cell r="AI360">
            <v>-504</v>
          </cell>
          <cell r="AJ360">
            <v>-648</v>
          </cell>
          <cell r="AK360">
            <v>-1080</v>
          </cell>
          <cell r="AL360">
            <v>-1080</v>
          </cell>
          <cell r="AM360">
            <v>-1080</v>
          </cell>
          <cell r="AN360">
            <v>-1080</v>
          </cell>
          <cell r="AO360">
            <v>-1440</v>
          </cell>
          <cell r="AP360">
            <v>-1440</v>
          </cell>
          <cell r="AQ360">
            <v>-1440</v>
          </cell>
          <cell r="AR360">
            <v>-1440</v>
          </cell>
          <cell r="AS360">
            <v>-1728</v>
          </cell>
          <cell r="AT360">
            <v>-1728</v>
          </cell>
          <cell r="AU360">
            <v>-1728</v>
          </cell>
          <cell r="AV360">
            <v>-1728</v>
          </cell>
          <cell r="AW360">
            <v>-1728</v>
          </cell>
          <cell r="AX360">
            <v>-1944</v>
          </cell>
          <cell r="AY360">
            <v>-1944</v>
          </cell>
          <cell r="AZ360">
            <v>-1944</v>
          </cell>
          <cell r="BA360">
            <v>-1944</v>
          </cell>
          <cell r="BB360">
            <v>-2304</v>
          </cell>
          <cell r="BC360">
            <v>-2304</v>
          </cell>
          <cell r="BD360">
            <v>-2304</v>
          </cell>
          <cell r="BE360">
            <v>-2304</v>
          </cell>
          <cell r="BF360">
            <v>-2304</v>
          </cell>
          <cell r="BG360">
            <v>-2592</v>
          </cell>
          <cell r="BH360">
            <v>-2592</v>
          </cell>
          <cell r="BI360">
            <v>-2592</v>
          </cell>
          <cell r="BJ360">
            <v>-2592</v>
          </cell>
          <cell r="BK360">
            <v>-2808</v>
          </cell>
          <cell r="BL360">
            <v>-2808</v>
          </cell>
          <cell r="BM360">
            <v>-2808</v>
          </cell>
          <cell r="BN360">
            <v>-2808</v>
          </cell>
          <cell r="BO360">
            <v>-3024</v>
          </cell>
          <cell r="BP360">
            <v>-3024</v>
          </cell>
          <cell r="BQ360">
            <v>-3024</v>
          </cell>
          <cell r="BR360">
            <v>-3024</v>
          </cell>
          <cell r="BS360">
            <v>-3024</v>
          </cell>
          <cell r="BT360">
            <v>-3024</v>
          </cell>
          <cell r="BU360">
            <v>-3024</v>
          </cell>
          <cell r="BV360">
            <v>-3024</v>
          </cell>
        </row>
        <row r="361">
          <cell r="A361" t="str">
            <v>Volvo PIP</v>
          </cell>
          <cell r="B361" t="str">
            <v>EX30 PIP Outer</v>
          </cell>
          <cell r="D361" t="str">
            <v>RHR OUTER PINE</v>
          </cell>
          <cell r="Z361">
            <v>2664</v>
          </cell>
          <cell r="AA361">
            <v>2376</v>
          </cell>
          <cell r="AB361">
            <v>2016</v>
          </cell>
          <cell r="AC361">
            <v>1728</v>
          </cell>
          <cell r="AD361">
            <v>1512</v>
          </cell>
          <cell r="AE361">
            <v>1224</v>
          </cell>
          <cell r="AF361">
            <v>1008</v>
          </cell>
          <cell r="AG361">
            <v>792</v>
          </cell>
          <cell r="AH361">
            <v>648</v>
          </cell>
          <cell r="AI361">
            <v>504</v>
          </cell>
          <cell r="AJ361">
            <v>504</v>
          </cell>
          <cell r="AK361">
            <v>360</v>
          </cell>
          <cell r="AL361">
            <v>360</v>
          </cell>
          <cell r="AM361">
            <v>360</v>
          </cell>
          <cell r="AN361">
            <v>360</v>
          </cell>
          <cell r="AO361">
            <v>216</v>
          </cell>
          <cell r="AP361">
            <v>216</v>
          </cell>
          <cell r="AQ361">
            <v>216</v>
          </cell>
          <cell r="AR361">
            <v>216</v>
          </cell>
          <cell r="AS361">
            <v>144</v>
          </cell>
          <cell r="AT361">
            <v>144</v>
          </cell>
          <cell r="AU361">
            <v>144</v>
          </cell>
          <cell r="AV361">
            <v>144</v>
          </cell>
          <cell r="AW361">
            <v>144</v>
          </cell>
          <cell r="AX361">
            <v>72</v>
          </cell>
          <cell r="AY361">
            <v>72</v>
          </cell>
          <cell r="AZ361">
            <v>72</v>
          </cell>
          <cell r="BA361">
            <v>72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-144</v>
          </cell>
          <cell r="BH361">
            <v>-144</v>
          </cell>
          <cell r="BI361">
            <v>-144</v>
          </cell>
          <cell r="BJ361">
            <v>-144</v>
          </cell>
          <cell r="BK361">
            <v>-144</v>
          </cell>
          <cell r="BL361">
            <v>-144</v>
          </cell>
          <cell r="BM361">
            <v>-144</v>
          </cell>
          <cell r="BN361">
            <v>-144</v>
          </cell>
          <cell r="BO361">
            <v>-216</v>
          </cell>
          <cell r="BP361">
            <v>-216</v>
          </cell>
          <cell r="BQ361">
            <v>-216</v>
          </cell>
          <cell r="BR361">
            <v>-216</v>
          </cell>
          <cell r="BS361">
            <v>-216</v>
          </cell>
          <cell r="BT361">
            <v>-216</v>
          </cell>
          <cell r="BU361">
            <v>-216</v>
          </cell>
          <cell r="BV361">
            <v>-216</v>
          </cell>
        </row>
        <row r="362">
          <cell r="A362" t="str">
            <v>Volvo PIP</v>
          </cell>
          <cell r="B362" t="str">
            <v>EX30 PIP Outer</v>
          </cell>
          <cell r="D362" t="str">
            <v>RHR CENTER BREEZE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</row>
        <row r="363">
          <cell r="A363" t="str">
            <v>Volvo PIP</v>
          </cell>
          <cell r="B363" t="str">
            <v>EX30 PIP Outer</v>
          </cell>
          <cell r="D363" t="str">
            <v>RHR CENTER INDIGO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-3564</v>
          </cell>
          <cell r="BL363">
            <v>-3564</v>
          </cell>
          <cell r="BM363">
            <v>-3564</v>
          </cell>
          <cell r="BN363">
            <v>-3564</v>
          </cell>
          <cell r="BO363">
            <v>-6480</v>
          </cell>
          <cell r="BP363">
            <v>-6480</v>
          </cell>
          <cell r="BQ363">
            <v>-6480</v>
          </cell>
          <cell r="BR363">
            <v>-6480</v>
          </cell>
          <cell r="BS363">
            <v>-6480</v>
          </cell>
          <cell r="BT363">
            <v>-6480</v>
          </cell>
          <cell r="BU363">
            <v>-6480</v>
          </cell>
          <cell r="BV363">
            <v>-6480</v>
          </cell>
        </row>
        <row r="364">
          <cell r="A364" t="str">
            <v>Volvo PIP</v>
          </cell>
          <cell r="B364" t="str">
            <v>EX30 PIP Outer</v>
          </cell>
          <cell r="D364" t="str">
            <v>RHR CENTER MIST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-108</v>
          </cell>
          <cell r="BL364">
            <v>-108</v>
          </cell>
          <cell r="BM364">
            <v>-108</v>
          </cell>
          <cell r="BN364">
            <v>-108</v>
          </cell>
          <cell r="BO364">
            <v>-216</v>
          </cell>
          <cell r="BP364">
            <v>-216</v>
          </cell>
          <cell r="BQ364">
            <v>-216</v>
          </cell>
          <cell r="BR364">
            <v>-216</v>
          </cell>
          <cell r="BS364">
            <v>-216</v>
          </cell>
          <cell r="BT364">
            <v>-216</v>
          </cell>
          <cell r="BU364">
            <v>-216</v>
          </cell>
          <cell r="BV364">
            <v>-216</v>
          </cell>
        </row>
        <row r="365">
          <cell r="A365" t="str">
            <v>Volvo PIP</v>
          </cell>
          <cell r="B365" t="str">
            <v>EX30 PIP Outer</v>
          </cell>
          <cell r="D365" t="str">
            <v>RHR CENTER PINE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-108</v>
          </cell>
          <cell r="BP365">
            <v>-108</v>
          </cell>
          <cell r="BQ365">
            <v>-108</v>
          </cell>
          <cell r="BR365">
            <v>-108</v>
          </cell>
          <cell r="BS365">
            <v>-108</v>
          </cell>
          <cell r="BT365">
            <v>-108</v>
          </cell>
          <cell r="BU365">
            <v>-108</v>
          </cell>
          <cell r="BV365">
            <v>-108</v>
          </cell>
        </row>
        <row r="366">
          <cell r="A366" t="str">
            <v>Volvo</v>
          </cell>
          <cell r="B366" t="str">
            <v>EX30 PIP Outer</v>
          </cell>
          <cell r="D366" t="str">
            <v>STOCK</v>
          </cell>
          <cell r="Z366">
            <v>3888</v>
          </cell>
          <cell r="AA366">
            <v>4346.7651614440601</v>
          </cell>
          <cell r="AB366">
            <v>3519.3051352317402</v>
          </cell>
          <cell r="AC366">
            <v>4207.4991063981888</v>
          </cell>
          <cell r="AD366">
            <v>2717.4230906707967</v>
          </cell>
          <cell r="AE366">
            <v>2753.9630644584768</v>
          </cell>
          <cell r="AF366">
            <v>3150.5030382461568</v>
          </cell>
          <cell r="AG366">
            <v>3079.0430120338369</v>
          </cell>
          <cell r="AH366">
            <v>4519.5829858215166</v>
          </cell>
          <cell r="AI366">
            <v>4520.1229596091962</v>
          </cell>
          <cell r="AJ366">
            <v>4988.6629333968758</v>
          </cell>
          <cell r="AK366">
            <v>-5602.1050875729798</v>
          </cell>
          <cell r="AL366">
            <v>-2980.8731085428358</v>
          </cell>
          <cell r="AM366">
            <v>295.6668652448443</v>
          </cell>
          <cell r="AN366">
            <v>2916.8988442749883</v>
          </cell>
          <cell r="AO366">
            <v>-6370.5611819373316</v>
          </cell>
          <cell r="AP366">
            <v>-3094.0212081496516</v>
          </cell>
          <cell r="AQ366">
            <v>182.51876563802853</v>
          </cell>
          <cell r="AR366">
            <v>3459.0587394257086</v>
          </cell>
          <cell r="AS366">
            <v>-4820.4012867866113</v>
          </cell>
          <cell r="AT366">
            <v>-1692.7949481710984</v>
          </cell>
          <cell r="AU366">
            <v>1285.8777552722468</v>
          </cell>
          <cell r="AV366">
            <v>4264.550458715592</v>
          </cell>
          <cell r="AW366">
            <v>7243.2231621589372</v>
          </cell>
          <cell r="AX366">
            <v>3921.8958656022824</v>
          </cell>
          <cell r="AY366">
            <v>6900.5685690456276</v>
          </cell>
          <cell r="AZ366">
            <v>6900.5685690456276</v>
          </cell>
          <cell r="BA366">
            <v>6900.5685690456276</v>
          </cell>
          <cell r="BB366">
            <v>-1856.7587275110272</v>
          </cell>
          <cell r="BC366">
            <v>1121.913975932318</v>
          </cell>
          <cell r="BD366">
            <v>4100.5866793756632</v>
          </cell>
          <cell r="BE366">
            <v>7079.2593828190084</v>
          </cell>
          <cell r="BF366">
            <v>10057.932086262354</v>
          </cell>
          <cell r="BG366">
            <v>1228.6047897056987</v>
          </cell>
          <cell r="BH366">
            <v>4207.2774931490439</v>
          </cell>
          <cell r="BI366">
            <v>7185.9501965923901</v>
          </cell>
          <cell r="BJ366">
            <v>10164.622900035736</v>
          </cell>
          <cell r="BK366">
            <v>3641.8548790658801</v>
          </cell>
          <cell r="BL366">
            <v>-99479.15024425117</v>
          </cell>
          <cell r="BM366">
            <v>-94236.686286190888</v>
          </cell>
          <cell r="BN366">
            <v>-88994.222328130607</v>
          </cell>
          <cell r="BO366">
            <v>-95733.900154891002</v>
          </cell>
          <cell r="BP366">
            <v>-94661.577981651397</v>
          </cell>
          <cell r="BQ366">
            <v>-93589.255808411792</v>
          </cell>
          <cell r="BR366">
            <v>-92516.933635172187</v>
          </cell>
          <cell r="BS366">
            <v>-91444.611461932582</v>
          </cell>
          <cell r="BT366">
            <v>-90372.289288692977</v>
          </cell>
          <cell r="BU366">
            <v>-89299.967115453372</v>
          </cell>
          <cell r="BV366">
            <v>-88227.644942213767</v>
          </cell>
        </row>
        <row r="367">
          <cell r="A367" t="str">
            <v>Blank</v>
          </cell>
          <cell r="B367" t="str">
            <v>Blank</v>
          </cell>
          <cell r="D367" t="str">
            <v>Blank</v>
          </cell>
          <cell r="Z367">
            <v>4968</v>
          </cell>
          <cell r="AA367">
            <v>2088</v>
          </cell>
          <cell r="AB367">
            <v>5832</v>
          </cell>
          <cell r="AC367">
            <v>3888</v>
          </cell>
          <cell r="AD367">
            <v>4752</v>
          </cell>
          <cell r="AE367">
            <v>4320</v>
          </cell>
          <cell r="AF367">
            <v>3744</v>
          </cell>
          <cell r="AG367">
            <v>4536</v>
          </cell>
          <cell r="AH367">
            <v>2376</v>
          </cell>
          <cell r="AI367">
            <v>4464</v>
          </cell>
          <cell r="AJ367">
            <v>3672</v>
          </cell>
          <cell r="AK367">
            <v>17640</v>
          </cell>
          <cell r="AL367">
            <v>0</v>
          </cell>
          <cell r="AM367">
            <v>0</v>
          </cell>
          <cell r="AN367">
            <v>0</v>
          </cell>
          <cell r="AO367">
            <v>16992</v>
          </cell>
          <cell r="AP367">
            <v>0</v>
          </cell>
          <cell r="AQ367">
            <v>0</v>
          </cell>
          <cell r="AR367">
            <v>0</v>
          </cell>
          <cell r="AS367">
            <v>15768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8784</v>
          </cell>
          <cell r="AY367">
            <v>0</v>
          </cell>
          <cell r="AZ367">
            <v>0</v>
          </cell>
          <cell r="BA367">
            <v>0</v>
          </cell>
          <cell r="BB367">
            <v>16488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16560</v>
          </cell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</row>
        <row r="368">
          <cell r="A368" t="str">
            <v>Volvo PIP</v>
          </cell>
          <cell r="B368" t="str">
            <v>EX30 PIP Center</v>
          </cell>
          <cell r="D368" t="str">
            <v>Work days</v>
          </cell>
          <cell r="Z368">
            <v>5</v>
          </cell>
          <cell r="AA368">
            <v>5</v>
          </cell>
          <cell r="AB368">
            <v>5</v>
          </cell>
          <cell r="AC368">
            <v>5</v>
          </cell>
          <cell r="AD368">
            <v>3</v>
          </cell>
          <cell r="AE368">
            <v>5</v>
          </cell>
          <cell r="AF368">
            <v>5</v>
          </cell>
          <cell r="AG368">
            <v>5</v>
          </cell>
          <cell r="AH368">
            <v>5</v>
          </cell>
          <cell r="AI368">
            <v>5</v>
          </cell>
          <cell r="AJ368">
            <v>5</v>
          </cell>
          <cell r="AK368">
            <v>4</v>
          </cell>
          <cell r="AL368">
            <v>4</v>
          </cell>
          <cell r="AM368">
            <v>5</v>
          </cell>
          <cell r="AN368">
            <v>4</v>
          </cell>
          <cell r="AO368">
            <v>5</v>
          </cell>
          <cell r="AP368">
            <v>5</v>
          </cell>
          <cell r="AQ368">
            <v>5</v>
          </cell>
          <cell r="AR368">
            <v>5</v>
          </cell>
          <cell r="AS368">
            <v>5</v>
          </cell>
          <cell r="AT368">
            <v>5</v>
          </cell>
          <cell r="AU368">
            <v>5</v>
          </cell>
          <cell r="AV368">
            <v>5</v>
          </cell>
          <cell r="AW368">
            <v>5</v>
          </cell>
          <cell r="AX368">
            <v>5</v>
          </cell>
          <cell r="AY368">
            <v>5</v>
          </cell>
          <cell r="AZ368">
            <v>0</v>
          </cell>
          <cell r="BA368">
            <v>0</v>
          </cell>
          <cell r="BB368">
            <v>5</v>
          </cell>
          <cell r="BC368">
            <v>5</v>
          </cell>
          <cell r="BD368">
            <v>5</v>
          </cell>
          <cell r="BE368">
            <v>5</v>
          </cell>
          <cell r="BF368">
            <v>5</v>
          </cell>
          <cell r="BG368">
            <v>5</v>
          </cell>
          <cell r="BH368">
            <v>5</v>
          </cell>
          <cell r="BI368">
            <v>5</v>
          </cell>
          <cell r="BJ368">
            <v>5</v>
          </cell>
          <cell r="BK368">
            <v>5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</row>
        <row r="369">
          <cell r="A369" t="str">
            <v>Volvo PIP</v>
          </cell>
          <cell r="B369" t="str">
            <v>EX30 PIP Center</v>
          </cell>
          <cell r="D369" t="str">
            <v>SHIFT A HC - operators</v>
          </cell>
          <cell r="Z369">
            <v>2</v>
          </cell>
          <cell r="AA369">
            <v>3</v>
          </cell>
          <cell r="AB369">
            <v>5</v>
          </cell>
          <cell r="AC369">
            <v>5</v>
          </cell>
          <cell r="AD369">
            <v>4</v>
          </cell>
          <cell r="AE369">
            <v>3</v>
          </cell>
          <cell r="AF369">
            <v>3</v>
          </cell>
          <cell r="AG369">
            <v>3</v>
          </cell>
          <cell r="AH369">
            <v>3</v>
          </cell>
          <cell r="AI369">
            <v>4</v>
          </cell>
          <cell r="AJ369">
            <v>4</v>
          </cell>
          <cell r="AK369">
            <v>4</v>
          </cell>
          <cell r="AL369">
            <v>4</v>
          </cell>
          <cell r="AM369">
            <v>4</v>
          </cell>
          <cell r="AN369">
            <v>4</v>
          </cell>
          <cell r="AO369">
            <v>4</v>
          </cell>
          <cell r="AP369">
            <v>3</v>
          </cell>
          <cell r="AQ369">
            <v>3</v>
          </cell>
          <cell r="AR369">
            <v>3</v>
          </cell>
          <cell r="AS369">
            <v>3</v>
          </cell>
          <cell r="AT369">
            <v>3</v>
          </cell>
          <cell r="AU369">
            <v>3</v>
          </cell>
          <cell r="AV369">
            <v>3</v>
          </cell>
          <cell r="AW369">
            <v>3</v>
          </cell>
          <cell r="AX369">
            <v>3</v>
          </cell>
          <cell r="AY369">
            <v>3</v>
          </cell>
          <cell r="AZ369">
            <v>3</v>
          </cell>
          <cell r="BA369">
            <v>3</v>
          </cell>
          <cell r="BB369">
            <v>3</v>
          </cell>
          <cell r="BC369">
            <v>3</v>
          </cell>
          <cell r="BD369">
            <v>3</v>
          </cell>
          <cell r="BE369">
            <v>3</v>
          </cell>
          <cell r="BF369">
            <v>3</v>
          </cell>
          <cell r="BG369">
            <v>3</v>
          </cell>
          <cell r="BH369">
            <v>3</v>
          </cell>
          <cell r="BI369">
            <v>3</v>
          </cell>
          <cell r="BJ369">
            <v>3</v>
          </cell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</row>
        <row r="370">
          <cell r="A370" t="str">
            <v>Volvo PIP</v>
          </cell>
          <cell r="B370" t="str">
            <v>EX30 PIP Center</v>
          </cell>
          <cell r="D370" t="str">
            <v>SHIFT B HC  - operators</v>
          </cell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</row>
        <row r="371">
          <cell r="A371" t="str">
            <v>Volvo PIP</v>
          </cell>
          <cell r="B371" t="str">
            <v>EX30 PIP Center</v>
          </cell>
          <cell r="D371" t="str">
            <v>SHIFT C HC  - operators</v>
          </cell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</row>
        <row r="372">
          <cell r="A372" t="str">
            <v>Volvo PIP</v>
          </cell>
          <cell r="B372" t="str">
            <v>EX30 PIP Center</v>
          </cell>
          <cell r="D372" t="str">
            <v>Total HC</v>
          </cell>
          <cell r="Z372">
            <v>2</v>
          </cell>
          <cell r="AA372">
            <v>3</v>
          </cell>
          <cell r="AB372">
            <v>5</v>
          </cell>
          <cell r="AC372">
            <v>5</v>
          </cell>
          <cell r="AD372">
            <v>4</v>
          </cell>
          <cell r="AE372">
            <v>3</v>
          </cell>
          <cell r="AF372">
            <v>3</v>
          </cell>
          <cell r="AG372">
            <v>3</v>
          </cell>
          <cell r="AH372">
            <v>3</v>
          </cell>
          <cell r="AI372">
            <v>4</v>
          </cell>
          <cell r="AJ372">
            <v>4</v>
          </cell>
          <cell r="AK372">
            <v>4</v>
          </cell>
          <cell r="AL372">
            <v>4</v>
          </cell>
          <cell r="AM372">
            <v>4</v>
          </cell>
          <cell r="AN372">
            <v>4</v>
          </cell>
          <cell r="AO372">
            <v>4</v>
          </cell>
          <cell r="AP372">
            <v>3</v>
          </cell>
          <cell r="AQ372">
            <v>3</v>
          </cell>
          <cell r="AR372">
            <v>3</v>
          </cell>
          <cell r="AS372">
            <v>3</v>
          </cell>
          <cell r="AT372">
            <v>3</v>
          </cell>
          <cell r="AU372">
            <v>3</v>
          </cell>
          <cell r="AV372">
            <v>3</v>
          </cell>
          <cell r="AW372">
            <v>3</v>
          </cell>
          <cell r="AX372">
            <v>3</v>
          </cell>
          <cell r="AY372">
            <v>3</v>
          </cell>
          <cell r="AZ372">
            <v>3</v>
          </cell>
          <cell r="BA372">
            <v>3</v>
          </cell>
          <cell r="BB372">
            <v>3</v>
          </cell>
          <cell r="BC372">
            <v>3</v>
          </cell>
          <cell r="BD372">
            <v>3</v>
          </cell>
          <cell r="BE372">
            <v>3</v>
          </cell>
          <cell r="BF372">
            <v>3</v>
          </cell>
          <cell r="BG372">
            <v>3</v>
          </cell>
          <cell r="BH372">
            <v>3</v>
          </cell>
          <cell r="BI372">
            <v>3</v>
          </cell>
          <cell r="BJ372">
            <v>3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</row>
        <row r="373">
          <cell r="A373" t="str">
            <v>Volvo PIP</v>
          </cell>
          <cell r="B373" t="str">
            <v>EX30 PIP Center</v>
          </cell>
          <cell r="D373" t="str">
            <v>SHIFT A HC  - efficiency</v>
          </cell>
          <cell r="Z373">
            <v>0.92</v>
          </cell>
          <cell r="AA373">
            <v>0.97000000000000008</v>
          </cell>
          <cell r="AB373">
            <v>0.96</v>
          </cell>
          <cell r="AC373">
            <v>0.96</v>
          </cell>
          <cell r="AD373">
            <v>1</v>
          </cell>
          <cell r="AE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1</v>
          </cell>
          <cell r="AJ373">
            <v>1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1</v>
          </cell>
          <cell r="AR373">
            <v>1</v>
          </cell>
          <cell r="AS373">
            <v>1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1</v>
          </cell>
          <cell r="BB373">
            <v>1</v>
          </cell>
          <cell r="BC373">
            <v>1</v>
          </cell>
          <cell r="BD373">
            <v>1</v>
          </cell>
          <cell r="BE373">
            <v>1</v>
          </cell>
          <cell r="BF373">
            <v>1</v>
          </cell>
          <cell r="BG373">
            <v>1</v>
          </cell>
          <cell r="BH373">
            <v>1.0000000000000007</v>
          </cell>
          <cell r="BI373">
            <v>1.0000000000000007</v>
          </cell>
          <cell r="BJ373">
            <v>1.0000000000000007</v>
          </cell>
          <cell r="BK373">
            <v>1.2</v>
          </cell>
          <cell r="BL373">
            <v>1.2</v>
          </cell>
          <cell r="BM373">
            <v>1.2</v>
          </cell>
          <cell r="BN373">
            <v>1.2</v>
          </cell>
          <cell r="BO373">
            <v>1.2</v>
          </cell>
          <cell r="BP373">
            <v>1.2</v>
          </cell>
          <cell r="BQ373">
            <v>1.2</v>
          </cell>
          <cell r="BR373">
            <v>1.2</v>
          </cell>
          <cell r="BS373">
            <v>1.2</v>
          </cell>
          <cell r="BT373">
            <v>1.2</v>
          </cell>
          <cell r="BU373">
            <v>1.2</v>
          </cell>
          <cell r="BV373">
            <v>1.2</v>
          </cell>
        </row>
        <row r="374">
          <cell r="A374" t="str">
            <v>Volvo PIP</v>
          </cell>
          <cell r="B374" t="str">
            <v>EX30 PIP Center</v>
          </cell>
          <cell r="D374" t="str">
            <v>SHIFT B HC  - efficiency</v>
          </cell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>
            <v>1</v>
          </cell>
          <cell r="BL374">
            <v>1</v>
          </cell>
          <cell r="BM374">
            <v>1</v>
          </cell>
          <cell r="BN374">
            <v>1</v>
          </cell>
          <cell r="BO374">
            <v>1</v>
          </cell>
          <cell r="BP374">
            <v>1</v>
          </cell>
          <cell r="BQ374">
            <v>1</v>
          </cell>
          <cell r="BR374">
            <v>1</v>
          </cell>
          <cell r="BS374">
            <v>1</v>
          </cell>
          <cell r="BT374">
            <v>1</v>
          </cell>
          <cell r="BU374">
            <v>1</v>
          </cell>
          <cell r="BV374">
            <v>1</v>
          </cell>
        </row>
        <row r="375">
          <cell r="A375" t="str">
            <v>Volvo PIP</v>
          </cell>
          <cell r="B375" t="str">
            <v>EX30 PIP Center</v>
          </cell>
          <cell r="D375" t="str">
            <v>SHIFT C HC  - efficiency</v>
          </cell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>
            <v>1</v>
          </cell>
          <cell r="BL375">
            <v>1</v>
          </cell>
          <cell r="BM375">
            <v>1</v>
          </cell>
          <cell r="BN375">
            <v>1</v>
          </cell>
          <cell r="BO375">
            <v>1</v>
          </cell>
          <cell r="BP375">
            <v>1</v>
          </cell>
          <cell r="BQ375">
            <v>1</v>
          </cell>
          <cell r="BR375">
            <v>1</v>
          </cell>
          <cell r="BS375">
            <v>1</v>
          </cell>
          <cell r="BT375">
            <v>1</v>
          </cell>
          <cell r="BU375">
            <v>1</v>
          </cell>
          <cell r="BV375">
            <v>1</v>
          </cell>
        </row>
        <row r="376">
          <cell r="A376" t="str">
            <v>Volvo PIP</v>
          </cell>
          <cell r="B376" t="str">
            <v>EX30 PIP Center</v>
          </cell>
          <cell r="D376" t="str">
            <v>Total efficiency</v>
          </cell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</row>
        <row r="377">
          <cell r="A377" t="str">
            <v>Volvo PIP</v>
          </cell>
          <cell r="B377" t="str">
            <v>EX30 PIP Center</v>
          </cell>
          <cell r="D377" t="str">
            <v>SHIFT A - output</v>
          </cell>
          <cell r="Z377">
            <v>126.53005088708569</v>
          </cell>
          <cell r="AA377">
            <v>200.11002613120618</v>
          </cell>
          <cell r="AB377">
            <v>330.07839361848443</v>
          </cell>
          <cell r="AC377">
            <v>330.07839361848443</v>
          </cell>
          <cell r="AD377">
            <v>275.06532801540368</v>
          </cell>
          <cell r="AE377">
            <v>206.29899601155276</v>
          </cell>
          <cell r="AF377">
            <v>206.29899601155276</v>
          </cell>
          <cell r="AG377">
            <v>206.29899601155276</v>
          </cell>
          <cell r="AH377">
            <v>206.29899601155276</v>
          </cell>
          <cell r="AI377">
            <v>275.06532801540368</v>
          </cell>
          <cell r="AJ377">
            <v>275.06532801540368</v>
          </cell>
          <cell r="AK377">
            <v>275.06532801540368</v>
          </cell>
          <cell r="AL377">
            <v>275.06532801540368</v>
          </cell>
          <cell r="AM377">
            <v>275.06532801540368</v>
          </cell>
          <cell r="AN377">
            <v>275.06532801540368</v>
          </cell>
          <cell r="AO377">
            <v>275.06532801540368</v>
          </cell>
          <cell r="AP377">
            <v>206.29899601155276</v>
          </cell>
          <cell r="AQ377">
            <v>206.29899601155276</v>
          </cell>
          <cell r="AR377">
            <v>206.29899601155276</v>
          </cell>
          <cell r="AS377">
            <v>206.29899601155276</v>
          </cell>
          <cell r="AT377">
            <v>206.29899601155276</v>
          </cell>
          <cell r="AU377">
            <v>206.29899601155276</v>
          </cell>
          <cell r="AV377">
            <v>206.29899601155276</v>
          </cell>
          <cell r="AW377">
            <v>206.29899601155276</v>
          </cell>
          <cell r="AX377">
            <v>206.29899601155276</v>
          </cell>
          <cell r="AY377">
            <v>206.29899601155276</v>
          </cell>
          <cell r="AZ377">
            <v>206.29899601155276</v>
          </cell>
          <cell r="BA377">
            <v>206.29899601155276</v>
          </cell>
          <cell r="BB377">
            <v>206.29899601155276</v>
          </cell>
          <cell r="BC377">
            <v>206.29899601155276</v>
          </cell>
          <cell r="BD377">
            <v>206.29899601155276</v>
          </cell>
          <cell r="BE377">
            <v>206.29899601155276</v>
          </cell>
          <cell r="BF377">
            <v>206.29899601155276</v>
          </cell>
          <cell r="BG377">
            <v>206.29899601155276</v>
          </cell>
          <cell r="BH377">
            <v>206.2989960115529</v>
          </cell>
          <cell r="BI377">
            <v>206.2989960115529</v>
          </cell>
          <cell r="BJ377">
            <v>206.2989960115529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</row>
        <row r="378">
          <cell r="A378" t="str">
            <v>Volvo PIP</v>
          </cell>
          <cell r="B378" t="str">
            <v>EX30 PIP Center</v>
          </cell>
          <cell r="D378" t="str">
            <v>SHIFT B  - output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</row>
        <row r="379">
          <cell r="A379" t="str">
            <v>Volvo PIP</v>
          </cell>
          <cell r="B379" t="str">
            <v>EX30 PIP Center</v>
          </cell>
          <cell r="D379" t="str">
            <v>SHIFT C  - output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</row>
        <row r="380">
          <cell r="A380" t="str">
            <v>Volvo PIP</v>
          </cell>
          <cell r="B380" t="str">
            <v>EX30 PIP Center</v>
          </cell>
          <cell r="D380" t="str">
            <v>Est. Output (Pcs day)</v>
          </cell>
          <cell r="E380">
            <v>6.5438999999999998</v>
          </cell>
          <cell r="Z380">
            <v>126.53005088708569</v>
          </cell>
          <cell r="AA380">
            <v>200.11002613120618</v>
          </cell>
          <cell r="AB380">
            <v>330.07839361848443</v>
          </cell>
          <cell r="AC380">
            <v>330.07839361848443</v>
          </cell>
          <cell r="AD380">
            <v>275.06532801540368</v>
          </cell>
          <cell r="AE380">
            <v>206.29899601155276</v>
          </cell>
          <cell r="AF380">
            <v>206.29899601155276</v>
          </cell>
          <cell r="AG380">
            <v>206.29899601155276</v>
          </cell>
          <cell r="AH380">
            <v>206.29899601155276</v>
          </cell>
          <cell r="AI380">
            <v>275.06532801540368</v>
          </cell>
          <cell r="AJ380">
            <v>275.06532801540368</v>
          </cell>
          <cell r="AK380">
            <v>275.06532801540368</v>
          </cell>
          <cell r="AL380">
            <v>275.06532801540368</v>
          </cell>
          <cell r="AM380">
            <v>275.06532801540368</v>
          </cell>
          <cell r="AN380">
            <v>275.06532801540368</v>
          </cell>
          <cell r="AO380">
            <v>275.06532801540368</v>
          </cell>
          <cell r="AP380">
            <v>206.29899601155276</v>
          </cell>
          <cell r="AQ380">
            <v>206.29899601155276</v>
          </cell>
          <cell r="AR380">
            <v>206.29899601155276</v>
          </cell>
          <cell r="AS380">
            <v>206.29899601155276</v>
          </cell>
          <cell r="AT380">
            <v>206.29899601155276</v>
          </cell>
          <cell r="AU380">
            <v>206.29899601155276</v>
          </cell>
          <cell r="AV380">
            <v>206.29899601155276</v>
          </cell>
          <cell r="AW380">
            <v>206.29899601155276</v>
          </cell>
          <cell r="AX380">
            <v>206.29899601155276</v>
          </cell>
          <cell r="AY380">
            <v>206.29899601155276</v>
          </cell>
          <cell r="AZ380">
            <v>206.29899601155276</v>
          </cell>
          <cell r="BA380">
            <v>206.29899601155276</v>
          </cell>
          <cell r="BB380">
            <v>206.29899601155276</v>
          </cell>
          <cell r="BC380">
            <v>206.29899601155276</v>
          </cell>
          <cell r="BD380">
            <v>206.29899601155276</v>
          </cell>
          <cell r="BE380">
            <v>206.29899601155276</v>
          </cell>
          <cell r="BF380">
            <v>206.29899601155276</v>
          </cell>
          <cell r="BG380">
            <v>206.29899601155276</v>
          </cell>
          <cell r="BH380">
            <v>206.2989960115529</v>
          </cell>
          <cell r="BI380">
            <v>206.2989960115529</v>
          </cell>
          <cell r="BJ380">
            <v>206.2989960115529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</row>
        <row r="381">
          <cell r="A381" t="str">
            <v>Volvo PIP</v>
          </cell>
          <cell r="B381" t="str">
            <v>EX30 PIP Center</v>
          </cell>
          <cell r="D381" t="str">
            <v>Weekly Output PLAN</v>
          </cell>
          <cell r="E381" t="str">
            <v>SEW</v>
          </cell>
          <cell r="Z381">
            <v>632.65025443542845</v>
          </cell>
          <cell r="AA381">
            <v>1000.5501306560309</v>
          </cell>
          <cell r="AB381">
            <v>1650.3919680924221</v>
          </cell>
          <cell r="AC381">
            <v>1650.3919680924221</v>
          </cell>
          <cell r="AD381">
            <v>825.19598404621104</v>
          </cell>
          <cell r="AE381">
            <v>1031.4949800577638</v>
          </cell>
          <cell r="AF381">
            <v>1031.4949800577638</v>
          </cell>
          <cell r="AG381">
            <v>1031.4949800577638</v>
          </cell>
          <cell r="AH381">
            <v>1031.4949800577638</v>
          </cell>
          <cell r="AI381">
            <v>1375.3266400770185</v>
          </cell>
          <cell r="AJ381">
            <v>1375.3266400770185</v>
          </cell>
          <cell r="AK381">
            <v>1100.2613120616147</v>
          </cell>
          <cell r="AL381">
            <v>1100.2613120616147</v>
          </cell>
          <cell r="AM381">
            <v>1375.3266400770185</v>
          </cell>
          <cell r="AN381">
            <v>1100.2613120616147</v>
          </cell>
          <cell r="AO381">
            <v>1375.3266400770185</v>
          </cell>
          <cell r="AP381">
            <v>1031.4949800577638</v>
          </cell>
          <cell r="AQ381">
            <v>1031.4949800577638</v>
          </cell>
          <cell r="AR381">
            <v>1031.4949800577638</v>
          </cell>
          <cell r="AS381">
            <v>1031.4949800577638</v>
          </cell>
          <cell r="AT381">
            <v>1031.4949800577638</v>
          </cell>
          <cell r="AU381">
            <v>1031.4949800577638</v>
          </cell>
          <cell r="AV381">
            <v>1031.4949800577638</v>
          </cell>
          <cell r="AW381">
            <v>1031.4949800577638</v>
          </cell>
          <cell r="AX381">
            <v>1031.4949800577638</v>
          </cell>
          <cell r="AY381">
            <v>1031.4949800577638</v>
          </cell>
          <cell r="AZ381">
            <v>0</v>
          </cell>
          <cell r="BA381">
            <v>0</v>
          </cell>
          <cell r="BB381">
            <v>1031.4949800577638</v>
          </cell>
          <cell r="BC381">
            <v>1031.4949800577638</v>
          </cell>
          <cell r="BD381">
            <v>1031.4949800577638</v>
          </cell>
          <cell r="BE381">
            <v>1031.4949800577638</v>
          </cell>
          <cell r="BF381">
            <v>1031.4949800577638</v>
          </cell>
          <cell r="BG381">
            <v>1031.4949800577638</v>
          </cell>
          <cell r="BH381">
            <v>1031.4949800577645</v>
          </cell>
          <cell r="BI381">
            <v>1031.4949800577645</v>
          </cell>
          <cell r="BJ381">
            <v>1031.4949800577645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</row>
        <row r="382">
          <cell r="A382" t="str">
            <v>Volvo PIP</v>
          </cell>
          <cell r="B382" t="str">
            <v>EX30 PIP Center</v>
          </cell>
          <cell r="D382" t="str">
            <v>RHR CENTER BREEZE</v>
          </cell>
          <cell r="E382">
            <v>6.5438999999999998</v>
          </cell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</row>
        <row r="383">
          <cell r="A383" t="str">
            <v>Volvo PIP</v>
          </cell>
          <cell r="B383" t="str">
            <v>EX30 PIP Center</v>
          </cell>
          <cell r="D383" t="str">
            <v>RHR CENTER INDIGO</v>
          </cell>
          <cell r="E383">
            <v>6.5438999999999998</v>
          </cell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</row>
        <row r="384">
          <cell r="A384" t="str">
            <v>Volvo PIP</v>
          </cell>
          <cell r="B384" t="str">
            <v>EX30 PIP Center</v>
          </cell>
          <cell r="D384" t="str">
            <v>RHR CENTER MIST</v>
          </cell>
          <cell r="E384">
            <v>6.5438999999999998</v>
          </cell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</row>
        <row r="385">
          <cell r="A385" t="str">
            <v>Volvo PIP</v>
          </cell>
          <cell r="B385" t="str">
            <v>EX30 PIP Center</v>
          </cell>
          <cell r="D385" t="str">
            <v>RHR CENTER PINE</v>
          </cell>
          <cell r="E385">
            <v>6.5438999999999998</v>
          </cell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</row>
        <row r="386">
          <cell r="A386" t="str">
            <v>Volvo PIP</v>
          </cell>
          <cell r="B386" t="str">
            <v>EX30 PIP Center</v>
          </cell>
          <cell r="D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</row>
        <row r="387">
          <cell r="A387" t="str">
            <v>Volvo PIP</v>
          </cell>
          <cell r="B387" t="str">
            <v>EX30 PIP Center</v>
          </cell>
          <cell r="D387" t="str">
            <v>Weekly Output PLAN - SUM of models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</row>
        <row r="388">
          <cell r="A388" t="str">
            <v>Volvo PIP</v>
          </cell>
          <cell r="B388" t="str">
            <v>EX30 PIP Center</v>
          </cell>
          <cell r="D388" t="str">
            <v>Weekly Output CHECK with TO time multiple</v>
          </cell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</row>
        <row r="389">
          <cell r="A389" t="str">
            <v>Volvo PIP</v>
          </cell>
          <cell r="B389" t="str">
            <v>EX30 PIP Center</v>
          </cell>
          <cell r="D389" t="str">
            <v>Weekly Output ACT</v>
          </cell>
          <cell r="Z389">
            <v>632.65025443542845</v>
          </cell>
          <cell r="AA389">
            <v>1000.5501306560309</v>
          </cell>
          <cell r="AB389">
            <v>1650.3919680924221</v>
          </cell>
          <cell r="AC389">
            <v>1650.3919680924221</v>
          </cell>
          <cell r="AD389">
            <v>825.19598404621104</v>
          </cell>
          <cell r="AE389">
            <v>1031.4949800577638</v>
          </cell>
          <cell r="AF389">
            <v>1031.4949800577638</v>
          </cell>
          <cell r="AG389">
            <v>1031.4949800577638</v>
          </cell>
          <cell r="AH389">
            <v>1031.4949800577638</v>
          </cell>
          <cell r="AI389">
            <v>1375.3266400770185</v>
          </cell>
          <cell r="AJ389">
            <v>1375.3266400770185</v>
          </cell>
          <cell r="AK389">
            <v>1100.2613120616147</v>
          </cell>
          <cell r="AL389">
            <v>1100.2613120616147</v>
          </cell>
          <cell r="AM389">
            <v>1375.3266400770185</v>
          </cell>
          <cell r="AN389">
            <v>1100.2613120616147</v>
          </cell>
          <cell r="AO389">
            <v>1375.3266400770185</v>
          </cell>
          <cell r="AP389">
            <v>1031.4949800577638</v>
          </cell>
          <cell r="AQ389">
            <v>1031.4949800577638</v>
          </cell>
          <cell r="AR389">
            <v>1031.4949800577638</v>
          </cell>
          <cell r="AS389">
            <v>1031.4949800577638</v>
          </cell>
          <cell r="AT389">
            <v>1031.4949800577638</v>
          </cell>
          <cell r="AU389">
            <v>1031.4949800577638</v>
          </cell>
          <cell r="AV389">
            <v>1031.4949800577638</v>
          </cell>
          <cell r="AW389">
            <v>1031.4949800577638</v>
          </cell>
          <cell r="AX389">
            <v>1031.4949800577638</v>
          </cell>
          <cell r="AY389">
            <v>1031.4949800577638</v>
          </cell>
          <cell r="AZ389">
            <v>0</v>
          </cell>
          <cell r="BA389">
            <v>0</v>
          </cell>
          <cell r="BB389">
            <v>1031.4949800577638</v>
          </cell>
          <cell r="BC389">
            <v>1031.4949800577638</v>
          </cell>
          <cell r="BD389">
            <v>1031.4949800577638</v>
          </cell>
          <cell r="BE389">
            <v>1031.4949800577638</v>
          </cell>
          <cell r="BF389">
            <v>1031.4949800577638</v>
          </cell>
          <cell r="BG389">
            <v>1031.4949800577638</v>
          </cell>
          <cell r="BH389">
            <v>1031.4949800577645</v>
          </cell>
          <cell r="BI389">
            <v>1031.4949800577645</v>
          </cell>
          <cell r="BJ389">
            <v>1031.4949800577645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</row>
        <row r="390">
          <cell r="A390" t="str">
            <v>Volvo PIP</v>
          </cell>
          <cell r="B390" t="str">
            <v>EX30 PIP Center</v>
          </cell>
          <cell r="D390" t="str">
            <v>RHR CENTER BREEZE</v>
          </cell>
          <cell r="Z390">
            <v>108</v>
          </cell>
          <cell r="AA390">
            <v>0</v>
          </cell>
          <cell r="AB390">
            <v>108</v>
          </cell>
          <cell r="AC390">
            <v>108</v>
          </cell>
          <cell r="AD390">
            <v>108</v>
          </cell>
          <cell r="AE390">
            <v>108</v>
          </cell>
          <cell r="AF390">
            <v>0</v>
          </cell>
          <cell r="AG390">
            <v>108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</row>
        <row r="391">
          <cell r="A391" t="str">
            <v>Volvo PIP</v>
          </cell>
          <cell r="B391" t="str">
            <v>EX30 PIP Center</v>
          </cell>
          <cell r="D391" t="str">
            <v>RHR CENTER INDIGO</v>
          </cell>
          <cell r="Z391">
            <v>972</v>
          </cell>
          <cell r="AA391">
            <v>0</v>
          </cell>
          <cell r="AB391">
            <v>1296</v>
          </cell>
          <cell r="AC391">
            <v>756</v>
          </cell>
          <cell r="AD391">
            <v>864</v>
          </cell>
          <cell r="AE391">
            <v>756</v>
          </cell>
          <cell r="AF391">
            <v>756</v>
          </cell>
          <cell r="AG391">
            <v>972</v>
          </cell>
          <cell r="AH391">
            <v>540</v>
          </cell>
          <cell r="AI391">
            <v>972</v>
          </cell>
          <cell r="AJ391">
            <v>864</v>
          </cell>
          <cell r="AK391">
            <v>4104</v>
          </cell>
          <cell r="AL391">
            <v>0</v>
          </cell>
          <cell r="AM391">
            <v>0</v>
          </cell>
          <cell r="AN391">
            <v>0</v>
          </cell>
          <cell r="AO391">
            <v>4104</v>
          </cell>
          <cell r="AP391">
            <v>0</v>
          </cell>
          <cell r="AQ391">
            <v>0</v>
          </cell>
          <cell r="AR391">
            <v>0</v>
          </cell>
          <cell r="AS391">
            <v>4104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2376</v>
          </cell>
          <cell r="AY391">
            <v>0</v>
          </cell>
          <cell r="AZ391">
            <v>0</v>
          </cell>
          <cell r="BA391">
            <v>0</v>
          </cell>
          <cell r="BB391">
            <v>4428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4644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</row>
        <row r="392">
          <cell r="A392" t="str">
            <v>Volvo PIP</v>
          </cell>
          <cell r="B392" t="str">
            <v>EX30 PIP Center</v>
          </cell>
          <cell r="D392" t="str">
            <v>RHR CENTER MIST</v>
          </cell>
          <cell r="Z392">
            <v>0</v>
          </cell>
          <cell r="AA392">
            <v>0</v>
          </cell>
          <cell r="AB392">
            <v>108</v>
          </cell>
          <cell r="AC392">
            <v>0</v>
          </cell>
          <cell r="AD392">
            <v>108</v>
          </cell>
          <cell r="AE392">
            <v>108</v>
          </cell>
          <cell r="AF392">
            <v>0</v>
          </cell>
          <cell r="AG392">
            <v>0</v>
          </cell>
          <cell r="AH392">
            <v>0</v>
          </cell>
          <cell r="AI392">
            <v>108</v>
          </cell>
          <cell r="AJ392">
            <v>0</v>
          </cell>
          <cell r="AK392">
            <v>216</v>
          </cell>
          <cell r="AL392">
            <v>0</v>
          </cell>
          <cell r="AM392">
            <v>0</v>
          </cell>
          <cell r="AN392">
            <v>0</v>
          </cell>
          <cell r="AO392">
            <v>216</v>
          </cell>
          <cell r="AP392">
            <v>0</v>
          </cell>
          <cell r="AQ392">
            <v>0</v>
          </cell>
          <cell r="AR392">
            <v>0</v>
          </cell>
          <cell r="AS392">
            <v>108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108</v>
          </cell>
          <cell r="AY392">
            <v>0</v>
          </cell>
          <cell r="AZ392">
            <v>0</v>
          </cell>
          <cell r="BA392">
            <v>0</v>
          </cell>
          <cell r="BB392">
            <v>216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108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</row>
        <row r="393">
          <cell r="A393" t="str">
            <v>Volvo PIP</v>
          </cell>
          <cell r="B393" t="str">
            <v>EX30 PIP Center</v>
          </cell>
          <cell r="D393" t="str">
            <v>RHR CENTER PINE</v>
          </cell>
          <cell r="Z393">
            <v>324</v>
          </cell>
          <cell r="AA393">
            <v>0</v>
          </cell>
          <cell r="AB393">
            <v>216</v>
          </cell>
          <cell r="AC393">
            <v>108</v>
          </cell>
          <cell r="AD393">
            <v>216</v>
          </cell>
          <cell r="AE393">
            <v>108</v>
          </cell>
          <cell r="AF393">
            <v>108</v>
          </cell>
          <cell r="AG393">
            <v>108</v>
          </cell>
          <cell r="AH393">
            <v>0</v>
          </cell>
          <cell r="AI393">
            <v>108</v>
          </cell>
          <cell r="AJ393">
            <v>0</v>
          </cell>
          <cell r="AK393">
            <v>108</v>
          </cell>
          <cell r="AL393">
            <v>0</v>
          </cell>
          <cell r="AM393">
            <v>0</v>
          </cell>
          <cell r="AN393">
            <v>0</v>
          </cell>
          <cell r="AO393">
            <v>108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108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</row>
        <row r="394">
          <cell r="A394" t="str">
            <v>Volvo PIP</v>
          </cell>
          <cell r="B394" t="str">
            <v>EX30 PIP Center</v>
          </cell>
          <cell r="D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</row>
        <row r="395">
          <cell r="A395" t="str">
            <v>Volvo PIP</v>
          </cell>
          <cell r="B395" t="str">
            <v>EX30 PIP Center</v>
          </cell>
          <cell r="D395" t="str">
            <v>Weekly demand</v>
          </cell>
          <cell r="Z395">
            <v>1404</v>
          </cell>
          <cell r="AA395">
            <v>0</v>
          </cell>
          <cell r="AB395">
            <v>1728</v>
          </cell>
          <cell r="AC395">
            <v>972</v>
          </cell>
          <cell r="AD395">
            <v>1296</v>
          </cell>
          <cell r="AE395">
            <v>1080</v>
          </cell>
          <cell r="AF395">
            <v>864</v>
          </cell>
          <cell r="AG395">
            <v>1188</v>
          </cell>
          <cell r="AH395">
            <v>540</v>
          </cell>
          <cell r="AI395">
            <v>1188</v>
          </cell>
          <cell r="AJ395">
            <v>864</v>
          </cell>
          <cell r="AK395">
            <v>4428</v>
          </cell>
          <cell r="AL395">
            <v>0</v>
          </cell>
          <cell r="AM395">
            <v>0</v>
          </cell>
          <cell r="AN395">
            <v>0</v>
          </cell>
          <cell r="AO395">
            <v>4428</v>
          </cell>
          <cell r="AP395">
            <v>0</v>
          </cell>
          <cell r="AQ395">
            <v>0</v>
          </cell>
          <cell r="AR395">
            <v>0</v>
          </cell>
          <cell r="AS395">
            <v>4212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2484</v>
          </cell>
          <cell r="AY395">
            <v>0</v>
          </cell>
          <cell r="AZ395">
            <v>0</v>
          </cell>
          <cell r="BA395">
            <v>0</v>
          </cell>
          <cell r="BB395">
            <v>4752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4752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</row>
        <row r="396">
          <cell r="A396" t="str">
            <v>Volvo PIP</v>
          </cell>
          <cell r="B396" t="str">
            <v>EX30 PIP Center</v>
          </cell>
          <cell r="D396" t="str">
            <v>Stock Target</v>
          </cell>
          <cell r="Z396">
            <v>800</v>
          </cell>
          <cell r="AA396">
            <v>800</v>
          </cell>
          <cell r="AB396">
            <v>800</v>
          </cell>
          <cell r="AC396">
            <v>800</v>
          </cell>
          <cell r="AD396">
            <v>800</v>
          </cell>
          <cell r="AE396">
            <v>800</v>
          </cell>
          <cell r="AF396">
            <v>800</v>
          </cell>
          <cell r="AG396">
            <v>800</v>
          </cell>
          <cell r="AH396">
            <v>800</v>
          </cell>
          <cell r="AI396">
            <v>800</v>
          </cell>
          <cell r="AJ396">
            <v>2528</v>
          </cell>
          <cell r="AK396">
            <v>2529</v>
          </cell>
          <cell r="AL396">
            <v>2530</v>
          </cell>
          <cell r="AM396">
            <v>2531</v>
          </cell>
          <cell r="AN396">
            <v>2532</v>
          </cell>
          <cell r="AO396">
            <v>2533</v>
          </cell>
          <cell r="AP396">
            <v>2534</v>
          </cell>
          <cell r="AQ396">
            <v>2535</v>
          </cell>
          <cell r="AR396">
            <v>2536</v>
          </cell>
          <cell r="AS396">
            <v>2537</v>
          </cell>
          <cell r="AT396">
            <v>2538</v>
          </cell>
          <cell r="AU396">
            <v>2539</v>
          </cell>
          <cell r="AV396">
            <v>2540</v>
          </cell>
          <cell r="AW396">
            <v>2541</v>
          </cell>
          <cell r="AX396">
            <v>2542</v>
          </cell>
          <cell r="AY396">
            <v>2543</v>
          </cell>
          <cell r="AZ396">
            <v>2544</v>
          </cell>
          <cell r="BA396">
            <v>2545</v>
          </cell>
          <cell r="BB396">
            <v>2546</v>
          </cell>
          <cell r="BC396">
            <v>2547</v>
          </cell>
          <cell r="BD396">
            <v>2548</v>
          </cell>
          <cell r="BE396">
            <v>2549</v>
          </cell>
          <cell r="BF396">
            <v>2550</v>
          </cell>
          <cell r="BG396">
            <v>2551</v>
          </cell>
          <cell r="BH396">
            <v>2552</v>
          </cell>
          <cell r="BI396">
            <v>2553</v>
          </cell>
          <cell r="BJ396">
            <v>2554</v>
          </cell>
          <cell r="BK396">
            <v>2555</v>
          </cell>
          <cell r="BL396">
            <v>2556</v>
          </cell>
          <cell r="BM396">
            <v>2557</v>
          </cell>
          <cell r="BN396">
            <v>2558</v>
          </cell>
          <cell r="BO396">
            <v>2559</v>
          </cell>
          <cell r="BP396">
            <v>2560</v>
          </cell>
          <cell r="BQ396">
            <v>2561</v>
          </cell>
          <cell r="BR396">
            <v>2562</v>
          </cell>
          <cell r="BS396">
            <v>2563</v>
          </cell>
          <cell r="BT396">
            <v>2564</v>
          </cell>
          <cell r="BU396">
            <v>2565</v>
          </cell>
          <cell r="BV396">
            <v>2566</v>
          </cell>
        </row>
        <row r="397">
          <cell r="A397" t="str">
            <v>Volvo PIP</v>
          </cell>
          <cell r="B397" t="str">
            <v>EX30 PIP Center</v>
          </cell>
          <cell r="D397" t="str">
            <v>RHR CENTER BREEZE</v>
          </cell>
          <cell r="Z397">
            <v>0</v>
          </cell>
          <cell r="AA397">
            <v>0</v>
          </cell>
          <cell r="AB397">
            <v>-108</v>
          </cell>
          <cell r="AC397">
            <v>-216</v>
          </cell>
          <cell r="AD397">
            <v>-324</v>
          </cell>
          <cell r="AE397">
            <v>-432</v>
          </cell>
          <cell r="AF397">
            <v>-432</v>
          </cell>
          <cell r="AG397">
            <v>-540</v>
          </cell>
          <cell r="AH397">
            <v>-540</v>
          </cell>
          <cell r="AI397">
            <v>-540</v>
          </cell>
          <cell r="AJ397">
            <v>-540</v>
          </cell>
          <cell r="AK397">
            <v>-540</v>
          </cell>
          <cell r="AL397">
            <v>-540</v>
          </cell>
          <cell r="AM397">
            <v>-540</v>
          </cell>
          <cell r="AN397">
            <v>-540</v>
          </cell>
          <cell r="AO397">
            <v>-540</v>
          </cell>
          <cell r="AP397">
            <v>-540</v>
          </cell>
          <cell r="AQ397">
            <v>-540</v>
          </cell>
          <cell r="AR397">
            <v>-540</v>
          </cell>
          <cell r="AS397">
            <v>-540</v>
          </cell>
          <cell r="AT397">
            <v>-540</v>
          </cell>
          <cell r="AU397">
            <v>-540</v>
          </cell>
          <cell r="AV397">
            <v>-540</v>
          </cell>
          <cell r="AW397">
            <v>-540</v>
          </cell>
          <cell r="AX397">
            <v>-540</v>
          </cell>
          <cell r="AY397">
            <v>-540</v>
          </cell>
          <cell r="AZ397">
            <v>-540</v>
          </cell>
          <cell r="BA397">
            <v>-540</v>
          </cell>
          <cell r="BB397">
            <v>-540</v>
          </cell>
          <cell r="BC397">
            <v>-540</v>
          </cell>
          <cell r="BD397">
            <v>-540</v>
          </cell>
          <cell r="BE397">
            <v>-540</v>
          </cell>
          <cell r="BF397">
            <v>-540</v>
          </cell>
          <cell r="BG397">
            <v>-540</v>
          </cell>
          <cell r="BH397">
            <v>-540</v>
          </cell>
          <cell r="BI397">
            <v>-540</v>
          </cell>
          <cell r="BJ397">
            <v>-540</v>
          </cell>
          <cell r="BK397">
            <v>-540</v>
          </cell>
          <cell r="BL397">
            <v>-540</v>
          </cell>
          <cell r="BM397">
            <v>-540</v>
          </cell>
          <cell r="BN397">
            <v>-540</v>
          </cell>
          <cell r="BO397">
            <v>-540</v>
          </cell>
          <cell r="BP397">
            <v>-540</v>
          </cell>
          <cell r="BQ397">
            <v>-540</v>
          </cell>
          <cell r="BR397">
            <v>-540</v>
          </cell>
          <cell r="BS397">
            <v>-540</v>
          </cell>
          <cell r="BT397">
            <v>-540</v>
          </cell>
          <cell r="BU397">
            <v>-540</v>
          </cell>
          <cell r="BV397">
            <v>-540</v>
          </cell>
        </row>
        <row r="398">
          <cell r="A398" t="str">
            <v>Volvo PIP</v>
          </cell>
          <cell r="B398" t="str">
            <v>EX30 PIP Center</v>
          </cell>
          <cell r="D398" t="str">
            <v>RHR CENTER INDIGO</v>
          </cell>
          <cell r="Z398">
            <v>0</v>
          </cell>
          <cell r="AA398">
            <v>0</v>
          </cell>
          <cell r="AB398">
            <v>-1296</v>
          </cell>
          <cell r="AC398">
            <v>-2052</v>
          </cell>
          <cell r="AD398">
            <v>-2916</v>
          </cell>
          <cell r="AE398">
            <v>-3672</v>
          </cell>
          <cell r="AF398">
            <v>-4428</v>
          </cell>
          <cell r="AG398">
            <v>-5400</v>
          </cell>
          <cell r="AH398">
            <v>-5940</v>
          </cell>
          <cell r="AI398">
            <v>-6912</v>
          </cell>
          <cell r="AJ398">
            <v>-7776</v>
          </cell>
          <cell r="AK398">
            <v>-11880</v>
          </cell>
          <cell r="AL398">
            <v>-11880</v>
          </cell>
          <cell r="AM398">
            <v>-11880</v>
          </cell>
          <cell r="AN398">
            <v>-11880</v>
          </cell>
          <cell r="AO398">
            <v>-15984</v>
          </cell>
          <cell r="AP398">
            <v>-15984</v>
          </cell>
          <cell r="AQ398">
            <v>-15984</v>
          </cell>
          <cell r="AR398">
            <v>-15984</v>
          </cell>
          <cell r="AS398">
            <v>-20088</v>
          </cell>
          <cell r="AT398">
            <v>-20088</v>
          </cell>
          <cell r="AU398">
            <v>-20088</v>
          </cell>
          <cell r="AV398">
            <v>-20088</v>
          </cell>
          <cell r="AW398">
            <v>-20088</v>
          </cell>
          <cell r="AX398">
            <v>-22464</v>
          </cell>
          <cell r="AY398">
            <v>-22464</v>
          </cell>
          <cell r="AZ398">
            <v>-22464</v>
          </cell>
          <cell r="BA398">
            <v>-22464</v>
          </cell>
          <cell r="BB398">
            <v>-26892</v>
          </cell>
          <cell r="BC398">
            <v>-26892</v>
          </cell>
          <cell r="BD398">
            <v>-26892</v>
          </cell>
          <cell r="BE398">
            <v>-26892</v>
          </cell>
          <cell r="BF398">
            <v>-26892</v>
          </cell>
          <cell r="BG398">
            <v>-31536</v>
          </cell>
          <cell r="BH398">
            <v>-31536</v>
          </cell>
          <cell r="BI398">
            <v>-31536</v>
          </cell>
          <cell r="BJ398">
            <v>-31536</v>
          </cell>
          <cell r="BK398">
            <v>-31536</v>
          </cell>
          <cell r="BL398">
            <v>-31536</v>
          </cell>
          <cell r="BM398">
            <v>-31536</v>
          </cell>
          <cell r="BN398">
            <v>-31536</v>
          </cell>
          <cell r="BO398">
            <v>-31536</v>
          </cell>
          <cell r="BP398">
            <v>-31536</v>
          </cell>
          <cell r="BQ398">
            <v>-31536</v>
          </cell>
          <cell r="BR398">
            <v>-31536</v>
          </cell>
          <cell r="BS398">
            <v>-31536</v>
          </cell>
          <cell r="BT398">
            <v>-31536</v>
          </cell>
          <cell r="BU398">
            <v>-31536</v>
          </cell>
          <cell r="BV398">
            <v>-31536</v>
          </cell>
        </row>
        <row r="399">
          <cell r="A399" t="str">
            <v>Volvo PIP</v>
          </cell>
          <cell r="B399" t="str">
            <v>EX30 PIP Center</v>
          </cell>
          <cell r="D399" t="str">
            <v>RHR CENTER MIST</v>
          </cell>
          <cell r="Z399">
            <v>108</v>
          </cell>
          <cell r="AA399">
            <v>108</v>
          </cell>
          <cell r="AB399">
            <v>0</v>
          </cell>
          <cell r="AC399">
            <v>0</v>
          </cell>
          <cell r="AD399">
            <v>-108</v>
          </cell>
          <cell r="AE399">
            <v>-216</v>
          </cell>
          <cell r="AF399">
            <v>-216</v>
          </cell>
          <cell r="AG399">
            <v>-216</v>
          </cell>
          <cell r="AH399">
            <v>-216</v>
          </cell>
          <cell r="AI399">
            <v>-324</v>
          </cell>
          <cell r="AJ399">
            <v>-324</v>
          </cell>
          <cell r="AK399">
            <v>-540</v>
          </cell>
          <cell r="AL399">
            <v>-540</v>
          </cell>
          <cell r="AM399">
            <v>-540</v>
          </cell>
          <cell r="AN399">
            <v>-540</v>
          </cell>
          <cell r="AO399">
            <v>-756</v>
          </cell>
          <cell r="AP399">
            <v>-756</v>
          </cell>
          <cell r="AQ399">
            <v>-756</v>
          </cell>
          <cell r="AR399">
            <v>-756</v>
          </cell>
          <cell r="AS399">
            <v>-864</v>
          </cell>
          <cell r="AT399">
            <v>-864</v>
          </cell>
          <cell r="AU399">
            <v>-864</v>
          </cell>
          <cell r="AV399">
            <v>-864</v>
          </cell>
          <cell r="AW399">
            <v>-864</v>
          </cell>
          <cell r="AX399">
            <v>-972</v>
          </cell>
          <cell r="AY399">
            <v>-972</v>
          </cell>
          <cell r="AZ399">
            <v>-972</v>
          </cell>
          <cell r="BA399">
            <v>-972</v>
          </cell>
          <cell r="BB399">
            <v>-1188</v>
          </cell>
          <cell r="BC399">
            <v>-1188</v>
          </cell>
          <cell r="BD399">
            <v>-1188</v>
          </cell>
          <cell r="BE399">
            <v>-1188</v>
          </cell>
          <cell r="BF399">
            <v>-1188</v>
          </cell>
          <cell r="BG399">
            <v>-1296</v>
          </cell>
          <cell r="BH399">
            <v>-1296</v>
          </cell>
          <cell r="BI399">
            <v>-1296</v>
          </cell>
          <cell r="BJ399">
            <v>-1296</v>
          </cell>
          <cell r="BK399">
            <v>-1296</v>
          </cell>
          <cell r="BL399">
            <v>-1296</v>
          </cell>
          <cell r="BM399">
            <v>-1296</v>
          </cell>
          <cell r="BN399">
            <v>-1296</v>
          </cell>
          <cell r="BO399">
            <v>-1296</v>
          </cell>
          <cell r="BP399">
            <v>-1296</v>
          </cell>
          <cell r="BQ399">
            <v>-1296</v>
          </cell>
          <cell r="BR399">
            <v>-1296</v>
          </cell>
          <cell r="BS399">
            <v>-1296</v>
          </cell>
          <cell r="BT399">
            <v>-1296</v>
          </cell>
          <cell r="BU399">
            <v>-1296</v>
          </cell>
          <cell r="BV399">
            <v>-1296</v>
          </cell>
        </row>
        <row r="400">
          <cell r="A400" t="str">
            <v>Volvo PIP</v>
          </cell>
          <cell r="B400" t="str">
            <v>EX30 PIP Center</v>
          </cell>
          <cell r="D400" t="str">
            <v>RHR CENTER PINE</v>
          </cell>
          <cell r="Z400">
            <v>0</v>
          </cell>
          <cell r="AA400">
            <v>0</v>
          </cell>
          <cell r="AB400">
            <v>-216</v>
          </cell>
          <cell r="AC400">
            <v>-324</v>
          </cell>
          <cell r="AD400">
            <v>-540</v>
          </cell>
          <cell r="AE400">
            <v>-648</v>
          </cell>
          <cell r="AF400">
            <v>-756</v>
          </cell>
          <cell r="AG400">
            <v>-864</v>
          </cell>
          <cell r="AH400">
            <v>-864</v>
          </cell>
          <cell r="AI400">
            <v>-972</v>
          </cell>
          <cell r="AJ400">
            <v>-972</v>
          </cell>
          <cell r="AK400">
            <v>-1080</v>
          </cell>
          <cell r="AL400">
            <v>-1080</v>
          </cell>
          <cell r="AM400">
            <v>-1080</v>
          </cell>
          <cell r="AN400">
            <v>-1080</v>
          </cell>
          <cell r="AO400">
            <v>-1188</v>
          </cell>
          <cell r="AP400">
            <v>-1188</v>
          </cell>
          <cell r="AQ400">
            <v>-1188</v>
          </cell>
          <cell r="AR400">
            <v>-1188</v>
          </cell>
          <cell r="AS400">
            <v>-1188</v>
          </cell>
          <cell r="AT400">
            <v>-1188</v>
          </cell>
          <cell r="AU400">
            <v>-1188</v>
          </cell>
          <cell r="AV400">
            <v>-1188</v>
          </cell>
          <cell r="AW400">
            <v>-1188</v>
          </cell>
          <cell r="AX400">
            <v>-1188</v>
          </cell>
          <cell r="AY400">
            <v>-1188</v>
          </cell>
          <cell r="AZ400">
            <v>-1188</v>
          </cell>
          <cell r="BA400">
            <v>-1188</v>
          </cell>
          <cell r="BB400">
            <v>-1296</v>
          </cell>
          <cell r="BC400">
            <v>-1296</v>
          </cell>
          <cell r="BD400">
            <v>-1296</v>
          </cell>
          <cell r="BE400">
            <v>-1296</v>
          </cell>
          <cell r="BF400">
            <v>-1296</v>
          </cell>
          <cell r="BG400">
            <v>-1296</v>
          </cell>
          <cell r="BH400">
            <v>-1296</v>
          </cell>
          <cell r="BI400">
            <v>-1296</v>
          </cell>
          <cell r="BJ400">
            <v>-1296</v>
          </cell>
          <cell r="BK400">
            <v>-1296</v>
          </cell>
          <cell r="BL400">
            <v>-1296</v>
          </cell>
          <cell r="BM400">
            <v>-1296</v>
          </cell>
          <cell r="BN400">
            <v>-1296</v>
          </cell>
          <cell r="BO400">
            <v>-1296</v>
          </cell>
          <cell r="BP400">
            <v>-1296</v>
          </cell>
          <cell r="BQ400">
            <v>-1296</v>
          </cell>
          <cell r="BR400">
            <v>-1296</v>
          </cell>
          <cell r="BS400">
            <v>-1296</v>
          </cell>
          <cell r="BT400">
            <v>-1296</v>
          </cell>
          <cell r="BU400">
            <v>-1296</v>
          </cell>
          <cell r="BV400">
            <v>-1296</v>
          </cell>
        </row>
        <row r="401">
          <cell r="A401" t="str">
            <v>Volvo PIP</v>
          </cell>
          <cell r="B401" t="str">
            <v>EX30 PIP Center</v>
          </cell>
          <cell r="D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</row>
        <row r="402">
          <cell r="A402" t="str">
            <v>Volvo PIP</v>
          </cell>
          <cell r="B402" t="str">
            <v>EX30 PIP Center</v>
          </cell>
          <cell r="D402" t="str">
            <v>STOCK</v>
          </cell>
          <cell r="Z402">
            <v>108</v>
          </cell>
          <cell r="AA402">
            <v>1108.5501306560309</v>
          </cell>
          <cell r="AB402">
            <v>1030.942098748453</v>
          </cell>
          <cell r="AC402">
            <v>1709.334066840875</v>
          </cell>
          <cell r="AD402">
            <v>1238.530050887086</v>
          </cell>
          <cell r="AE402">
            <v>1190.0250309448497</v>
          </cell>
          <cell r="AF402">
            <v>1357.5200110026135</v>
          </cell>
          <cell r="AG402">
            <v>1201.0149910603773</v>
          </cell>
          <cell r="AH402">
            <v>1692.509971118141</v>
          </cell>
          <cell r="AI402">
            <v>1879.8366111951595</v>
          </cell>
          <cell r="AJ402">
            <v>2391.1632512721781</v>
          </cell>
          <cell r="AK402">
            <v>-936.57543666620722</v>
          </cell>
          <cell r="AL402">
            <v>163.68587539540749</v>
          </cell>
          <cell r="AM402">
            <v>1539.012515472426</v>
          </cell>
          <cell r="AN402">
            <v>2639.2738275340407</v>
          </cell>
          <cell r="AO402">
            <v>-413.39953238894077</v>
          </cell>
          <cell r="AP402">
            <v>618.095447668823</v>
          </cell>
          <cell r="AQ402">
            <v>1649.5904277265868</v>
          </cell>
          <cell r="AR402">
            <v>2681.0854077843505</v>
          </cell>
          <cell r="AS402">
            <v>-499.41961215788569</v>
          </cell>
          <cell r="AT402">
            <v>532.07536789987807</v>
          </cell>
          <cell r="AU402">
            <v>1563.5703479576418</v>
          </cell>
          <cell r="AV402">
            <v>2595.0653280154056</v>
          </cell>
          <cell r="AW402">
            <v>3626.5603080731694</v>
          </cell>
          <cell r="AX402">
            <v>2174.0552881309331</v>
          </cell>
          <cell r="AY402">
            <v>3205.5502681886969</v>
          </cell>
          <cell r="AZ402">
            <v>3205.5502681886969</v>
          </cell>
          <cell r="BA402">
            <v>3205.5502681886969</v>
          </cell>
          <cell r="BB402">
            <v>-514.95475175353931</v>
          </cell>
          <cell r="BC402">
            <v>516.54022830422446</v>
          </cell>
          <cell r="BD402">
            <v>1548.0352083619882</v>
          </cell>
          <cell r="BE402">
            <v>2579.530188419752</v>
          </cell>
          <cell r="BF402">
            <v>3611.0251684775158</v>
          </cell>
          <cell r="BG402">
            <v>-109.47985146472047</v>
          </cell>
          <cell r="BH402">
            <v>922.01512859304398</v>
          </cell>
          <cell r="BI402">
            <v>1953.5101086508084</v>
          </cell>
          <cell r="BJ402">
            <v>2985.0050887085727</v>
          </cell>
          <cell r="BK402">
            <v>2985.0050887085727</v>
          </cell>
          <cell r="BL402">
            <v>2985.0050887085727</v>
          </cell>
          <cell r="BM402">
            <v>2985.0050887085727</v>
          </cell>
          <cell r="BN402">
            <v>2985.0050887085727</v>
          </cell>
          <cell r="BO402">
            <v>2985.0050887085727</v>
          </cell>
          <cell r="BP402">
            <v>2985.0050887085727</v>
          </cell>
          <cell r="BQ402">
            <v>2985.0050887085727</v>
          </cell>
          <cell r="BR402">
            <v>2985.0050887085727</v>
          </cell>
          <cell r="BS402">
            <v>2985.0050887085727</v>
          </cell>
          <cell r="BT402">
            <v>2985.0050887085727</v>
          </cell>
          <cell r="BU402">
            <v>2985.0050887085727</v>
          </cell>
          <cell r="BV402">
            <v>2985.0050887085727</v>
          </cell>
        </row>
        <row r="403">
          <cell r="A403" t="str">
            <v>Volvo PIP</v>
          </cell>
          <cell r="B403" t="str">
            <v>EX30 PIP</v>
          </cell>
          <cell r="D403" t="str">
            <v>Blank</v>
          </cell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</row>
        <row r="404">
          <cell r="A404" t="str">
            <v>Nissan</v>
          </cell>
          <cell r="B404" t="str">
            <v>P13A PIP</v>
          </cell>
          <cell r="D404" t="str">
            <v>Work days</v>
          </cell>
          <cell r="Z404">
            <v>5</v>
          </cell>
          <cell r="AA404">
            <v>2</v>
          </cell>
          <cell r="AB404">
            <v>2</v>
          </cell>
          <cell r="AC404">
            <v>5</v>
          </cell>
          <cell r="AD404">
            <v>3</v>
          </cell>
          <cell r="AE404">
            <v>5</v>
          </cell>
          <cell r="AF404">
            <v>5</v>
          </cell>
          <cell r="AG404">
            <v>5</v>
          </cell>
          <cell r="AH404">
            <v>5</v>
          </cell>
          <cell r="AI404">
            <v>5</v>
          </cell>
          <cell r="AJ404">
            <v>5</v>
          </cell>
          <cell r="AK404">
            <v>4</v>
          </cell>
          <cell r="AL404">
            <v>4</v>
          </cell>
          <cell r="AM404">
            <v>5</v>
          </cell>
          <cell r="AN404">
            <v>4</v>
          </cell>
          <cell r="AO404">
            <v>5</v>
          </cell>
          <cell r="AP404">
            <v>5</v>
          </cell>
          <cell r="AQ404">
            <v>5</v>
          </cell>
          <cell r="AR404">
            <v>5</v>
          </cell>
          <cell r="AS404">
            <v>5</v>
          </cell>
          <cell r="AT404">
            <v>5</v>
          </cell>
          <cell r="AU404">
            <v>5</v>
          </cell>
          <cell r="AV404">
            <v>5</v>
          </cell>
          <cell r="AW404">
            <v>5</v>
          </cell>
          <cell r="AX404">
            <v>5</v>
          </cell>
          <cell r="AY404">
            <v>5</v>
          </cell>
          <cell r="AZ404">
            <v>0</v>
          </cell>
          <cell r="BA404">
            <v>0</v>
          </cell>
          <cell r="BB404">
            <v>5</v>
          </cell>
          <cell r="BC404">
            <v>5</v>
          </cell>
          <cell r="BD404">
            <v>5</v>
          </cell>
          <cell r="BE404">
            <v>5</v>
          </cell>
          <cell r="BF404">
            <v>5</v>
          </cell>
          <cell r="BG404">
            <v>5</v>
          </cell>
          <cell r="BH404">
            <v>5</v>
          </cell>
          <cell r="BI404">
            <v>5</v>
          </cell>
          <cell r="BJ404">
            <v>5</v>
          </cell>
          <cell r="BK404">
            <v>5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</row>
        <row r="405">
          <cell r="A405" t="str">
            <v>Nissan</v>
          </cell>
          <cell r="B405" t="str">
            <v>P13A PIP</v>
          </cell>
          <cell r="D405" t="str">
            <v>SHIFT A HC - operators</v>
          </cell>
          <cell r="Z405">
            <v>7</v>
          </cell>
          <cell r="AA405">
            <v>7</v>
          </cell>
          <cell r="AB405">
            <v>7</v>
          </cell>
          <cell r="AC405">
            <v>7</v>
          </cell>
          <cell r="AD405">
            <v>7</v>
          </cell>
          <cell r="AE405">
            <v>7</v>
          </cell>
          <cell r="AF405">
            <v>7</v>
          </cell>
          <cell r="AG405">
            <v>7</v>
          </cell>
          <cell r="AH405">
            <v>7</v>
          </cell>
          <cell r="AI405">
            <v>7</v>
          </cell>
          <cell r="AJ405">
            <v>7</v>
          </cell>
          <cell r="AK405">
            <v>7</v>
          </cell>
          <cell r="AL405">
            <v>7</v>
          </cell>
          <cell r="AM405">
            <v>7</v>
          </cell>
          <cell r="AN405">
            <v>7</v>
          </cell>
          <cell r="AO405">
            <v>7</v>
          </cell>
          <cell r="AP405">
            <v>7</v>
          </cell>
          <cell r="AQ405">
            <v>7</v>
          </cell>
          <cell r="AR405">
            <v>7</v>
          </cell>
          <cell r="AS405">
            <v>7</v>
          </cell>
          <cell r="AT405">
            <v>7</v>
          </cell>
          <cell r="AU405">
            <v>7</v>
          </cell>
          <cell r="AV405">
            <v>7</v>
          </cell>
          <cell r="AW405">
            <v>7</v>
          </cell>
          <cell r="AX405">
            <v>7</v>
          </cell>
          <cell r="AY405">
            <v>7</v>
          </cell>
          <cell r="AZ405">
            <v>7</v>
          </cell>
          <cell r="BA405">
            <v>7</v>
          </cell>
          <cell r="BB405">
            <v>7</v>
          </cell>
          <cell r="BC405">
            <v>7</v>
          </cell>
          <cell r="BD405">
            <v>7</v>
          </cell>
          <cell r="BE405">
            <v>7</v>
          </cell>
          <cell r="BF405">
            <v>7</v>
          </cell>
          <cell r="BG405">
            <v>7</v>
          </cell>
          <cell r="BH405">
            <v>7</v>
          </cell>
          <cell r="BI405">
            <v>7</v>
          </cell>
          <cell r="BJ405">
            <v>7</v>
          </cell>
          <cell r="BK405">
            <v>7</v>
          </cell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</row>
        <row r="406">
          <cell r="A406" t="str">
            <v>Nissan</v>
          </cell>
          <cell r="B406" t="str">
            <v>P13A PIP</v>
          </cell>
          <cell r="D406" t="str">
            <v>SHIFT B HC  - operators</v>
          </cell>
          <cell r="Z406">
            <v>7</v>
          </cell>
          <cell r="AA406">
            <v>7</v>
          </cell>
          <cell r="AB406">
            <v>7</v>
          </cell>
          <cell r="AC406">
            <v>7</v>
          </cell>
          <cell r="AD406">
            <v>7</v>
          </cell>
          <cell r="AE406">
            <v>7</v>
          </cell>
          <cell r="AF406">
            <v>7</v>
          </cell>
          <cell r="AG406">
            <v>7</v>
          </cell>
          <cell r="AH406">
            <v>7</v>
          </cell>
          <cell r="AI406">
            <v>7</v>
          </cell>
          <cell r="AJ406">
            <v>7</v>
          </cell>
          <cell r="AK406">
            <v>7</v>
          </cell>
          <cell r="AL406">
            <v>7</v>
          </cell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</row>
        <row r="407">
          <cell r="A407" t="str">
            <v>Nissan</v>
          </cell>
          <cell r="B407" t="str">
            <v>P13A PIP</v>
          </cell>
          <cell r="D407" t="str">
            <v>SHIFT C HC  - operators</v>
          </cell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</row>
        <row r="408">
          <cell r="A408" t="str">
            <v>Nissan</v>
          </cell>
          <cell r="B408" t="str">
            <v>P13A PIP</v>
          </cell>
          <cell r="D408" t="str">
            <v>Total HC</v>
          </cell>
          <cell r="Z408">
            <v>14</v>
          </cell>
          <cell r="AA408">
            <v>14</v>
          </cell>
          <cell r="AB408">
            <v>14</v>
          </cell>
          <cell r="AC408">
            <v>14</v>
          </cell>
          <cell r="AD408">
            <v>14</v>
          </cell>
          <cell r="AE408">
            <v>14</v>
          </cell>
          <cell r="AF408">
            <v>14</v>
          </cell>
          <cell r="AG408">
            <v>14</v>
          </cell>
          <cell r="AH408">
            <v>14</v>
          </cell>
          <cell r="AI408">
            <v>14</v>
          </cell>
          <cell r="AJ408">
            <v>14</v>
          </cell>
          <cell r="AK408">
            <v>14</v>
          </cell>
          <cell r="AL408">
            <v>14</v>
          </cell>
          <cell r="AM408">
            <v>7</v>
          </cell>
          <cell r="AN408">
            <v>7</v>
          </cell>
          <cell r="AO408">
            <v>7</v>
          </cell>
          <cell r="AP408">
            <v>7</v>
          </cell>
          <cell r="AQ408">
            <v>7</v>
          </cell>
          <cell r="AR408">
            <v>7</v>
          </cell>
          <cell r="AS408">
            <v>7</v>
          </cell>
          <cell r="AT408">
            <v>7</v>
          </cell>
          <cell r="AU408">
            <v>7</v>
          </cell>
          <cell r="AV408">
            <v>7</v>
          </cell>
          <cell r="AW408">
            <v>7</v>
          </cell>
          <cell r="AX408">
            <v>7</v>
          </cell>
          <cell r="AY408">
            <v>7</v>
          </cell>
          <cell r="AZ408">
            <v>7</v>
          </cell>
          <cell r="BA408">
            <v>7</v>
          </cell>
          <cell r="BB408">
            <v>7</v>
          </cell>
          <cell r="BC408">
            <v>7</v>
          </cell>
          <cell r="BD408">
            <v>7</v>
          </cell>
          <cell r="BE408">
            <v>7</v>
          </cell>
          <cell r="BF408">
            <v>7</v>
          </cell>
          <cell r="BG408">
            <v>7</v>
          </cell>
          <cell r="BH408">
            <v>7</v>
          </cell>
          <cell r="BI408">
            <v>7</v>
          </cell>
          <cell r="BJ408">
            <v>7</v>
          </cell>
          <cell r="BK408">
            <v>7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</row>
        <row r="409">
          <cell r="A409" t="str">
            <v>Nissan</v>
          </cell>
          <cell r="B409" t="str">
            <v>P13A PIP</v>
          </cell>
          <cell r="D409" t="str">
            <v>SHIFT A HC  - efficiency</v>
          </cell>
          <cell r="Z409"/>
          <cell r="AA409">
            <v>0.2</v>
          </cell>
          <cell r="AB409">
            <v>0.25</v>
          </cell>
          <cell r="AC409">
            <v>0.28999999999999998</v>
          </cell>
          <cell r="AD409">
            <v>0.32999999999999996</v>
          </cell>
          <cell r="AE409">
            <v>0.36999999999999994</v>
          </cell>
          <cell r="AF409">
            <v>0.40999999999999992</v>
          </cell>
          <cell r="AG409">
            <v>0.4499999999999999</v>
          </cell>
          <cell r="AH409">
            <v>0.48999999999999988</v>
          </cell>
          <cell r="AI409">
            <v>0.52999999999999992</v>
          </cell>
          <cell r="AJ409">
            <v>0.56999999999999995</v>
          </cell>
          <cell r="AK409">
            <v>0.61</v>
          </cell>
          <cell r="AL409">
            <v>0.65</v>
          </cell>
          <cell r="AM409">
            <v>0.68</v>
          </cell>
          <cell r="AN409">
            <v>0.72000000000000008</v>
          </cell>
          <cell r="AO409">
            <v>0.76000000000000012</v>
          </cell>
          <cell r="AP409">
            <v>0.80000000000000016</v>
          </cell>
          <cell r="AQ409">
            <v>0.84000000000000019</v>
          </cell>
          <cell r="AR409">
            <v>0.88000000000000023</v>
          </cell>
          <cell r="AS409">
            <v>0.92000000000000026</v>
          </cell>
          <cell r="AT409">
            <v>0.9600000000000003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1</v>
          </cell>
          <cell r="BC409">
            <v>1</v>
          </cell>
          <cell r="BD409">
            <v>1</v>
          </cell>
          <cell r="BE409">
            <v>1</v>
          </cell>
          <cell r="BF409">
            <v>1</v>
          </cell>
          <cell r="BG409">
            <v>1</v>
          </cell>
          <cell r="BH409">
            <v>1</v>
          </cell>
          <cell r="BI409">
            <v>1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1</v>
          </cell>
          <cell r="BQ409">
            <v>1</v>
          </cell>
          <cell r="BR409">
            <v>1</v>
          </cell>
          <cell r="BS409">
            <v>1</v>
          </cell>
          <cell r="BT409">
            <v>1</v>
          </cell>
          <cell r="BU409">
            <v>1</v>
          </cell>
          <cell r="BV409">
            <v>1</v>
          </cell>
        </row>
        <row r="410">
          <cell r="A410" t="str">
            <v>Nissan</v>
          </cell>
          <cell r="B410" t="str">
            <v>P13A PIP</v>
          </cell>
          <cell r="D410" t="str">
            <v>SHIFT B HC  - efficiency</v>
          </cell>
          <cell r="Z410"/>
          <cell r="AA410">
            <v>0.2</v>
          </cell>
          <cell r="AB410">
            <v>0.25</v>
          </cell>
          <cell r="AC410">
            <v>0.28999999999999998</v>
          </cell>
          <cell r="AD410">
            <v>0.32999999999999996</v>
          </cell>
          <cell r="AE410">
            <v>0.36999999999999994</v>
          </cell>
          <cell r="AF410">
            <v>0.40999999999999992</v>
          </cell>
          <cell r="AG410">
            <v>0.4499999999999999</v>
          </cell>
          <cell r="AH410">
            <v>0.48999999999999988</v>
          </cell>
          <cell r="AI410">
            <v>0.52999999999999992</v>
          </cell>
          <cell r="AJ410">
            <v>0.56999999999999995</v>
          </cell>
          <cell r="AK410">
            <v>0.61</v>
          </cell>
          <cell r="AL410">
            <v>0.65</v>
          </cell>
          <cell r="AM410">
            <v>0.68</v>
          </cell>
          <cell r="AN410">
            <v>0.72000000000000008</v>
          </cell>
          <cell r="AO410">
            <v>0.76000000000000012</v>
          </cell>
          <cell r="AP410">
            <v>0.80000000000000016</v>
          </cell>
          <cell r="AQ410">
            <v>0.84000000000000019</v>
          </cell>
          <cell r="AR410">
            <v>0.88000000000000023</v>
          </cell>
          <cell r="AS410">
            <v>0.92000000000000026</v>
          </cell>
          <cell r="AT410">
            <v>0.9600000000000003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1</v>
          </cell>
          <cell r="BE410">
            <v>1</v>
          </cell>
          <cell r="BF410">
            <v>1</v>
          </cell>
          <cell r="BG410">
            <v>1</v>
          </cell>
          <cell r="BH410">
            <v>1</v>
          </cell>
          <cell r="BI410">
            <v>1</v>
          </cell>
          <cell r="BJ410">
            <v>1</v>
          </cell>
          <cell r="BK410">
            <v>1</v>
          </cell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</row>
        <row r="411">
          <cell r="A411" t="str">
            <v>Nissan</v>
          </cell>
          <cell r="B411" t="str">
            <v>P13A PIP</v>
          </cell>
          <cell r="D411" t="str">
            <v>SHIFT C HC  - efficiency</v>
          </cell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</row>
        <row r="412">
          <cell r="A412" t="str">
            <v>Nissan</v>
          </cell>
          <cell r="B412" t="str">
            <v>P13A PIP</v>
          </cell>
          <cell r="D412" t="str">
            <v>Total efficiency</v>
          </cell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</row>
        <row r="413">
          <cell r="A413" t="str">
            <v>Nissan</v>
          </cell>
          <cell r="B413" t="str">
            <v>P13A PIP</v>
          </cell>
          <cell r="D413" t="str">
            <v>SHIFT A - output</v>
          </cell>
          <cell r="Z413">
            <v>0</v>
          </cell>
          <cell r="AA413">
            <v>244.18604651162792</v>
          </cell>
          <cell r="AB413">
            <v>305.23255813953489</v>
          </cell>
          <cell r="AC413">
            <v>354.06976744186045</v>
          </cell>
          <cell r="AD413">
            <v>402.90697674418601</v>
          </cell>
          <cell r="AE413">
            <v>451.74418604651157</v>
          </cell>
          <cell r="AF413">
            <v>500.58139534883713</v>
          </cell>
          <cell r="AG413">
            <v>549.4186046511627</v>
          </cell>
          <cell r="AH413">
            <v>598.2558139534882</v>
          </cell>
          <cell r="AI413">
            <v>647.09302325581382</v>
          </cell>
          <cell r="AJ413">
            <v>695.93023255813944</v>
          </cell>
          <cell r="AK413">
            <v>744.76744186046506</v>
          </cell>
          <cell r="AL413">
            <v>793.60465116279079</v>
          </cell>
          <cell r="AM413">
            <v>830.23255813953494</v>
          </cell>
          <cell r="AN413">
            <v>879.06976744186056</v>
          </cell>
          <cell r="AO413">
            <v>927.90697674418618</v>
          </cell>
          <cell r="AP413">
            <v>976.7441860465118</v>
          </cell>
          <cell r="AQ413">
            <v>1025.5813953488375</v>
          </cell>
          <cell r="AR413">
            <v>1074.4186046511632</v>
          </cell>
          <cell r="AS413">
            <v>1123.2558139534888</v>
          </cell>
          <cell r="AT413">
            <v>1172.0930232558144</v>
          </cell>
          <cell r="AU413">
            <v>1220.9302325581396</v>
          </cell>
          <cell r="AV413">
            <v>1220.9302325581396</v>
          </cell>
          <cell r="AW413">
            <v>1220.9302325581396</v>
          </cell>
          <cell r="AX413">
            <v>1220.9302325581396</v>
          </cell>
          <cell r="AY413">
            <v>1220.9302325581396</v>
          </cell>
          <cell r="AZ413">
            <v>1220.9302325581396</v>
          </cell>
          <cell r="BA413">
            <v>1220.9302325581396</v>
          </cell>
          <cell r="BB413">
            <v>1220.9302325581396</v>
          </cell>
          <cell r="BC413">
            <v>1220.9302325581396</v>
          </cell>
          <cell r="BD413">
            <v>1220.9302325581396</v>
          </cell>
          <cell r="BE413">
            <v>1220.9302325581396</v>
          </cell>
          <cell r="BF413">
            <v>1220.9302325581396</v>
          </cell>
          <cell r="BG413">
            <v>1220.9302325581396</v>
          </cell>
          <cell r="BH413">
            <v>1220.9302325581396</v>
          </cell>
          <cell r="BI413">
            <v>1220.9302325581396</v>
          </cell>
          <cell r="BJ413">
            <v>1220.9302325581396</v>
          </cell>
          <cell r="BK413">
            <v>1220.9302325581396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</row>
        <row r="414">
          <cell r="A414" t="str">
            <v>Nissan</v>
          </cell>
          <cell r="B414" t="str">
            <v>P13A PIP</v>
          </cell>
          <cell r="D414" t="str">
            <v>SHIFT B  - output</v>
          </cell>
          <cell r="Z414">
            <v>0</v>
          </cell>
          <cell r="AA414">
            <v>244.18604651162792</v>
          </cell>
          <cell r="AB414">
            <v>305.23255813953489</v>
          </cell>
          <cell r="AC414">
            <v>354.06976744186045</v>
          </cell>
          <cell r="AD414">
            <v>402.90697674418601</v>
          </cell>
          <cell r="AE414">
            <v>451.74418604651157</v>
          </cell>
          <cell r="AF414">
            <v>500.58139534883713</v>
          </cell>
          <cell r="AG414">
            <v>549.4186046511627</v>
          </cell>
          <cell r="AH414">
            <v>598.2558139534882</v>
          </cell>
          <cell r="AI414">
            <v>647.09302325581382</v>
          </cell>
          <cell r="AJ414">
            <v>695.93023255813944</v>
          </cell>
          <cell r="AK414">
            <v>744.76744186046506</v>
          </cell>
          <cell r="AL414">
            <v>793.60465116279079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</row>
        <row r="415">
          <cell r="A415" t="str">
            <v>Nissan</v>
          </cell>
          <cell r="B415" t="str">
            <v>P13A PIP</v>
          </cell>
          <cell r="D415" t="str">
            <v>SHIFT C  - output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</row>
        <row r="416">
          <cell r="A416" t="str">
            <v>Nissan</v>
          </cell>
          <cell r="B416" t="str">
            <v>P13A PIP</v>
          </cell>
          <cell r="D416" t="str">
            <v>Est. Output (Pcs day)</v>
          </cell>
          <cell r="E416">
            <v>2.58</v>
          </cell>
          <cell r="Z416">
            <v>0</v>
          </cell>
          <cell r="AA416">
            <v>488.37209302325584</v>
          </cell>
          <cell r="AB416">
            <v>610.46511627906978</v>
          </cell>
          <cell r="AC416">
            <v>708.1395348837209</v>
          </cell>
          <cell r="AD416">
            <v>805.81395348837202</v>
          </cell>
          <cell r="AE416">
            <v>903.48837209302314</v>
          </cell>
          <cell r="AF416">
            <v>1001.1627906976743</v>
          </cell>
          <cell r="AG416">
            <v>1098.8372093023254</v>
          </cell>
          <cell r="AH416">
            <v>1196.5116279069764</v>
          </cell>
          <cell r="AI416">
            <v>1294.1860465116276</v>
          </cell>
          <cell r="AJ416">
            <v>1391.8604651162789</v>
          </cell>
          <cell r="AK416">
            <v>1489.5348837209301</v>
          </cell>
          <cell r="AL416">
            <v>1587.2093023255816</v>
          </cell>
          <cell r="AM416">
            <v>830.23255813953494</v>
          </cell>
          <cell r="AN416">
            <v>879.06976744186056</v>
          </cell>
          <cell r="AO416">
            <v>927.90697674418618</v>
          </cell>
          <cell r="AP416">
            <v>976.7441860465118</v>
          </cell>
          <cell r="AQ416">
            <v>1025.5813953488375</v>
          </cell>
          <cell r="AR416">
            <v>1074.4186046511632</v>
          </cell>
          <cell r="AS416">
            <v>1123.2558139534888</v>
          </cell>
          <cell r="AT416">
            <v>1172.0930232558144</v>
          </cell>
          <cell r="AU416">
            <v>1220.9302325581396</v>
          </cell>
          <cell r="AV416">
            <v>1220.9302325581396</v>
          </cell>
          <cell r="AW416">
            <v>1220.9302325581396</v>
          </cell>
          <cell r="AX416">
            <v>1220.9302325581396</v>
          </cell>
          <cell r="AY416">
            <v>1220.9302325581396</v>
          </cell>
          <cell r="AZ416">
            <v>1220.9302325581396</v>
          </cell>
          <cell r="BA416">
            <v>1220.9302325581396</v>
          </cell>
          <cell r="BB416">
            <v>1220.9302325581396</v>
          </cell>
          <cell r="BC416">
            <v>1220.9302325581396</v>
          </cell>
          <cell r="BD416">
            <v>1220.9302325581396</v>
          </cell>
          <cell r="BE416">
            <v>1220.9302325581396</v>
          </cell>
          <cell r="BF416">
            <v>1220.9302325581396</v>
          </cell>
          <cell r="BG416">
            <v>1220.9302325581396</v>
          </cell>
          <cell r="BH416">
            <v>1220.9302325581396</v>
          </cell>
          <cell r="BI416">
            <v>1220.9302325581396</v>
          </cell>
          <cell r="BJ416">
            <v>1220.9302325581396</v>
          </cell>
          <cell r="BK416">
            <v>1220.9302325581396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</row>
        <row r="417">
          <cell r="A417" t="str">
            <v>Nissan</v>
          </cell>
          <cell r="B417" t="str">
            <v>P13A PIP</v>
          </cell>
          <cell r="D417" t="str">
            <v>Weekly Output PLAN</v>
          </cell>
          <cell r="E417" t="str">
            <v>SEW</v>
          </cell>
          <cell r="Z417">
            <v>0</v>
          </cell>
          <cell r="AA417">
            <v>976.74418604651169</v>
          </cell>
          <cell r="AB417">
            <v>1220.9302325581396</v>
          </cell>
          <cell r="AC417">
            <v>3540.6976744186045</v>
          </cell>
          <cell r="AD417">
            <v>2417.441860465116</v>
          </cell>
          <cell r="AE417">
            <v>4517.4418604651155</v>
          </cell>
          <cell r="AF417">
            <v>5005.8139534883712</v>
          </cell>
          <cell r="AG417">
            <v>5494.186046511627</v>
          </cell>
          <cell r="AH417">
            <v>5982.5581395348818</v>
          </cell>
          <cell r="AI417">
            <v>6470.9302325581384</v>
          </cell>
          <cell r="AJ417">
            <v>6959.3023255813941</v>
          </cell>
          <cell r="AK417">
            <v>5958.1395348837204</v>
          </cell>
          <cell r="AL417">
            <v>6348.8372093023263</v>
          </cell>
          <cell r="AM417">
            <v>4151.1627906976746</v>
          </cell>
          <cell r="AN417">
            <v>3516.2790697674423</v>
          </cell>
          <cell r="AO417">
            <v>4639.5348837209312</v>
          </cell>
          <cell r="AP417">
            <v>4883.7209302325591</v>
          </cell>
          <cell r="AQ417">
            <v>5127.9069767441879</v>
          </cell>
          <cell r="AR417">
            <v>5372.0930232558158</v>
          </cell>
          <cell r="AS417">
            <v>5616.2790697674436</v>
          </cell>
          <cell r="AT417">
            <v>5860.4651162790724</v>
          </cell>
          <cell r="AU417">
            <v>6104.6511627906975</v>
          </cell>
          <cell r="AV417">
            <v>6104.6511627906975</v>
          </cell>
          <cell r="AW417">
            <v>6104.6511627906975</v>
          </cell>
          <cell r="AX417">
            <v>6104.6511627906975</v>
          </cell>
          <cell r="AY417">
            <v>6104.6511627906975</v>
          </cell>
          <cell r="AZ417">
            <v>0</v>
          </cell>
          <cell r="BA417">
            <v>0</v>
          </cell>
          <cell r="BB417">
            <v>6104.6511627906975</v>
          </cell>
          <cell r="BC417">
            <v>6104.6511627906975</v>
          </cell>
          <cell r="BD417">
            <v>6104.6511627906975</v>
          </cell>
          <cell r="BE417">
            <v>6104.6511627906975</v>
          </cell>
          <cell r="BF417">
            <v>6104.6511627906975</v>
          </cell>
          <cell r="BG417">
            <v>6104.6511627906975</v>
          </cell>
          <cell r="BH417">
            <v>6104.6511627906975</v>
          </cell>
          <cell r="BI417">
            <v>6104.6511627906975</v>
          </cell>
          <cell r="BJ417">
            <v>6104.6511627906975</v>
          </cell>
          <cell r="BK417">
            <v>6104.6511627906975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</row>
        <row r="418">
          <cell r="A418" t="str">
            <v>Nissan</v>
          </cell>
          <cell r="B418" t="str">
            <v>P13A PIP</v>
          </cell>
          <cell r="D418" t="str">
            <v>ROHR</v>
          </cell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</row>
        <row r="419">
          <cell r="A419" t="str">
            <v>Nissan</v>
          </cell>
          <cell r="B419" t="str">
            <v>P13A PIP</v>
          </cell>
          <cell r="D419" t="str">
            <v>RCHR</v>
          </cell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</row>
        <row r="420">
          <cell r="A420" t="str">
            <v>Nissan</v>
          </cell>
          <cell r="B420" t="str">
            <v>P13A PIP</v>
          </cell>
          <cell r="D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</row>
        <row r="421">
          <cell r="A421" t="str">
            <v>Nissan</v>
          </cell>
          <cell r="B421" t="str">
            <v>P13A PIP</v>
          </cell>
          <cell r="D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</row>
        <row r="422">
          <cell r="A422" t="str">
            <v>Nissan</v>
          </cell>
          <cell r="B422" t="str">
            <v>P13A PIP</v>
          </cell>
          <cell r="D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</row>
        <row r="423">
          <cell r="A423" t="str">
            <v>Nissan</v>
          </cell>
          <cell r="B423" t="str">
            <v>P13A PIP</v>
          </cell>
          <cell r="D423" t="str">
            <v>Weekly Output PLAN - SUM of models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</row>
        <row r="424">
          <cell r="A424" t="str">
            <v>Nissan</v>
          </cell>
          <cell r="B424" t="str">
            <v>P13A PIP</v>
          </cell>
          <cell r="D424" t="str">
            <v>Weekly Output CHECK with TO time multiple</v>
          </cell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</row>
        <row r="425">
          <cell r="A425" t="str">
            <v>Nissan</v>
          </cell>
          <cell r="B425" t="str">
            <v>P13A PIP</v>
          </cell>
          <cell r="D425" t="str">
            <v>Weekly Output ACT</v>
          </cell>
          <cell r="Z425">
            <v>0</v>
          </cell>
          <cell r="AA425">
            <v>976.74418604651169</v>
          </cell>
          <cell r="AB425">
            <v>1220.9302325581396</v>
          </cell>
          <cell r="AC425">
            <v>3540.6976744186045</v>
          </cell>
          <cell r="AD425">
            <v>2417.441860465116</v>
          </cell>
          <cell r="AE425">
            <v>4517.4418604651155</v>
          </cell>
          <cell r="AF425">
            <v>5005.8139534883712</v>
          </cell>
          <cell r="AG425">
            <v>5494.186046511627</v>
          </cell>
          <cell r="AH425">
            <v>5982.5581395348818</v>
          </cell>
          <cell r="AI425">
            <v>6470.9302325581384</v>
          </cell>
          <cell r="AJ425">
            <v>6959.3023255813941</v>
          </cell>
          <cell r="AK425">
            <v>5958.1395348837204</v>
          </cell>
          <cell r="AL425">
            <v>6348.8372093023263</v>
          </cell>
          <cell r="AM425">
            <v>4151.1627906976746</v>
          </cell>
          <cell r="AN425">
            <v>3516.2790697674423</v>
          </cell>
          <cell r="AO425">
            <v>4639.5348837209312</v>
          </cell>
          <cell r="AP425">
            <v>4883.7209302325591</v>
          </cell>
          <cell r="AQ425">
            <v>5127.9069767441879</v>
          </cell>
          <cell r="AR425">
            <v>5372.0930232558158</v>
          </cell>
          <cell r="AS425">
            <v>5616.2790697674436</v>
          </cell>
          <cell r="AT425">
            <v>5860.4651162790724</v>
          </cell>
          <cell r="AU425">
            <v>6104.6511627906975</v>
          </cell>
          <cell r="AV425">
            <v>6104.6511627906975</v>
          </cell>
          <cell r="AW425">
            <v>6104.6511627906975</v>
          </cell>
          <cell r="AX425">
            <v>6104.6511627906975</v>
          </cell>
          <cell r="AY425">
            <v>6104.6511627906975</v>
          </cell>
          <cell r="AZ425">
            <v>0</v>
          </cell>
          <cell r="BA425">
            <v>0</v>
          </cell>
          <cell r="BB425">
            <v>6104.6511627906975</v>
          </cell>
          <cell r="BC425">
            <v>6104.6511627906975</v>
          </cell>
          <cell r="BD425">
            <v>6104.6511627906975</v>
          </cell>
          <cell r="BE425">
            <v>6104.6511627906975</v>
          </cell>
          <cell r="BF425">
            <v>6104.6511627906975</v>
          </cell>
          <cell r="BG425">
            <v>6104.6511627906975</v>
          </cell>
          <cell r="BH425">
            <v>6104.6511627906975</v>
          </cell>
          <cell r="BI425">
            <v>6104.6511627906975</v>
          </cell>
          <cell r="BJ425">
            <v>6104.6511627906975</v>
          </cell>
          <cell r="BK425">
            <v>6104.6511627906975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</row>
        <row r="426">
          <cell r="A426" t="str">
            <v>Nissan</v>
          </cell>
          <cell r="B426" t="str">
            <v>P13A PIP</v>
          </cell>
          <cell r="D426" t="str">
            <v>ROHR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5870</v>
          </cell>
          <cell r="AG426">
            <v>5870</v>
          </cell>
          <cell r="AH426">
            <v>5870</v>
          </cell>
          <cell r="AI426">
            <v>5870</v>
          </cell>
          <cell r="AJ426">
            <v>5870</v>
          </cell>
          <cell r="AK426">
            <v>5870</v>
          </cell>
          <cell r="AL426">
            <v>5870</v>
          </cell>
          <cell r="AM426">
            <v>5870</v>
          </cell>
          <cell r="AN426">
            <v>5870</v>
          </cell>
          <cell r="AO426">
            <v>5870</v>
          </cell>
          <cell r="AP426">
            <v>5870</v>
          </cell>
          <cell r="AQ426">
            <v>5870</v>
          </cell>
          <cell r="AR426">
            <v>5870</v>
          </cell>
          <cell r="AS426">
            <v>5870</v>
          </cell>
          <cell r="AT426">
            <v>5870</v>
          </cell>
          <cell r="AU426">
            <v>5870</v>
          </cell>
          <cell r="AV426">
            <v>5870</v>
          </cell>
          <cell r="AW426">
            <v>5870</v>
          </cell>
          <cell r="AX426">
            <v>5870</v>
          </cell>
          <cell r="AY426">
            <v>5870</v>
          </cell>
          <cell r="AZ426">
            <v>5870</v>
          </cell>
          <cell r="BA426">
            <v>5870</v>
          </cell>
          <cell r="BB426">
            <v>5870</v>
          </cell>
          <cell r="BC426">
            <v>5870</v>
          </cell>
          <cell r="BD426">
            <v>5870</v>
          </cell>
          <cell r="BE426">
            <v>5870</v>
          </cell>
          <cell r="BF426">
            <v>5870</v>
          </cell>
          <cell r="BG426">
            <v>5870</v>
          </cell>
          <cell r="BH426">
            <v>5870</v>
          </cell>
          <cell r="BI426">
            <v>5870</v>
          </cell>
          <cell r="BJ426">
            <v>5870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</row>
        <row r="427">
          <cell r="A427" t="str">
            <v>Nissan</v>
          </cell>
          <cell r="B427" t="str">
            <v>P13A PIP</v>
          </cell>
          <cell r="D427" t="str">
            <v>RCHR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</row>
        <row r="428">
          <cell r="A428" t="str">
            <v>Nissan</v>
          </cell>
          <cell r="B428" t="str">
            <v>P13A PIP</v>
          </cell>
          <cell r="D428">
            <v>0</v>
          </cell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</row>
        <row r="429">
          <cell r="A429" t="str">
            <v>Nissan</v>
          </cell>
          <cell r="B429" t="str">
            <v>P13A PIP</v>
          </cell>
          <cell r="D429">
            <v>0</v>
          </cell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</row>
        <row r="430">
          <cell r="A430" t="str">
            <v>Nissan</v>
          </cell>
          <cell r="B430" t="str">
            <v>P13A PIP</v>
          </cell>
          <cell r="D430">
            <v>0</v>
          </cell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</row>
        <row r="431">
          <cell r="A431" t="str">
            <v>Nissan</v>
          </cell>
          <cell r="B431" t="str">
            <v>P13A PIP</v>
          </cell>
          <cell r="D431" t="str">
            <v>Weekly demand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5870</v>
          </cell>
          <cell r="AG431">
            <v>5870</v>
          </cell>
          <cell r="AH431">
            <v>5870</v>
          </cell>
          <cell r="AI431">
            <v>5870</v>
          </cell>
          <cell r="AJ431">
            <v>5870</v>
          </cell>
          <cell r="AK431">
            <v>5870</v>
          </cell>
          <cell r="AL431">
            <v>5870</v>
          </cell>
          <cell r="AM431">
            <v>5870</v>
          </cell>
          <cell r="AN431">
            <v>5870</v>
          </cell>
          <cell r="AO431">
            <v>5870</v>
          </cell>
          <cell r="AP431">
            <v>5870</v>
          </cell>
          <cell r="AQ431">
            <v>5870</v>
          </cell>
          <cell r="AR431">
            <v>5870</v>
          </cell>
          <cell r="AS431">
            <v>5870</v>
          </cell>
          <cell r="AT431">
            <v>5870</v>
          </cell>
          <cell r="AU431">
            <v>5870</v>
          </cell>
          <cell r="AV431">
            <v>5870</v>
          </cell>
          <cell r="AW431">
            <v>5870</v>
          </cell>
          <cell r="AX431">
            <v>5870</v>
          </cell>
          <cell r="AY431">
            <v>5870</v>
          </cell>
          <cell r="AZ431">
            <v>5870</v>
          </cell>
          <cell r="BA431">
            <v>5870</v>
          </cell>
          <cell r="BB431">
            <v>5870</v>
          </cell>
          <cell r="BC431">
            <v>5870</v>
          </cell>
          <cell r="BD431">
            <v>5870</v>
          </cell>
          <cell r="BE431">
            <v>5870</v>
          </cell>
          <cell r="BF431">
            <v>5870</v>
          </cell>
          <cell r="BG431">
            <v>5870</v>
          </cell>
          <cell r="BH431">
            <v>5870</v>
          </cell>
          <cell r="BI431">
            <v>5870</v>
          </cell>
          <cell r="BJ431">
            <v>5870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</row>
        <row r="432">
          <cell r="A432" t="str">
            <v>Nissan</v>
          </cell>
          <cell r="B432" t="str">
            <v>P13A PIP</v>
          </cell>
          <cell r="D432" t="str">
            <v>Stock Target</v>
          </cell>
          <cell r="Z432">
            <v>2518</v>
          </cell>
          <cell r="AA432">
            <v>2519</v>
          </cell>
          <cell r="AB432">
            <v>2520</v>
          </cell>
          <cell r="AC432">
            <v>2521</v>
          </cell>
          <cell r="AD432">
            <v>2522</v>
          </cell>
          <cell r="AE432">
            <v>2523</v>
          </cell>
          <cell r="AF432">
            <v>2524</v>
          </cell>
          <cell r="AG432">
            <v>2525</v>
          </cell>
          <cell r="AH432">
            <v>2526</v>
          </cell>
          <cell r="AI432">
            <v>2527</v>
          </cell>
          <cell r="AJ432">
            <v>2528</v>
          </cell>
          <cell r="AK432">
            <v>2529</v>
          </cell>
          <cell r="AL432">
            <v>2530</v>
          </cell>
          <cell r="AM432">
            <v>2531</v>
          </cell>
          <cell r="AN432">
            <v>2532</v>
          </cell>
          <cell r="AO432">
            <v>2533</v>
          </cell>
          <cell r="AP432">
            <v>2534</v>
          </cell>
          <cell r="AQ432">
            <v>2535</v>
          </cell>
          <cell r="AR432">
            <v>2536</v>
          </cell>
          <cell r="AS432">
            <v>2537</v>
          </cell>
          <cell r="AT432">
            <v>2538</v>
          </cell>
          <cell r="AU432">
            <v>2539</v>
          </cell>
          <cell r="AV432">
            <v>2540</v>
          </cell>
          <cell r="AW432">
            <v>2541</v>
          </cell>
          <cell r="AX432">
            <v>2542</v>
          </cell>
          <cell r="AY432">
            <v>2543</v>
          </cell>
          <cell r="AZ432">
            <v>2544</v>
          </cell>
          <cell r="BA432">
            <v>2545</v>
          </cell>
          <cell r="BB432">
            <v>2546</v>
          </cell>
          <cell r="BC432">
            <v>2547</v>
          </cell>
          <cell r="BD432">
            <v>2548</v>
          </cell>
          <cell r="BE432">
            <v>2549</v>
          </cell>
          <cell r="BF432">
            <v>2550</v>
          </cell>
          <cell r="BG432">
            <v>2551</v>
          </cell>
          <cell r="BH432">
            <v>2552</v>
          </cell>
          <cell r="BI432">
            <v>2553</v>
          </cell>
          <cell r="BJ432">
            <v>2554</v>
          </cell>
          <cell r="BK432">
            <v>2555</v>
          </cell>
          <cell r="BL432">
            <v>2556</v>
          </cell>
          <cell r="BM432">
            <v>2557</v>
          </cell>
          <cell r="BN432">
            <v>2558</v>
          </cell>
          <cell r="BO432">
            <v>2559</v>
          </cell>
          <cell r="BP432">
            <v>2560</v>
          </cell>
          <cell r="BQ432">
            <v>2561</v>
          </cell>
          <cell r="BR432">
            <v>2562</v>
          </cell>
          <cell r="BS432">
            <v>2563</v>
          </cell>
          <cell r="BT432">
            <v>2564</v>
          </cell>
          <cell r="BU432">
            <v>2565</v>
          </cell>
          <cell r="BV432">
            <v>2566</v>
          </cell>
        </row>
        <row r="433">
          <cell r="A433" t="str">
            <v>Nissan</v>
          </cell>
          <cell r="B433" t="str">
            <v>P13A PIP</v>
          </cell>
          <cell r="D433" t="str">
            <v>ROHR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-5870</v>
          </cell>
          <cell r="AG433">
            <v>-11740</v>
          </cell>
          <cell r="AH433">
            <v>-17610</v>
          </cell>
          <cell r="AI433">
            <v>-23480</v>
          </cell>
          <cell r="AJ433">
            <v>-29350</v>
          </cell>
          <cell r="AK433">
            <v>-35220</v>
          </cell>
          <cell r="AL433">
            <v>-41090</v>
          </cell>
          <cell r="AM433">
            <v>-46960</v>
          </cell>
          <cell r="AN433">
            <v>-52830</v>
          </cell>
          <cell r="AO433">
            <v>-58700</v>
          </cell>
          <cell r="AP433">
            <v>-64570</v>
          </cell>
          <cell r="AQ433">
            <v>-70440</v>
          </cell>
          <cell r="AR433">
            <v>-76310</v>
          </cell>
          <cell r="AS433">
            <v>-82180</v>
          </cell>
          <cell r="AT433">
            <v>-88050</v>
          </cell>
          <cell r="AU433">
            <v>-93920</v>
          </cell>
          <cell r="AV433">
            <v>-99790</v>
          </cell>
          <cell r="AW433">
            <v>-105660</v>
          </cell>
          <cell r="AX433">
            <v>-111530</v>
          </cell>
          <cell r="AY433">
            <v>-117400</v>
          </cell>
          <cell r="AZ433">
            <v>-123270</v>
          </cell>
          <cell r="BA433">
            <v>-129140</v>
          </cell>
          <cell r="BB433">
            <v>-135010</v>
          </cell>
          <cell r="BC433">
            <v>-140880</v>
          </cell>
          <cell r="BD433">
            <v>-146750</v>
          </cell>
          <cell r="BE433">
            <v>-152620</v>
          </cell>
          <cell r="BF433">
            <v>-158490</v>
          </cell>
          <cell r="BG433">
            <v>-164360</v>
          </cell>
          <cell r="BH433">
            <v>-170230</v>
          </cell>
          <cell r="BI433">
            <v>-176100</v>
          </cell>
          <cell r="BJ433">
            <v>-181970</v>
          </cell>
          <cell r="BK433">
            <v>-181970</v>
          </cell>
          <cell r="BL433">
            <v>-181970</v>
          </cell>
          <cell r="BM433">
            <v>-181970</v>
          </cell>
          <cell r="BN433">
            <v>-181970</v>
          </cell>
          <cell r="BO433">
            <v>-181970</v>
          </cell>
          <cell r="BP433">
            <v>-181970</v>
          </cell>
          <cell r="BQ433">
            <v>-181970</v>
          </cell>
          <cell r="BR433">
            <v>-181970</v>
          </cell>
          <cell r="BS433">
            <v>-181970</v>
          </cell>
          <cell r="BT433">
            <v>-181970</v>
          </cell>
          <cell r="BU433">
            <v>-181970</v>
          </cell>
          <cell r="BV433">
            <v>-181970</v>
          </cell>
        </row>
        <row r="434">
          <cell r="A434" t="str">
            <v>Nissan</v>
          </cell>
          <cell r="B434" t="str">
            <v>P13A PIP</v>
          </cell>
          <cell r="D434" t="str">
            <v>RCHR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</row>
        <row r="435">
          <cell r="A435" t="str">
            <v>Nissan</v>
          </cell>
          <cell r="B435" t="str">
            <v>P13A PIP</v>
          </cell>
          <cell r="D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</row>
        <row r="436">
          <cell r="A436" t="str">
            <v>Nissan</v>
          </cell>
          <cell r="B436" t="str">
            <v>P13A PIP</v>
          </cell>
          <cell r="D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</row>
        <row r="437">
          <cell r="A437" t="str">
            <v>Nissan</v>
          </cell>
          <cell r="B437" t="str">
            <v>P13A PIP</v>
          </cell>
          <cell r="D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</row>
        <row r="438">
          <cell r="A438" t="str">
            <v>Nissan</v>
          </cell>
          <cell r="B438" t="str">
            <v>P13A PIP</v>
          </cell>
          <cell r="D438" t="str">
            <v>STOCK</v>
          </cell>
          <cell r="Z438">
            <v>0</v>
          </cell>
          <cell r="AA438">
            <v>976.74418604651169</v>
          </cell>
          <cell r="AB438">
            <v>2197.6744186046512</v>
          </cell>
          <cell r="AC438">
            <v>5738.3720930232557</v>
          </cell>
          <cell r="AD438">
            <v>8155.8139534883721</v>
          </cell>
          <cell r="AE438">
            <v>12673.255813953489</v>
          </cell>
          <cell r="AF438">
            <v>11809.069767441859</v>
          </cell>
          <cell r="AG438">
            <v>11433.255813953485</v>
          </cell>
          <cell r="AH438">
            <v>11545.813953488367</v>
          </cell>
          <cell r="AI438">
            <v>12146.744186046504</v>
          </cell>
          <cell r="AJ438">
            <v>13236.046511627897</v>
          </cell>
          <cell r="AK438">
            <v>13324.186046511619</v>
          </cell>
          <cell r="AL438">
            <v>13803.023255813945</v>
          </cell>
          <cell r="AM438">
            <v>12084.186046511619</v>
          </cell>
          <cell r="AN438">
            <v>9730.4651162790615</v>
          </cell>
          <cell r="AO438">
            <v>8499.9999999999927</v>
          </cell>
          <cell r="AP438">
            <v>7513.7209302325518</v>
          </cell>
          <cell r="AQ438">
            <v>6771.6279069767397</v>
          </cell>
          <cell r="AR438">
            <v>6273.7209302325555</v>
          </cell>
          <cell r="AS438">
            <v>6019.9999999999991</v>
          </cell>
          <cell r="AT438">
            <v>6010.4651162790715</v>
          </cell>
          <cell r="AU438">
            <v>6245.116279069769</v>
          </cell>
          <cell r="AV438">
            <v>6479.7674418604665</v>
          </cell>
          <cell r="AW438">
            <v>6714.4186046511641</v>
          </cell>
          <cell r="AX438">
            <v>6949.0697674418616</v>
          </cell>
          <cell r="AY438">
            <v>7183.7209302325591</v>
          </cell>
          <cell r="AZ438">
            <v>1313.7209302325591</v>
          </cell>
          <cell r="BA438">
            <v>-4556.2790697674409</v>
          </cell>
          <cell r="BB438">
            <v>-4321.6279069767434</v>
          </cell>
          <cell r="BC438">
            <v>-4086.9767441860467</v>
          </cell>
          <cell r="BD438">
            <v>-3852.3255813953483</v>
          </cell>
          <cell r="BE438">
            <v>-3617.6744186046499</v>
          </cell>
          <cell r="BF438">
            <v>-3383.0232558139514</v>
          </cell>
          <cell r="BG438">
            <v>-3148.372093023253</v>
          </cell>
          <cell r="BH438">
            <v>-2913.7209302325546</v>
          </cell>
          <cell r="BI438">
            <v>-2679.0697674418561</v>
          </cell>
          <cell r="BJ438">
            <v>-2444.4186046511577</v>
          </cell>
          <cell r="BK438">
            <v>3660.2325581395398</v>
          </cell>
          <cell r="BL438">
            <v>3660.2325581395398</v>
          </cell>
          <cell r="BM438">
            <v>3660.2325581395398</v>
          </cell>
          <cell r="BN438">
            <v>3660.2325581395398</v>
          </cell>
          <cell r="BO438">
            <v>3660.2325581395398</v>
          </cell>
          <cell r="BP438">
            <v>3660.2325581395398</v>
          </cell>
          <cell r="BQ438">
            <v>3660.2325581395398</v>
          </cell>
          <cell r="BR438">
            <v>3660.2325581395398</v>
          </cell>
          <cell r="BS438">
            <v>3660.2325581395398</v>
          </cell>
          <cell r="BT438">
            <v>3660.2325581395398</v>
          </cell>
          <cell r="BU438">
            <v>3660.2325581395398</v>
          </cell>
          <cell r="BV438">
            <v>3660.2325581395398</v>
          </cell>
        </row>
        <row r="439">
          <cell r="A439" t="str">
            <v>Blank</v>
          </cell>
          <cell r="B439" t="str">
            <v>Blank</v>
          </cell>
          <cell r="D439" t="str">
            <v>Blank</v>
          </cell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</row>
        <row r="440">
          <cell r="A440" t="str">
            <v>Citroen</v>
          </cell>
          <cell r="B440" t="str">
            <v>C4 PIP</v>
          </cell>
          <cell r="D440" t="str">
            <v>Work days</v>
          </cell>
          <cell r="Z440">
            <v>5</v>
          </cell>
          <cell r="AA440">
            <v>5</v>
          </cell>
          <cell r="AB440">
            <v>5</v>
          </cell>
          <cell r="AC440">
            <v>5</v>
          </cell>
          <cell r="AD440">
            <v>3</v>
          </cell>
          <cell r="AE440">
            <v>5</v>
          </cell>
          <cell r="AF440">
            <v>5</v>
          </cell>
          <cell r="AG440">
            <v>5</v>
          </cell>
          <cell r="AH440">
            <v>5</v>
          </cell>
          <cell r="AI440">
            <v>5</v>
          </cell>
          <cell r="AJ440">
            <v>5</v>
          </cell>
          <cell r="AK440">
            <v>4</v>
          </cell>
          <cell r="AL440">
            <v>4</v>
          </cell>
          <cell r="AM440">
            <v>5</v>
          </cell>
          <cell r="AN440">
            <v>4</v>
          </cell>
          <cell r="AO440">
            <v>5</v>
          </cell>
          <cell r="AP440">
            <v>5</v>
          </cell>
          <cell r="AQ440">
            <v>5</v>
          </cell>
          <cell r="AR440">
            <v>5</v>
          </cell>
          <cell r="AS440">
            <v>5</v>
          </cell>
          <cell r="AT440">
            <v>5</v>
          </cell>
          <cell r="AU440">
            <v>5</v>
          </cell>
          <cell r="AV440">
            <v>5</v>
          </cell>
          <cell r="AW440">
            <v>5</v>
          </cell>
          <cell r="AX440">
            <v>5</v>
          </cell>
          <cell r="AY440">
            <v>5</v>
          </cell>
          <cell r="AZ440">
            <v>0</v>
          </cell>
          <cell r="BA440">
            <v>0</v>
          </cell>
          <cell r="BB440">
            <v>5</v>
          </cell>
          <cell r="BC440">
            <v>5</v>
          </cell>
          <cell r="BD440">
            <v>5</v>
          </cell>
          <cell r="BE440">
            <v>5</v>
          </cell>
          <cell r="BF440">
            <v>5</v>
          </cell>
          <cell r="BG440">
            <v>5</v>
          </cell>
          <cell r="BH440">
            <v>5</v>
          </cell>
          <cell r="BI440">
            <v>5</v>
          </cell>
          <cell r="BJ440">
            <v>5</v>
          </cell>
          <cell r="BK440">
            <v>5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</row>
        <row r="441">
          <cell r="A441" t="str">
            <v>Citroen</v>
          </cell>
          <cell r="B441" t="str">
            <v>C4 PIP</v>
          </cell>
          <cell r="D441" t="str">
            <v>SHIFT A HC - operators</v>
          </cell>
          <cell r="Z441">
            <v>2</v>
          </cell>
          <cell r="AA441">
            <v>2</v>
          </cell>
          <cell r="AB441">
            <v>2</v>
          </cell>
          <cell r="AC441">
            <v>2</v>
          </cell>
          <cell r="AD441">
            <v>2</v>
          </cell>
          <cell r="AE441">
            <v>2</v>
          </cell>
          <cell r="AF441">
            <v>2</v>
          </cell>
          <cell r="AG441">
            <v>2</v>
          </cell>
          <cell r="AH441">
            <v>2</v>
          </cell>
          <cell r="AI441">
            <v>2</v>
          </cell>
          <cell r="AJ441">
            <v>2</v>
          </cell>
          <cell r="AK441">
            <v>2</v>
          </cell>
          <cell r="AL441">
            <v>2</v>
          </cell>
          <cell r="AM441">
            <v>2</v>
          </cell>
          <cell r="AN441">
            <v>2</v>
          </cell>
          <cell r="AO441">
            <v>1</v>
          </cell>
          <cell r="AP441">
            <v>1</v>
          </cell>
          <cell r="AQ441">
            <v>1</v>
          </cell>
          <cell r="AR441">
            <v>1</v>
          </cell>
          <cell r="AS441">
            <v>1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1</v>
          </cell>
          <cell r="BB441">
            <v>1</v>
          </cell>
          <cell r="BC441">
            <v>1</v>
          </cell>
          <cell r="BD441">
            <v>1</v>
          </cell>
          <cell r="BE441">
            <v>1</v>
          </cell>
          <cell r="BF441">
            <v>1</v>
          </cell>
          <cell r="BG441">
            <v>1</v>
          </cell>
          <cell r="BH441">
            <v>1</v>
          </cell>
          <cell r="BI441">
            <v>1</v>
          </cell>
          <cell r="BJ441">
            <v>1</v>
          </cell>
          <cell r="BK441">
            <v>1</v>
          </cell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</row>
        <row r="442">
          <cell r="A442" t="str">
            <v>Citroen</v>
          </cell>
          <cell r="B442" t="str">
            <v>C4 PIP</v>
          </cell>
          <cell r="D442" t="str">
            <v>SHIFT B HC  - operators</v>
          </cell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</row>
        <row r="443">
          <cell r="A443" t="str">
            <v>Citroen</v>
          </cell>
          <cell r="B443" t="str">
            <v>C4 PIP</v>
          </cell>
          <cell r="D443" t="str">
            <v>SHIFT C HC  - operators</v>
          </cell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</row>
        <row r="444">
          <cell r="A444" t="str">
            <v>Citroen</v>
          </cell>
          <cell r="B444" t="str">
            <v>C4 PIP</v>
          </cell>
          <cell r="D444" t="str">
            <v>Total HC</v>
          </cell>
          <cell r="Z444">
            <v>2</v>
          </cell>
          <cell r="AA444">
            <v>2</v>
          </cell>
          <cell r="AB444">
            <v>2</v>
          </cell>
          <cell r="AC444">
            <v>2</v>
          </cell>
          <cell r="AD444">
            <v>2</v>
          </cell>
          <cell r="AE444">
            <v>2</v>
          </cell>
          <cell r="AF444">
            <v>2</v>
          </cell>
          <cell r="AG444">
            <v>2</v>
          </cell>
          <cell r="AH444">
            <v>2</v>
          </cell>
          <cell r="AI444">
            <v>2</v>
          </cell>
          <cell r="AJ444">
            <v>2</v>
          </cell>
          <cell r="AK444">
            <v>2</v>
          </cell>
          <cell r="AL444">
            <v>2</v>
          </cell>
          <cell r="AM444">
            <v>2</v>
          </cell>
          <cell r="AN444">
            <v>2</v>
          </cell>
          <cell r="AO444">
            <v>1</v>
          </cell>
          <cell r="AP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1</v>
          </cell>
          <cell r="BB444">
            <v>1</v>
          </cell>
          <cell r="BC444">
            <v>1</v>
          </cell>
          <cell r="BD444">
            <v>1</v>
          </cell>
          <cell r="BE444">
            <v>1</v>
          </cell>
          <cell r="BF444">
            <v>1</v>
          </cell>
          <cell r="BG444">
            <v>1</v>
          </cell>
          <cell r="BH444">
            <v>1</v>
          </cell>
          <cell r="BI444">
            <v>1</v>
          </cell>
          <cell r="BJ444">
            <v>1</v>
          </cell>
          <cell r="BK444">
            <v>1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</row>
        <row r="445">
          <cell r="A445" t="str">
            <v>Citroen</v>
          </cell>
          <cell r="B445" t="str">
            <v>C4 PIP</v>
          </cell>
          <cell r="D445" t="str">
            <v>SHIFT A HC  - efficiency</v>
          </cell>
          <cell r="Z445"/>
          <cell r="AA445"/>
          <cell r="AB445"/>
          <cell r="AC445">
            <v>0.2</v>
          </cell>
          <cell r="AD445">
            <v>0.25</v>
          </cell>
          <cell r="AE445">
            <v>0.28999999999999998</v>
          </cell>
          <cell r="AF445">
            <v>0.32999999999999996</v>
          </cell>
          <cell r="AG445">
            <v>0.36999999999999994</v>
          </cell>
          <cell r="AH445">
            <v>0.40999999999999992</v>
          </cell>
          <cell r="AI445">
            <v>0.4499999999999999</v>
          </cell>
          <cell r="AJ445">
            <v>0.48999999999999988</v>
          </cell>
          <cell r="AK445">
            <v>0.52999999999999992</v>
          </cell>
          <cell r="AL445">
            <v>0.56999999999999995</v>
          </cell>
          <cell r="AM445">
            <v>0.61</v>
          </cell>
          <cell r="AN445">
            <v>0.65</v>
          </cell>
          <cell r="AO445">
            <v>0.68</v>
          </cell>
          <cell r="AP445">
            <v>0.72000000000000008</v>
          </cell>
          <cell r="AQ445">
            <v>0.76000000000000012</v>
          </cell>
          <cell r="AR445">
            <v>0.80000000000000016</v>
          </cell>
          <cell r="AS445">
            <v>0.84000000000000019</v>
          </cell>
          <cell r="AT445">
            <v>0.88000000000000023</v>
          </cell>
          <cell r="AU445">
            <v>0.92000000000000026</v>
          </cell>
          <cell r="AV445">
            <v>0.9600000000000003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1</v>
          </cell>
          <cell r="BB445">
            <v>1</v>
          </cell>
          <cell r="BC445">
            <v>1</v>
          </cell>
          <cell r="BD445">
            <v>1</v>
          </cell>
          <cell r="BE445">
            <v>1</v>
          </cell>
          <cell r="BF445">
            <v>1</v>
          </cell>
          <cell r="BG445">
            <v>1</v>
          </cell>
          <cell r="BH445">
            <v>1</v>
          </cell>
          <cell r="BI445">
            <v>1</v>
          </cell>
          <cell r="BJ445">
            <v>1</v>
          </cell>
          <cell r="BK445">
            <v>1</v>
          </cell>
          <cell r="BL445">
            <v>1</v>
          </cell>
          <cell r="BM445">
            <v>1</v>
          </cell>
          <cell r="BN445">
            <v>1</v>
          </cell>
          <cell r="BO445">
            <v>1</v>
          </cell>
          <cell r="BP445">
            <v>1</v>
          </cell>
          <cell r="BQ445">
            <v>1</v>
          </cell>
          <cell r="BR445">
            <v>1</v>
          </cell>
          <cell r="BS445">
            <v>1</v>
          </cell>
          <cell r="BT445">
            <v>1</v>
          </cell>
          <cell r="BU445">
            <v>1</v>
          </cell>
          <cell r="BV445">
            <v>1</v>
          </cell>
        </row>
        <row r="446">
          <cell r="A446" t="str">
            <v>Citroen</v>
          </cell>
          <cell r="B446" t="str">
            <v>C4 PIP</v>
          </cell>
          <cell r="D446" t="str">
            <v>SHIFT B HC  - efficiency</v>
          </cell>
          <cell r="Z446"/>
          <cell r="AA446"/>
          <cell r="AB446"/>
          <cell r="AC446">
            <v>0.2</v>
          </cell>
          <cell r="AD446">
            <v>0.25</v>
          </cell>
          <cell r="AE446">
            <v>0.28999999999999998</v>
          </cell>
          <cell r="AF446">
            <v>0.32999999999999996</v>
          </cell>
          <cell r="AG446">
            <v>0.36999999999999994</v>
          </cell>
          <cell r="AH446">
            <v>0.40999999999999992</v>
          </cell>
          <cell r="AI446">
            <v>0.4499999999999999</v>
          </cell>
          <cell r="AJ446">
            <v>0.48999999999999988</v>
          </cell>
          <cell r="AK446">
            <v>0.52999999999999992</v>
          </cell>
          <cell r="AL446">
            <v>0.56999999999999995</v>
          </cell>
          <cell r="AM446">
            <v>0.61</v>
          </cell>
          <cell r="AN446">
            <v>0.65</v>
          </cell>
          <cell r="AO446">
            <v>0.68</v>
          </cell>
          <cell r="AP446">
            <v>0.72000000000000008</v>
          </cell>
          <cell r="AQ446">
            <v>0.76000000000000012</v>
          </cell>
          <cell r="AR446">
            <v>0.80000000000000016</v>
          </cell>
          <cell r="AS446">
            <v>0.84000000000000019</v>
          </cell>
          <cell r="AT446">
            <v>0.88000000000000023</v>
          </cell>
          <cell r="AU446">
            <v>0.92000000000000026</v>
          </cell>
          <cell r="AV446">
            <v>0.9600000000000003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1</v>
          </cell>
          <cell r="BB446">
            <v>1</v>
          </cell>
          <cell r="BC446">
            <v>1</v>
          </cell>
          <cell r="BD446">
            <v>1</v>
          </cell>
          <cell r="BE446">
            <v>1</v>
          </cell>
          <cell r="BF446">
            <v>1</v>
          </cell>
          <cell r="BG446">
            <v>1</v>
          </cell>
          <cell r="BH446">
            <v>1</v>
          </cell>
          <cell r="BI446">
            <v>1</v>
          </cell>
          <cell r="BJ446">
            <v>1</v>
          </cell>
          <cell r="BK446">
            <v>1</v>
          </cell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</row>
        <row r="447">
          <cell r="A447" t="str">
            <v>Citroen</v>
          </cell>
          <cell r="B447" t="str">
            <v>C4 PIP</v>
          </cell>
          <cell r="D447" t="str">
            <v>SHIFT C HC  - efficiency</v>
          </cell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</row>
        <row r="448">
          <cell r="A448" t="str">
            <v>Citroen</v>
          </cell>
          <cell r="B448" t="str">
            <v>C4 PIP</v>
          </cell>
          <cell r="D448" t="str">
            <v>Total efficiency</v>
          </cell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</row>
        <row r="449">
          <cell r="A449" t="str">
            <v>Citroen</v>
          </cell>
          <cell r="B449" t="str">
            <v>C4 PIP</v>
          </cell>
          <cell r="D449" t="str">
            <v>SHIFT A - output</v>
          </cell>
          <cell r="Z449">
            <v>0</v>
          </cell>
          <cell r="AA449">
            <v>0</v>
          </cell>
          <cell r="AB449">
            <v>0</v>
          </cell>
          <cell r="AC449">
            <v>69.767441860465112</v>
          </cell>
          <cell r="AD449">
            <v>87.20930232558139</v>
          </cell>
          <cell r="AE449">
            <v>101.16279069767441</v>
          </cell>
          <cell r="AF449">
            <v>115.11627906976742</v>
          </cell>
          <cell r="AG449">
            <v>129.06976744186045</v>
          </cell>
          <cell r="AH449">
            <v>143.02325581395345</v>
          </cell>
          <cell r="AI449">
            <v>156.97674418604646</v>
          </cell>
          <cell r="AJ449">
            <v>170.93023255813949</v>
          </cell>
          <cell r="AK449">
            <v>184.88372093023253</v>
          </cell>
          <cell r="AL449">
            <v>198.83720930232556</v>
          </cell>
          <cell r="AM449">
            <v>212.7906976744186</v>
          </cell>
          <cell r="AN449">
            <v>226.74418604651163</v>
          </cell>
          <cell r="AO449">
            <v>118.6046511627907</v>
          </cell>
          <cell r="AP449">
            <v>125.58139534883722</v>
          </cell>
          <cell r="AQ449">
            <v>132.55813953488374</v>
          </cell>
          <cell r="AR449">
            <v>139.53488372093025</v>
          </cell>
          <cell r="AS449">
            <v>146.51162790697677</v>
          </cell>
          <cell r="AT449">
            <v>153.48837209302329</v>
          </cell>
          <cell r="AU449">
            <v>160.4651162790698</v>
          </cell>
          <cell r="AV449">
            <v>167.44186046511632</v>
          </cell>
          <cell r="AW449">
            <v>174.41860465116278</v>
          </cell>
          <cell r="AX449">
            <v>174.41860465116278</v>
          </cell>
          <cell r="AY449">
            <v>174.41860465116278</v>
          </cell>
          <cell r="AZ449">
            <v>174.41860465116278</v>
          </cell>
          <cell r="BA449">
            <v>174.41860465116278</v>
          </cell>
          <cell r="BB449">
            <v>174.41860465116278</v>
          </cell>
          <cell r="BC449">
            <v>174.41860465116278</v>
          </cell>
          <cell r="BD449">
            <v>174.41860465116278</v>
          </cell>
          <cell r="BE449">
            <v>174.41860465116278</v>
          </cell>
          <cell r="BF449">
            <v>174.41860465116278</v>
          </cell>
          <cell r="BG449">
            <v>174.41860465116278</v>
          </cell>
          <cell r="BH449">
            <v>174.41860465116278</v>
          </cell>
          <cell r="BI449">
            <v>174.41860465116278</v>
          </cell>
          <cell r="BJ449">
            <v>174.41860465116278</v>
          </cell>
          <cell r="BK449">
            <v>174.41860465116278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</row>
        <row r="450">
          <cell r="A450" t="str">
            <v>Citroen</v>
          </cell>
          <cell r="B450" t="str">
            <v>C4 PIP</v>
          </cell>
          <cell r="D450" t="str">
            <v>SHIFT B  - output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</row>
        <row r="451">
          <cell r="A451" t="str">
            <v>Citroen</v>
          </cell>
          <cell r="B451" t="str">
            <v>C4 PIP</v>
          </cell>
          <cell r="D451" t="str">
            <v>SHIFT C  - output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</row>
        <row r="452">
          <cell r="A452" t="str">
            <v>Citroen</v>
          </cell>
          <cell r="B452" t="str">
            <v>C4 PIP</v>
          </cell>
          <cell r="D452" t="str">
            <v>Est. Output (Pcs day)</v>
          </cell>
          <cell r="E452">
            <v>4.1500000000000004</v>
          </cell>
          <cell r="Z452">
            <v>0</v>
          </cell>
          <cell r="AA452">
            <v>0</v>
          </cell>
          <cell r="AB452">
            <v>0</v>
          </cell>
          <cell r="AC452">
            <v>69.767441860465112</v>
          </cell>
          <cell r="AD452">
            <v>87.20930232558139</v>
          </cell>
          <cell r="AE452">
            <v>101.16279069767441</v>
          </cell>
          <cell r="AF452">
            <v>115.11627906976742</v>
          </cell>
          <cell r="AG452">
            <v>129.06976744186045</v>
          </cell>
          <cell r="AH452">
            <v>143.02325581395345</v>
          </cell>
          <cell r="AI452">
            <v>156.97674418604646</v>
          </cell>
          <cell r="AJ452">
            <v>170.93023255813949</v>
          </cell>
          <cell r="AK452">
            <v>184.88372093023253</v>
          </cell>
          <cell r="AL452">
            <v>198.83720930232556</v>
          </cell>
          <cell r="AM452">
            <v>212.7906976744186</v>
          </cell>
          <cell r="AN452">
            <v>226.74418604651163</v>
          </cell>
          <cell r="AO452">
            <v>118.6046511627907</v>
          </cell>
          <cell r="AP452">
            <v>125.58139534883722</v>
          </cell>
          <cell r="AQ452">
            <v>132.55813953488374</v>
          </cell>
          <cell r="AR452">
            <v>139.53488372093025</v>
          </cell>
          <cell r="AS452">
            <v>146.51162790697677</v>
          </cell>
          <cell r="AT452">
            <v>153.48837209302329</v>
          </cell>
          <cell r="AU452">
            <v>160.4651162790698</v>
          </cell>
          <cell r="AV452">
            <v>167.44186046511632</v>
          </cell>
          <cell r="AW452">
            <v>174.41860465116278</v>
          </cell>
          <cell r="AX452">
            <v>174.41860465116278</v>
          </cell>
          <cell r="AY452">
            <v>174.41860465116278</v>
          </cell>
          <cell r="AZ452">
            <v>174.41860465116278</v>
          </cell>
          <cell r="BA452">
            <v>174.41860465116278</v>
          </cell>
          <cell r="BB452">
            <v>174.41860465116278</v>
          </cell>
          <cell r="BC452">
            <v>174.41860465116278</v>
          </cell>
          <cell r="BD452">
            <v>174.41860465116278</v>
          </cell>
          <cell r="BE452">
            <v>174.41860465116278</v>
          </cell>
          <cell r="BF452">
            <v>174.41860465116278</v>
          </cell>
          <cell r="BG452">
            <v>174.41860465116278</v>
          </cell>
          <cell r="BH452">
            <v>174.41860465116278</v>
          </cell>
          <cell r="BI452">
            <v>174.41860465116278</v>
          </cell>
          <cell r="BJ452">
            <v>174.41860465116278</v>
          </cell>
          <cell r="BK452">
            <v>174.41860465116278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</row>
        <row r="453">
          <cell r="A453" t="str">
            <v>Citroen</v>
          </cell>
          <cell r="B453" t="str">
            <v>C4 PIP</v>
          </cell>
          <cell r="D453" t="str">
            <v>Weekly Output PLAN</v>
          </cell>
          <cell r="E453" t="str">
            <v>SEW</v>
          </cell>
          <cell r="Z453">
            <v>0</v>
          </cell>
          <cell r="AA453">
            <v>0</v>
          </cell>
          <cell r="AB453">
            <v>0</v>
          </cell>
          <cell r="AC453">
            <v>348.83720930232556</v>
          </cell>
          <cell r="AD453">
            <v>261.62790697674416</v>
          </cell>
          <cell r="AE453">
            <v>505.81395348837202</v>
          </cell>
          <cell r="AF453">
            <v>575.58139534883708</v>
          </cell>
          <cell r="AG453">
            <v>645.34883720930225</v>
          </cell>
          <cell r="AH453">
            <v>715.1162790697673</v>
          </cell>
          <cell r="AI453">
            <v>784.88372093023236</v>
          </cell>
          <cell r="AJ453">
            <v>854.65116279069753</v>
          </cell>
          <cell r="AK453">
            <v>739.53488372093011</v>
          </cell>
          <cell r="AL453">
            <v>795.34883720930225</v>
          </cell>
          <cell r="AM453">
            <v>1063.953488372093</v>
          </cell>
          <cell r="AN453">
            <v>906.97674418604652</v>
          </cell>
          <cell r="AO453">
            <v>593.02325581395348</v>
          </cell>
          <cell r="AP453">
            <v>627.90697674418607</v>
          </cell>
          <cell r="AQ453">
            <v>662.79069767441865</v>
          </cell>
          <cell r="AR453">
            <v>697.67441860465124</v>
          </cell>
          <cell r="AS453">
            <v>732.55813953488382</v>
          </cell>
          <cell r="AT453">
            <v>767.44186046511641</v>
          </cell>
          <cell r="AU453">
            <v>802.32558139534899</v>
          </cell>
          <cell r="AV453">
            <v>837.20930232558158</v>
          </cell>
          <cell r="AW453">
            <v>872.09302325581393</v>
          </cell>
          <cell r="AX453">
            <v>872.09302325581393</v>
          </cell>
          <cell r="AY453">
            <v>872.09302325581393</v>
          </cell>
          <cell r="AZ453">
            <v>0</v>
          </cell>
          <cell r="BA453">
            <v>0</v>
          </cell>
          <cell r="BB453">
            <v>872.09302325581393</v>
          </cell>
          <cell r="BC453">
            <v>872.09302325581393</v>
          </cell>
          <cell r="BD453">
            <v>872.09302325581393</v>
          </cell>
          <cell r="BE453">
            <v>872.09302325581393</v>
          </cell>
          <cell r="BF453">
            <v>872.09302325581393</v>
          </cell>
          <cell r="BG453">
            <v>872.09302325581393</v>
          </cell>
          <cell r="BH453">
            <v>872.09302325581393</v>
          </cell>
          <cell r="BI453">
            <v>872.09302325581393</v>
          </cell>
          <cell r="BJ453">
            <v>872.09302325581393</v>
          </cell>
          <cell r="BK453">
            <v>872.09302325581393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</row>
        <row r="454">
          <cell r="A454" t="str">
            <v>Citroen</v>
          </cell>
          <cell r="B454" t="str">
            <v>C4 PIP</v>
          </cell>
          <cell r="D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</row>
        <row r="455">
          <cell r="A455" t="str">
            <v>Citroen</v>
          </cell>
          <cell r="B455" t="str">
            <v>C4 PIP</v>
          </cell>
          <cell r="D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</row>
        <row r="456">
          <cell r="A456" t="str">
            <v>Citroen</v>
          </cell>
          <cell r="B456" t="str">
            <v>C4 PIP</v>
          </cell>
          <cell r="D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</row>
        <row r="457">
          <cell r="A457" t="str">
            <v>Citroen</v>
          </cell>
          <cell r="B457" t="str">
            <v>C4 PIP</v>
          </cell>
          <cell r="D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</row>
        <row r="458">
          <cell r="A458" t="str">
            <v>Citroen</v>
          </cell>
          <cell r="B458" t="str">
            <v>C4 PIP</v>
          </cell>
          <cell r="D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</row>
        <row r="459">
          <cell r="A459" t="str">
            <v>Citroen</v>
          </cell>
          <cell r="B459" t="str">
            <v>C4 PIP</v>
          </cell>
          <cell r="D459" t="str">
            <v>Weekly Output PLAN - SUM of models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</row>
        <row r="460">
          <cell r="A460" t="str">
            <v>Citroen</v>
          </cell>
          <cell r="B460" t="str">
            <v>C4 PIP</v>
          </cell>
          <cell r="D460" t="str">
            <v>Weekly Output CHECK with TO time multiple</v>
          </cell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</row>
        <row r="461">
          <cell r="A461" t="str">
            <v>Citroen</v>
          </cell>
          <cell r="B461" t="str">
            <v>C4 PIP</v>
          </cell>
          <cell r="D461" t="str">
            <v>Weekly Output ACT</v>
          </cell>
          <cell r="Z461">
            <v>0</v>
          </cell>
          <cell r="AA461">
            <v>0</v>
          </cell>
          <cell r="AB461">
            <v>0</v>
          </cell>
          <cell r="AC461">
            <v>348.83720930232556</v>
          </cell>
          <cell r="AD461">
            <v>261.62790697674416</v>
          </cell>
          <cell r="AE461">
            <v>505.81395348837202</v>
          </cell>
          <cell r="AF461">
            <v>575.58139534883708</v>
          </cell>
          <cell r="AG461">
            <v>645.34883720930225</v>
          </cell>
          <cell r="AH461">
            <v>715.1162790697673</v>
          </cell>
          <cell r="AI461">
            <v>784.88372093023236</v>
          </cell>
          <cell r="AJ461">
            <v>854.65116279069753</v>
          </cell>
          <cell r="AK461">
            <v>739.53488372093011</v>
          </cell>
          <cell r="AL461">
            <v>795.34883720930225</v>
          </cell>
          <cell r="AM461">
            <v>1063.953488372093</v>
          </cell>
          <cell r="AN461">
            <v>906.97674418604652</v>
          </cell>
          <cell r="AO461">
            <v>593.02325581395348</v>
          </cell>
          <cell r="AP461">
            <v>627.90697674418607</v>
          </cell>
          <cell r="AQ461">
            <v>662.79069767441865</v>
          </cell>
          <cell r="AR461">
            <v>697.67441860465124</v>
          </cell>
          <cell r="AS461">
            <v>732.55813953488382</v>
          </cell>
          <cell r="AT461">
            <v>767.44186046511641</v>
          </cell>
          <cell r="AU461">
            <v>802.32558139534899</v>
          </cell>
          <cell r="AV461">
            <v>837.20930232558158</v>
          </cell>
          <cell r="AW461">
            <v>872.09302325581393</v>
          </cell>
          <cell r="AX461">
            <v>872.09302325581393</v>
          </cell>
          <cell r="AY461">
            <v>872.09302325581393</v>
          </cell>
          <cell r="AZ461">
            <v>0</v>
          </cell>
          <cell r="BA461">
            <v>0</v>
          </cell>
          <cell r="BB461">
            <v>872.09302325581393</v>
          </cell>
          <cell r="BC461">
            <v>872.09302325581393</v>
          </cell>
          <cell r="BD461">
            <v>872.09302325581393</v>
          </cell>
          <cell r="BE461">
            <v>872.09302325581393</v>
          </cell>
          <cell r="BF461">
            <v>872.09302325581393</v>
          </cell>
          <cell r="BG461">
            <v>872.09302325581393</v>
          </cell>
          <cell r="BH461">
            <v>872.09302325581393</v>
          </cell>
          <cell r="BI461">
            <v>872.09302325581393</v>
          </cell>
          <cell r="BJ461">
            <v>872.09302325581393</v>
          </cell>
          <cell r="BK461">
            <v>872.09302325581393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</row>
        <row r="462">
          <cell r="A462" t="str">
            <v>Citroen</v>
          </cell>
          <cell r="B462" t="str">
            <v>C4 PIP</v>
          </cell>
          <cell r="D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633</v>
          </cell>
          <cell r="AG462">
            <v>633</v>
          </cell>
          <cell r="AH462">
            <v>633</v>
          </cell>
          <cell r="AI462">
            <v>633</v>
          </cell>
          <cell r="AJ462">
            <v>633</v>
          </cell>
          <cell r="AK462">
            <v>633</v>
          </cell>
          <cell r="AL462">
            <v>633</v>
          </cell>
          <cell r="AM462">
            <v>633</v>
          </cell>
          <cell r="AN462">
            <v>633</v>
          </cell>
          <cell r="AO462">
            <v>633</v>
          </cell>
          <cell r="AP462">
            <v>633</v>
          </cell>
          <cell r="AQ462">
            <v>633</v>
          </cell>
          <cell r="AR462">
            <v>633</v>
          </cell>
          <cell r="AS462">
            <v>633</v>
          </cell>
          <cell r="AT462">
            <v>633</v>
          </cell>
          <cell r="AU462">
            <v>633</v>
          </cell>
          <cell r="AV462">
            <v>633</v>
          </cell>
          <cell r="AW462">
            <v>633</v>
          </cell>
          <cell r="AX462">
            <v>633</v>
          </cell>
          <cell r="AY462">
            <v>633</v>
          </cell>
          <cell r="AZ462">
            <v>633</v>
          </cell>
          <cell r="BA462">
            <v>633</v>
          </cell>
          <cell r="BB462">
            <v>633</v>
          </cell>
          <cell r="BC462">
            <v>633</v>
          </cell>
          <cell r="BD462">
            <v>633</v>
          </cell>
          <cell r="BE462">
            <v>633</v>
          </cell>
          <cell r="BF462">
            <v>633</v>
          </cell>
          <cell r="BG462">
            <v>633</v>
          </cell>
          <cell r="BH462">
            <v>633</v>
          </cell>
          <cell r="BI462">
            <v>633</v>
          </cell>
          <cell r="BJ462">
            <v>633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</row>
        <row r="463">
          <cell r="A463" t="str">
            <v>Citroen</v>
          </cell>
          <cell r="B463" t="str">
            <v>C4 PIP</v>
          </cell>
          <cell r="D463">
            <v>0</v>
          </cell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</row>
        <row r="464">
          <cell r="A464" t="str">
            <v>Citroen</v>
          </cell>
          <cell r="B464" t="str">
            <v>C4 PIP</v>
          </cell>
          <cell r="D464">
            <v>0</v>
          </cell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</row>
        <row r="465">
          <cell r="A465" t="str">
            <v>Citroen</v>
          </cell>
          <cell r="B465" t="str">
            <v>C4 PIP</v>
          </cell>
          <cell r="D465">
            <v>0</v>
          </cell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</row>
        <row r="466">
          <cell r="A466" t="str">
            <v>Citroen</v>
          </cell>
          <cell r="B466" t="str">
            <v>C4 PIP</v>
          </cell>
          <cell r="D466">
            <v>0</v>
          </cell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</row>
        <row r="467">
          <cell r="A467" t="str">
            <v>Citroen</v>
          </cell>
          <cell r="B467" t="str">
            <v>C4 PIP</v>
          </cell>
          <cell r="D467" t="str">
            <v>Weekly demand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633</v>
          </cell>
          <cell r="AG467">
            <v>633</v>
          </cell>
          <cell r="AH467">
            <v>633</v>
          </cell>
          <cell r="AI467">
            <v>633</v>
          </cell>
          <cell r="AJ467">
            <v>633</v>
          </cell>
          <cell r="AK467">
            <v>633</v>
          </cell>
          <cell r="AL467">
            <v>633</v>
          </cell>
          <cell r="AM467">
            <v>633</v>
          </cell>
          <cell r="AN467">
            <v>633</v>
          </cell>
          <cell r="AO467">
            <v>633</v>
          </cell>
          <cell r="AP467">
            <v>633</v>
          </cell>
          <cell r="AQ467">
            <v>633</v>
          </cell>
          <cell r="AR467">
            <v>633</v>
          </cell>
          <cell r="AS467">
            <v>633</v>
          </cell>
          <cell r="AT467">
            <v>633</v>
          </cell>
          <cell r="AU467">
            <v>633</v>
          </cell>
          <cell r="AV467">
            <v>633</v>
          </cell>
          <cell r="AW467">
            <v>633</v>
          </cell>
          <cell r="AX467">
            <v>633</v>
          </cell>
          <cell r="AY467">
            <v>633</v>
          </cell>
          <cell r="AZ467">
            <v>633</v>
          </cell>
          <cell r="BA467">
            <v>633</v>
          </cell>
          <cell r="BB467">
            <v>633</v>
          </cell>
          <cell r="BC467">
            <v>633</v>
          </cell>
          <cell r="BD467">
            <v>633</v>
          </cell>
          <cell r="BE467">
            <v>633</v>
          </cell>
          <cell r="BF467">
            <v>633</v>
          </cell>
          <cell r="BG467">
            <v>633</v>
          </cell>
          <cell r="BH467">
            <v>633</v>
          </cell>
          <cell r="BI467">
            <v>633</v>
          </cell>
          <cell r="BJ467">
            <v>633</v>
          </cell>
          <cell r="BK467">
            <v>0</v>
          </cell>
          <cell r="BL467">
            <v>52069.5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</row>
        <row r="468">
          <cell r="A468" t="str">
            <v>Citroen</v>
          </cell>
          <cell r="B468" t="str">
            <v>C4 PIP</v>
          </cell>
          <cell r="D468" t="str">
            <v>Stock Target</v>
          </cell>
          <cell r="Z468">
            <v>2518</v>
          </cell>
          <cell r="AA468">
            <v>2519</v>
          </cell>
          <cell r="AB468">
            <v>2520</v>
          </cell>
          <cell r="AC468">
            <v>2521</v>
          </cell>
          <cell r="AD468">
            <v>2522</v>
          </cell>
          <cell r="AE468">
            <v>2523</v>
          </cell>
          <cell r="AF468">
            <v>2524</v>
          </cell>
          <cell r="AG468">
            <v>2525</v>
          </cell>
          <cell r="AH468">
            <v>2526</v>
          </cell>
          <cell r="AI468">
            <v>2527</v>
          </cell>
          <cell r="AJ468">
            <v>2528</v>
          </cell>
          <cell r="AK468">
            <v>2529</v>
          </cell>
          <cell r="AL468">
            <v>2530</v>
          </cell>
          <cell r="AM468">
            <v>2531</v>
          </cell>
          <cell r="AN468">
            <v>2532</v>
          </cell>
          <cell r="AO468">
            <v>2533</v>
          </cell>
          <cell r="AP468">
            <v>2534</v>
          </cell>
          <cell r="AQ468">
            <v>2535</v>
          </cell>
          <cell r="AR468">
            <v>2536</v>
          </cell>
          <cell r="AS468">
            <v>2537</v>
          </cell>
          <cell r="AT468">
            <v>2538</v>
          </cell>
          <cell r="AU468">
            <v>2539</v>
          </cell>
          <cell r="AV468">
            <v>2540</v>
          </cell>
          <cell r="AW468">
            <v>2541</v>
          </cell>
          <cell r="AX468">
            <v>2542</v>
          </cell>
          <cell r="AY468">
            <v>2543</v>
          </cell>
          <cell r="AZ468">
            <v>2544</v>
          </cell>
          <cell r="BA468">
            <v>2545</v>
          </cell>
          <cell r="BB468">
            <v>2546</v>
          </cell>
          <cell r="BC468">
            <v>2547</v>
          </cell>
          <cell r="BD468">
            <v>2548</v>
          </cell>
          <cell r="BE468">
            <v>2549</v>
          </cell>
          <cell r="BF468">
            <v>2550</v>
          </cell>
          <cell r="BG468">
            <v>2551</v>
          </cell>
          <cell r="BH468">
            <v>2552</v>
          </cell>
          <cell r="BI468">
            <v>2553</v>
          </cell>
          <cell r="BJ468">
            <v>2554</v>
          </cell>
          <cell r="BK468">
            <v>2555</v>
          </cell>
          <cell r="BL468">
            <v>2556</v>
          </cell>
          <cell r="BM468">
            <v>2557</v>
          </cell>
          <cell r="BN468">
            <v>2558</v>
          </cell>
          <cell r="BO468">
            <v>2559</v>
          </cell>
          <cell r="BP468">
            <v>2560</v>
          </cell>
          <cell r="BQ468">
            <v>2561</v>
          </cell>
          <cell r="BR468">
            <v>2562</v>
          </cell>
          <cell r="BS468">
            <v>2563</v>
          </cell>
          <cell r="BT468">
            <v>2564</v>
          </cell>
          <cell r="BU468">
            <v>2565</v>
          </cell>
          <cell r="BV468">
            <v>2566</v>
          </cell>
        </row>
        <row r="469">
          <cell r="A469" t="str">
            <v>Citroen</v>
          </cell>
          <cell r="B469" t="str">
            <v>C4 PIP</v>
          </cell>
          <cell r="D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-633</v>
          </cell>
          <cell r="AG469">
            <v>-1266</v>
          </cell>
          <cell r="AH469">
            <v>-1899</v>
          </cell>
          <cell r="AI469">
            <v>-2532</v>
          </cell>
          <cell r="AJ469">
            <v>-3165</v>
          </cell>
          <cell r="AK469">
            <v>-3798</v>
          </cell>
          <cell r="AL469">
            <v>-4431</v>
          </cell>
          <cell r="AM469">
            <v>-5064</v>
          </cell>
          <cell r="AN469">
            <v>-5697</v>
          </cell>
          <cell r="AO469">
            <v>-6330</v>
          </cell>
          <cell r="AP469">
            <v>-6963</v>
          </cell>
          <cell r="AQ469">
            <v>-7596</v>
          </cell>
          <cell r="AR469">
            <v>-8229</v>
          </cell>
          <cell r="AS469">
            <v>-8862</v>
          </cell>
          <cell r="AT469">
            <v>-9495</v>
          </cell>
          <cell r="AU469">
            <v>-10128</v>
          </cell>
          <cell r="AV469">
            <v>-10761</v>
          </cell>
          <cell r="AW469">
            <v>-11394</v>
          </cell>
          <cell r="AX469">
            <v>-12027</v>
          </cell>
          <cell r="AY469">
            <v>-12660</v>
          </cell>
          <cell r="AZ469">
            <v>-13293</v>
          </cell>
          <cell r="BA469">
            <v>-13926</v>
          </cell>
          <cell r="BB469">
            <v>-14559</v>
          </cell>
          <cell r="BC469">
            <v>-15192</v>
          </cell>
          <cell r="BD469">
            <v>-15825</v>
          </cell>
          <cell r="BE469">
            <v>-16458</v>
          </cell>
          <cell r="BF469">
            <v>-17091</v>
          </cell>
          <cell r="BG469">
            <v>-17724</v>
          </cell>
          <cell r="BH469">
            <v>-18357</v>
          </cell>
          <cell r="BI469">
            <v>-18990</v>
          </cell>
          <cell r="BJ469">
            <v>-19623</v>
          </cell>
          <cell r="BK469">
            <v>-19623</v>
          </cell>
          <cell r="BL469">
            <v>-19623</v>
          </cell>
          <cell r="BM469">
            <v>-19623</v>
          </cell>
          <cell r="BN469">
            <v>-19623</v>
          </cell>
          <cell r="BO469">
            <v>-19623</v>
          </cell>
          <cell r="BP469">
            <v>-19623</v>
          </cell>
          <cell r="BQ469">
            <v>-19623</v>
          </cell>
          <cell r="BR469">
            <v>-19623</v>
          </cell>
          <cell r="BS469">
            <v>-19623</v>
          </cell>
          <cell r="BT469">
            <v>-19623</v>
          </cell>
          <cell r="BU469">
            <v>-19623</v>
          </cell>
          <cell r="BV469">
            <v>-19623</v>
          </cell>
        </row>
        <row r="470">
          <cell r="A470" t="str">
            <v>Citroen</v>
          </cell>
          <cell r="B470" t="str">
            <v>C4 PIP</v>
          </cell>
          <cell r="D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</row>
        <row r="471">
          <cell r="A471" t="str">
            <v>Citroen</v>
          </cell>
          <cell r="B471" t="str">
            <v>C4 PIP</v>
          </cell>
          <cell r="D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</row>
        <row r="472">
          <cell r="A472" t="str">
            <v>Citroen</v>
          </cell>
          <cell r="B472" t="str">
            <v>C4 PIP</v>
          </cell>
          <cell r="D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</row>
        <row r="473">
          <cell r="A473" t="str">
            <v>Citroen</v>
          </cell>
          <cell r="B473" t="str">
            <v>C4 PIP</v>
          </cell>
          <cell r="D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</row>
        <row r="474">
          <cell r="A474" t="str">
            <v>Citroen</v>
          </cell>
          <cell r="B474" t="str">
            <v>C4 PIP</v>
          </cell>
          <cell r="D474" t="str">
            <v>STOCK</v>
          </cell>
          <cell r="Z474">
            <v>0</v>
          </cell>
          <cell r="AA474">
            <v>0</v>
          </cell>
          <cell r="AB474">
            <v>0</v>
          </cell>
          <cell r="AC474">
            <v>348.83720930232556</v>
          </cell>
          <cell r="AD474">
            <v>610.46511627906966</v>
          </cell>
          <cell r="AE474">
            <v>1116.2790697674418</v>
          </cell>
          <cell r="AF474">
            <v>1058.8604651162789</v>
          </cell>
          <cell r="AG474">
            <v>1071.2093023255811</v>
          </cell>
          <cell r="AH474">
            <v>1153.3255813953483</v>
          </cell>
          <cell r="AI474">
            <v>1305.2093023255807</v>
          </cell>
          <cell r="AJ474">
            <v>1526.8604651162782</v>
          </cell>
          <cell r="AK474">
            <v>1633.3953488372083</v>
          </cell>
          <cell r="AL474">
            <v>1795.7441860465105</v>
          </cell>
          <cell r="AM474">
            <v>2226.6976744186036</v>
          </cell>
          <cell r="AN474">
            <v>2500.6744186046499</v>
          </cell>
          <cell r="AO474">
            <v>2460.6976744186031</v>
          </cell>
          <cell r="AP474">
            <v>2455.6046511627892</v>
          </cell>
          <cell r="AQ474">
            <v>2485.3953488372081</v>
          </cell>
          <cell r="AR474">
            <v>2550.0697674418593</v>
          </cell>
          <cell r="AS474">
            <v>2649.6279069767434</v>
          </cell>
          <cell r="AT474">
            <v>2784.0697674418598</v>
          </cell>
          <cell r="AU474">
            <v>2953.395348837209</v>
          </cell>
          <cell r="AV474">
            <v>3157.6046511627906</v>
          </cell>
          <cell r="AW474">
            <v>3396.6976744186045</v>
          </cell>
          <cell r="AX474">
            <v>3635.7906976744184</v>
          </cell>
          <cell r="AY474">
            <v>3874.8837209302324</v>
          </cell>
          <cell r="AZ474">
            <v>3241.8837209302324</v>
          </cell>
          <cell r="BA474">
            <v>2608.8837209302324</v>
          </cell>
          <cell r="BB474">
            <v>2847.9767441860463</v>
          </cell>
          <cell r="BC474">
            <v>3087.0697674418602</v>
          </cell>
          <cell r="BD474">
            <v>3326.1627906976742</v>
          </cell>
          <cell r="BE474">
            <v>3565.2558139534881</v>
          </cell>
          <cell r="BF474">
            <v>3804.348837209302</v>
          </cell>
          <cell r="BG474">
            <v>4043.441860465116</v>
          </cell>
          <cell r="BH474">
            <v>4282.5348837209294</v>
          </cell>
          <cell r="BI474">
            <v>4521.6279069767434</v>
          </cell>
          <cell r="BJ474">
            <v>4760.7209302325573</v>
          </cell>
          <cell r="BK474">
            <v>5632.8139534883712</v>
          </cell>
          <cell r="BL474">
            <v>-46436.686046511626</v>
          </cell>
          <cell r="BM474">
            <v>-46436.686046511626</v>
          </cell>
          <cell r="BN474">
            <v>-46436.686046511626</v>
          </cell>
          <cell r="BO474">
            <v>-46436.686046511626</v>
          </cell>
          <cell r="BP474">
            <v>-46436.686046511626</v>
          </cell>
          <cell r="BQ474">
            <v>-46436.686046511626</v>
          </cell>
          <cell r="BR474">
            <v>-46436.686046511626</v>
          </cell>
          <cell r="BS474">
            <v>-46436.686046511626</v>
          </cell>
          <cell r="BT474">
            <v>-46436.686046511626</v>
          </cell>
          <cell r="BU474">
            <v>-46436.686046511626</v>
          </cell>
          <cell r="BV474">
            <v>-46436.686046511626</v>
          </cell>
        </row>
        <row r="475">
          <cell r="A475" t="str">
            <v>Blank</v>
          </cell>
          <cell r="B475" t="str">
            <v>Blank</v>
          </cell>
          <cell r="D475" t="str">
            <v>Blank</v>
          </cell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</row>
        <row r="476">
          <cell r="A476" t="str">
            <v>Blank</v>
          </cell>
          <cell r="B476" t="str">
            <v>Blank</v>
          </cell>
          <cell r="D476" t="str">
            <v>Work days</v>
          </cell>
          <cell r="Z476">
            <v>5</v>
          </cell>
          <cell r="AA476">
            <v>5</v>
          </cell>
          <cell r="AB476">
            <v>5</v>
          </cell>
          <cell r="AC476">
            <v>5</v>
          </cell>
          <cell r="AD476">
            <v>3</v>
          </cell>
          <cell r="AE476">
            <v>5</v>
          </cell>
          <cell r="AF476">
            <v>5</v>
          </cell>
          <cell r="AG476">
            <v>5</v>
          </cell>
          <cell r="AH476">
            <v>5</v>
          </cell>
          <cell r="AI476">
            <v>5</v>
          </cell>
          <cell r="AJ476">
            <v>5</v>
          </cell>
          <cell r="AK476">
            <v>4</v>
          </cell>
          <cell r="AL476">
            <v>4</v>
          </cell>
          <cell r="AM476">
            <v>5</v>
          </cell>
          <cell r="AN476">
            <v>4</v>
          </cell>
          <cell r="AO476">
            <v>6</v>
          </cell>
          <cell r="AP476">
            <v>6</v>
          </cell>
          <cell r="AQ476">
            <v>6</v>
          </cell>
          <cell r="AR476">
            <v>6</v>
          </cell>
          <cell r="AS476">
            <v>6</v>
          </cell>
          <cell r="AT476">
            <v>6</v>
          </cell>
          <cell r="AU476">
            <v>6</v>
          </cell>
          <cell r="AV476">
            <v>6</v>
          </cell>
          <cell r="AW476">
            <v>6</v>
          </cell>
          <cell r="AX476">
            <v>6</v>
          </cell>
          <cell r="AY476">
            <v>6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5</v>
          </cell>
          <cell r="BL476">
            <v>5</v>
          </cell>
          <cell r="BM476">
            <v>5</v>
          </cell>
          <cell r="BN476">
            <v>5</v>
          </cell>
          <cell r="BO476">
            <v>5</v>
          </cell>
          <cell r="BP476">
            <v>5</v>
          </cell>
          <cell r="BQ476">
            <v>5</v>
          </cell>
          <cell r="BR476">
            <v>5</v>
          </cell>
          <cell r="BS476">
            <v>5</v>
          </cell>
          <cell r="BT476">
            <v>5</v>
          </cell>
          <cell r="BU476">
            <v>5</v>
          </cell>
          <cell r="BV476">
            <v>5</v>
          </cell>
        </row>
        <row r="477">
          <cell r="A477" t="str">
            <v>Blank</v>
          </cell>
          <cell r="B477" t="str">
            <v>Blank</v>
          </cell>
          <cell r="D477" t="str">
            <v>SHIFT A HC - operators</v>
          </cell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>
            <v>20</v>
          </cell>
          <cell r="BL477">
            <v>20</v>
          </cell>
          <cell r="BM477">
            <v>20</v>
          </cell>
          <cell r="BN477">
            <v>20</v>
          </cell>
          <cell r="BO477">
            <v>20</v>
          </cell>
          <cell r="BP477">
            <v>20</v>
          </cell>
          <cell r="BQ477">
            <v>20</v>
          </cell>
          <cell r="BR477">
            <v>20</v>
          </cell>
          <cell r="BS477">
            <v>20</v>
          </cell>
          <cell r="BT477">
            <v>20</v>
          </cell>
          <cell r="BU477">
            <v>20</v>
          </cell>
          <cell r="BV477">
            <v>20</v>
          </cell>
        </row>
        <row r="478">
          <cell r="A478" t="str">
            <v>Blank</v>
          </cell>
          <cell r="B478" t="str">
            <v>Blank</v>
          </cell>
          <cell r="D478" t="str">
            <v>SHIFT B HC  - operators</v>
          </cell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>
            <v>20</v>
          </cell>
          <cell r="BL478">
            <v>20</v>
          </cell>
          <cell r="BM478">
            <v>20</v>
          </cell>
          <cell r="BN478">
            <v>20</v>
          </cell>
          <cell r="BO478">
            <v>20</v>
          </cell>
          <cell r="BP478">
            <v>20</v>
          </cell>
          <cell r="BQ478">
            <v>20</v>
          </cell>
          <cell r="BR478">
            <v>20</v>
          </cell>
          <cell r="BS478">
            <v>20</v>
          </cell>
          <cell r="BT478">
            <v>20</v>
          </cell>
          <cell r="BU478">
            <v>20</v>
          </cell>
          <cell r="BV478">
            <v>20</v>
          </cell>
        </row>
        <row r="479">
          <cell r="A479" t="str">
            <v>Blank</v>
          </cell>
          <cell r="B479" t="str">
            <v>Blank</v>
          </cell>
          <cell r="D479" t="str">
            <v>SHIFT C HC  - operators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</row>
        <row r="480">
          <cell r="A480" t="str">
            <v>Blank</v>
          </cell>
          <cell r="B480" t="str">
            <v>Blank</v>
          </cell>
          <cell r="D480" t="str">
            <v>Total HC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40</v>
          </cell>
          <cell r="BL480">
            <v>40</v>
          </cell>
          <cell r="BM480">
            <v>40</v>
          </cell>
          <cell r="BN480">
            <v>40</v>
          </cell>
          <cell r="BO480">
            <v>40</v>
          </cell>
          <cell r="BP480">
            <v>40</v>
          </cell>
          <cell r="BQ480">
            <v>40</v>
          </cell>
          <cell r="BR480">
            <v>40</v>
          </cell>
          <cell r="BS480">
            <v>40</v>
          </cell>
          <cell r="BT480">
            <v>40</v>
          </cell>
          <cell r="BU480">
            <v>40</v>
          </cell>
          <cell r="BV480">
            <v>40</v>
          </cell>
        </row>
        <row r="481">
          <cell r="A481" t="str">
            <v>Blank</v>
          </cell>
          <cell r="B481" t="str">
            <v>Blank</v>
          </cell>
          <cell r="D481" t="str">
            <v>SHIFT A HC  - efficiency</v>
          </cell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>
            <v>1.0000000000000004</v>
          </cell>
          <cell r="BL481">
            <v>1.0000000000000004</v>
          </cell>
          <cell r="BM481">
            <v>1.0000000000000004</v>
          </cell>
          <cell r="BN481">
            <v>1</v>
          </cell>
          <cell r="BO481">
            <v>1</v>
          </cell>
          <cell r="BP481">
            <v>1</v>
          </cell>
          <cell r="BQ481">
            <v>1</v>
          </cell>
          <cell r="BR481">
            <v>1</v>
          </cell>
          <cell r="BS481">
            <v>1</v>
          </cell>
          <cell r="BT481">
            <v>1</v>
          </cell>
          <cell r="BU481">
            <v>1</v>
          </cell>
          <cell r="BV481">
            <v>1.2</v>
          </cell>
        </row>
        <row r="482">
          <cell r="A482" t="str">
            <v>Blank</v>
          </cell>
          <cell r="B482" t="str">
            <v>Blank</v>
          </cell>
          <cell r="D482" t="str">
            <v>SHIFT B HC  - efficiency</v>
          </cell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>
            <v>1</v>
          </cell>
          <cell r="BL482">
            <v>1</v>
          </cell>
          <cell r="BM482">
            <v>1</v>
          </cell>
          <cell r="BN482">
            <v>1</v>
          </cell>
          <cell r="BO482">
            <v>1</v>
          </cell>
          <cell r="BP482">
            <v>1</v>
          </cell>
          <cell r="BQ482">
            <v>1</v>
          </cell>
          <cell r="BR482">
            <v>1</v>
          </cell>
          <cell r="BS482">
            <v>1</v>
          </cell>
          <cell r="BT482">
            <v>1</v>
          </cell>
          <cell r="BU482">
            <v>1</v>
          </cell>
          <cell r="BV482">
            <v>1.2</v>
          </cell>
        </row>
        <row r="483">
          <cell r="A483" t="str">
            <v>Blank</v>
          </cell>
          <cell r="B483" t="str">
            <v>Blank</v>
          </cell>
          <cell r="D483" t="str">
            <v>SHIFT C HC  - efficiency</v>
          </cell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</row>
        <row r="484">
          <cell r="A484" t="str">
            <v>Blank</v>
          </cell>
          <cell r="B484" t="str">
            <v>Blank</v>
          </cell>
          <cell r="D484" t="str">
            <v>Total efficiency</v>
          </cell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</row>
        <row r="485">
          <cell r="A485" t="str">
            <v>Blank</v>
          </cell>
          <cell r="B485" t="str">
            <v>Blank</v>
          </cell>
          <cell r="D485" t="str">
            <v>SHIFT A - output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84.317032040472213</v>
          </cell>
          <cell r="BL485">
            <v>84.317032040472213</v>
          </cell>
          <cell r="BM485">
            <v>84.317032040472213</v>
          </cell>
          <cell r="BN485">
            <v>84.317032040472171</v>
          </cell>
          <cell r="BO485">
            <v>84.317032040472171</v>
          </cell>
          <cell r="BP485">
            <v>84.317032040472171</v>
          </cell>
          <cell r="BQ485">
            <v>84.317032040472171</v>
          </cell>
          <cell r="BR485">
            <v>84.317032040472171</v>
          </cell>
          <cell r="BS485">
            <v>84.317032040472171</v>
          </cell>
          <cell r="BT485">
            <v>84.317032040472171</v>
          </cell>
          <cell r="BU485">
            <v>84.317032040472171</v>
          </cell>
          <cell r="BV485">
            <v>101.1804384485666</v>
          </cell>
        </row>
        <row r="486">
          <cell r="A486" t="str">
            <v>Blank</v>
          </cell>
          <cell r="B486" t="str">
            <v>Blank</v>
          </cell>
          <cell r="D486" t="str">
            <v>SHIFT B  - output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84.317032040472171</v>
          </cell>
          <cell r="BL486">
            <v>84.317032040472171</v>
          </cell>
          <cell r="BM486">
            <v>84.317032040472171</v>
          </cell>
          <cell r="BN486">
            <v>84.317032040472171</v>
          </cell>
          <cell r="BO486">
            <v>84.317032040472171</v>
          </cell>
          <cell r="BP486">
            <v>84.317032040472171</v>
          </cell>
          <cell r="BQ486">
            <v>84.317032040472171</v>
          </cell>
          <cell r="BR486">
            <v>84.317032040472171</v>
          </cell>
          <cell r="BS486">
            <v>84.317032040472171</v>
          </cell>
          <cell r="BT486">
            <v>84.317032040472171</v>
          </cell>
          <cell r="BU486">
            <v>84.317032040472171</v>
          </cell>
          <cell r="BV486">
            <v>101.1804384485666</v>
          </cell>
        </row>
        <row r="487">
          <cell r="A487" t="str">
            <v>Blank</v>
          </cell>
          <cell r="B487" t="str">
            <v>Blank</v>
          </cell>
          <cell r="D487" t="str">
            <v>SHIFT C  - output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</row>
        <row r="488">
          <cell r="A488" t="str">
            <v>Blank</v>
          </cell>
          <cell r="B488" t="str">
            <v>Blank</v>
          </cell>
          <cell r="D488" t="str">
            <v>Est. Output (Pcs day)</v>
          </cell>
          <cell r="E488">
            <v>106.74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168.63406408094437</v>
          </cell>
          <cell r="BL488">
            <v>168.63406408094437</v>
          </cell>
          <cell r="BM488">
            <v>168.63406408094437</v>
          </cell>
          <cell r="BN488">
            <v>168.63406408094434</v>
          </cell>
          <cell r="BO488">
            <v>168.63406408094434</v>
          </cell>
          <cell r="BP488">
            <v>168.63406408094434</v>
          </cell>
          <cell r="BQ488">
            <v>168.63406408094434</v>
          </cell>
          <cell r="BR488">
            <v>168.63406408094434</v>
          </cell>
          <cell r="BS488">
            <v>168.63406408094434</v>
          </cell>
          <cell r="BT488">
            <v>168.63406408094434</v>
          </cell>
          <cell r="BU488">
            <v>168.63406408094434</v>
          </cell>
          <cell r="BV488">
            <v>202.36087689713321</v>
          </cell>
        </row>
        <row r="489">
          <cell r="A489" t="str">
            <v>Blank</v>
          </cell>
          <cell r="B489" t="str">
            <v>Blank</v>
          </cell>
          <cell r="D489" t="str">
            <v>Weekly Output PLAN</v>
          </cell>
          <cell r="E489" t="str">
            <v>SEW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843.17032040472191</v>
          </cell>
          <cell r="BL489">
            <v>843.17032040472191</v>
          </cell>
          <cell r="BM489">
            <v>843.17032040472191</v>
          </cell>
          <cell r="BN489">
            <v>843.17032040472168</v>
          </cell>
          <cell r="BO489">
            <v>843.17032040472168</v>
          </cell>
          <cell r="BP489">
            <v>843.17032040472168</v>
          </cell>
          <cell r="BQ489">
            <v>843.17032040472168</v>
          </cell>
          <cell r="BR489">
            <v>843.17032040472168</v>
          </cell>
          <cell r="BS489">
            <v>843.17032040472168</v>
          </cell>
          <cell r="BT489">
            <v>843.17032040472168</v>
          </cell>
          <cell r="BU489">
            <v>843.17032040472168</v>
          </cell>
          <cell r="BV489">
            <v>1011.8043844856661</v>
          </cell>
        </row>
        <row r="490">
          <cell r="A490" t="str">
            <v>Blank</v>
          </cell>
          <cell r="B490" t="str">
            <v>Blank</v>
          </cell>
          <cell r="D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</row>
        <row r="491">
          <cell r="A491" t="str">
            <v>Blank</v>
          </cell>
          <cell r="B491" t="str">
            <v>Blank</v>
          </cell>
          <cell r="D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</row>
        <row r="492">
          <cell r="A492" t="str">
            <v>Blank</v>
          </cell>
          <cell r="B492" t="str">
            <v>Blank</v>
          </cell>
          <cell r="D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</row>
        <row r="493">
          <cell r="A493" t="str">
            <v>Blank</v>
          </cell>
          <cell r="B493" t="str">
            <v>Blank</v>
          </cell>
          <cell r="D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</row>
        <row r="494">
          <cell r="A494" t="str">
            <v>Blank</v>
          </cell>
          <cell r="B494" t="str">
            <v>Blank</v>
          </cell>
          <cell r="D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</row>
        <row r="495">
          <cell r="A495" t="str">
            <v>Blank</v>
          </cell>
          <cell r="B495" t="str">
            <v>Blank</v>
          </cell>
          <cell r="D495" t="str">
            <v>Weekly Output PLAN - SUM of models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</row>
        <row r="496">
          <cell r="A496" t="str">
            <v>Blank</v>
          </cell>
          <cell r="B496" t="str">
            <v>Blank</v>
          </cell>
          <cell r="D496" t="str">
            <v>Weekly Output CHECK with TO time multiple</v>
          </cell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</row>
        <row r="497">
          <cell r="A497" t="str">
            <v>Blank</v>
          </cell>
          <cell r="B497" t="str">
            <v>Blank</v>
          </cell>
          <cell r="D497" t="str">
            <v>Weekly Output ACT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843.17032040472191</v>
          </cell>
          <cell r="BL497">
            <v>843.17032040472191</v>
          </cell>
          <cell r="BM497">
            <v>843.17032040472191</v>
          </cell>
          <cell r="BN497">
            <v>843.17032040472168</v>
          </cell>
          <cell r="BO497">
            <v>843.17032040472168</v>
          </cell>
          <cell r="BP497">
            <v>843.17032040472168</v>
          </cell>
          <cell r="BQ497">
            <v>843.17032040472168</v>
          </cell>
          <cell r="BR497">
            <v>843.17032040472168</v>
          </cell>
          <cell r="BS497">
            <v>843.17032040472168</v>
          </cell>
          <cell r="BT497">
            <v>843.17032040472168</v>
          </cell>
          <cell r="BU497">
            <v>843.17032040472168</v>
          </cell>
          <cell r="BV497">
            <v>1011.8043844856661</v>
          </cell>
        </row>
        <row r="498">
          <cell r="A498" t="str">
            <v>Blank</v>
          </cell>
          <cell r="B498" t="str">
            <v>Blank</v>
          </cell>
          <cell r="D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</row>
        <row r="499">
          <cell r="A499" t="str">
            <v>Blank</v>
          </cell>
          <cell r="B499" t="str">
            <v>Blank</v>
          </cell>
          <cell r="D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</row>
        <row r="500">
          <cell r="A500" t="str">
            <v>Blank</v>
          </cell>
          <cell r="B500" t="str">
            <v>Blank</v>
          </cell>
          <cell r="D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</row>
        <row r="501">
          <cell r="A501" t="str">
            <v>Blank</v>
          </cell>
          <cell r="B501" t="str">
            <v>Blank</v>
          </cell>
          <cell r="D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</row>
        <row r="502">
          <cell r="A502" t="str">
            <v>Blank</v>
          </cell>
          <cell r="B502" t="str">
            <v>Blank</v>
          </cell>
          <cell r="D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</row>
        <row r="503">
          <cell r="A503" t="str">
            <v>Blank</v>
          </cell>
          <cell r="B503" t="str">
            <v>Blank</v>
          </cell>
          <cell r="D503" t="str">
            <v>Weekly demand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</row>
        <row r="504">
          <cell r="A504" t="str">
            <v>Blank</v>
          </cell>
          <cell r="B504" t="str">
            <v>Blank</v>
          </cell>
          <cell r="D504" t="str">
            <v>Stock Target</v>
          </cell>
          <cell r="Z504">
            <v>1000</v>
          </cell>
          <cell r="AA504">
            <v>1000</v>
          </cell>
          <cell r="AB504">
            <v>1000</v>
          </cell>
          <cell r="AC504">
            <v>1000</v>
          </cell>
          <cell r="AD504">
            <v>1000</v>
          </cell>
          <cell r="AE504">
            <v>1000</v>
          </cell>
          <cell r="AF504">
            <v>1000</v>
          </cell>
          <cell r="AG504">
            <v>1000</v>
          </cell>
          <cell r="AH504">
            <v>1000</v>
          </cell>
          <cell r="AI504">
            <v>1000</v>
          </cell>
          <cell r="AJ504">
            <v>1000</v>
          </cell>
          <cell r="AK504">
            <v>1000</v>
          </cell>
          <cell r="AL504">
            <v>1000</v>
          </cell>
          <cell r="AM504">
            <v>1000</v>
          </cell>
          <cell r="AN504">
            <v>1000</v>
          </cell>
          <cell r="AO504">
            <v>1000</v>
          </cell>
          <cell r="AP504">
            <v>1000</v>
          </cell>
          <cell r="AQ504">
            <v>1000</v>
          </cell>
          <cell r="AR504">
            <v>1000</v>
          </cell>
          <cell r="AS504">
            <v>1000</v>
          </cell>
          <cell r="AT504">
            <v>1000</v>
          </cell>
          <cell r="AU504">
            <v>1000</v>
          </cell>
          <cell r="AV504">
            <v>1000</v>
          </cell>
          <cell r="AW504">
            <v>1000</v>
          </cell>
          <cell r="AX504">
            <v>1000</v>
          </cell>
          <cell r="AY504">
            <v>1000</v>
          </cell>
          <cell r="AZ504">
            <v>1000</v>
          </cell>
          <cell r="BA504">
            <v>1000</v>
          </cell>
          <cell r="BB504">
            <v>1000</v>
          </cell>
          <cell r="BC504">
            <v>1000</v>
          </cell>
          <cell r="BD504">
            <v>1000</v>
          </cell>
          <cell r="BE504">
            <v>1000</v>
          </cell>
          <cell r="BF504">
            <v>1000</v>
          </cell>
          <cell r="BG504">
            <v>1000</v>
          </cell>
          <cell r="BH504">
            <v>1000</v>
          </cell>
          <cell r="BI504">
            <v>1000</v>
          </cell>
          <cell r="BJ504">
            <v>1000</v>
          </cell>
          <cell r="BK504">
            <v>1000</v>
          </cell>
          <cell r="BL504">
            <v>1000</v>
          </cell>
          <cell r="BM504">
            <v>1000</v>
          </cell>
          <cell r="BN504">
            <v>1000</v>
          </cell>
          <cell r="BO504">
            <v>1000</v>
          </cell>
          <cell r="BP504">
            <v>1000</v>
          </cell>
          <cell r="BQ504">
            <v>1000</v>
          </cell>
          <cell r="BR504">
            <v>1000</v>
          </cell>
          <cell r="BS504">
            <v>1000</v>
          </cell>
          <cell r="BT504">
            <v>1000</v>
          </cell>
          <cell r="BU504">
            <v>1000</v>
          </cell>
          <cell r="BV504">
            <v>1000</v>
          </cell>
        </row>
        <row r="505">
          <cell r="A505" t="str">
            <v>Blank</v>
          </cell>
          <cell r="B505" t="str">
            <v>Blank</v>
          </cell>
          <cell r="D505"/>
          <cell r="Z505">
            <v>840</v>
          </cell>
          <cell r="AA505">
            <v>840</v>
          </cell>
          <cell r="AB505">
            <v>840</v>
          </cell>
          <cell r="AC505">
            <v>840</v>
          </cell>
          <cell r="AD505">
            <v>840</v>
          </cell>
          <cell r="AE505">
            <v>840</v>
          </cell>
          <cell r="AF505">
            <v>840</v>
          </cell>
          <cell r="AG505">
            <v>840</v>
          </cell>
          <cell r="AH505">
            <v>840</v>
          </cell>
          <cell r="AI505">
            <v>840</v>
          </cell>
          <cell r="AJ505">
            <v>840</v>
          </cell>
          <cell r="AK505">
            <v>840</v>
          </cell>
          <cell r="AL505">
            <v>840</v>
          </cell>
          <cell r="AM505">
            <v>840</v>
          </cell>
          <cell r="AN505">
            <v>840</v>
          </cell>
          <cell r="AO505">
            <v>840</v>
          </cell>
          <cell r="AP505">
            <v>840</v>
          </cell>
          <cell r="AQ505">
            <v>840</v>
          </cell>
          <cell r="AR505">
            <v>840</v>
          </cell>
          <cell r="AS505">
            <v>840</v>
          </cell>
          <cell r="AT505">
            <v>840</v>
          </cell>
          <cell r="AU505">
            <v>840</v>
          </cell>
          <cell r="AV505">
            <v>840</v>
          </cell>
          <cell r="AW505">
            <v>840</v>
          </cell>
          <cell r="AX505">
            <v>840</v>
          </cell>
          <cell r="AY505">
            <v>840</v>
          </cell>
          <cell r="AZ505">
            <v>840</v>
          </cell>
          <cell r="BA505">
            <v>840</v>
          </cell>
          <cell r="BB505">
            <v>840</v>
          </cell>
          <cell r="BC505">
            <v>840</v>
          </cell>
          <cell r="BD505">
            <v>840</v>
          </cell>
          <cell r="BE505">
            <v>840</v>
          </cell>
          <cell r="BF505">
            <v>840</v>
          </cell>
          <cell r="BG505">
            <v>840</v>
          </cell>
          <cell r="BH505">
            <v>840</v>
          </cell>
          <cell r="BI505">
            <v>840</v>
          </cell>
          <cell r="BJ505">
            <v>840</v>
          </cell>
          <cell r="BK505">
            <v>840</v>
          </cell>
          <cell r="BL505">
            <v>840</v>
          </cell>
          <cell r="BM505">
            <v>840</v>
          </cell>
          <cell r="BN505">
            <v>840</v>
          </cell>
          <cell r="BO505">
            <v>840</v>
          </cell>
          <cell r="BP505">
            <v>840</v>
          </cell>
          <cell r="BQ505">
            <v>840</v>
          </cell>
          <cell r="BR505">
            <v>840</v>
          </cell>
          <cell r="BS505">
            <v>840</v>
          </cell>
          <cell r="BT505">
            <v>840</v>
          </cell>
          <cell r="BU505">
            <v>840</v>
          </cell>
          <cell r="BV505">
            <v>840</v>
          </cell>
        </row>
        <row r="506">
          <cell r="A506" t="str">
            <v>Blank</v>
          </cell>
          <cell r="B506" t="str">
            <v>Blank</v>
          </cell>
          <cell r="D506"/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</row>
        <row r="507">
          <cell r="A507" t="str">
            <v>Blank</v>
          </cell>
          <cell r="B507" t="str">
            <v>Blank</v>
          </cell>
          <cell r="D507"/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</row>
        <row r="508">
          <cell r="A508" t="str">
            <v>Blank</v>
          </cell>
          <cell r="B508" t="str">
            <v>Blank</v>
          </cell>
          <cell r="D508"/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</row>
        <row r="509">
          <cell r="A509" t="str">
            <v>Blank</v>
          </cell>
          <cell r="B509" t="str">
            <v>Blank</v>
          </cell>
          <cell r="D509"/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</row>
        <row r="510">
          <cell r="A510"/>
          <cell r="D510" t="str">
            <v>STOCK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843.17032040472191</v>
          </cell>
          <cell r="BL510">
            <v>1686.3406408094438</v>
          </cell>
          <cell r="BM510">
            <v>2529.5109612141659</v>
          </cell>
          <cell r="BN510">
            <v>3372.6812816188876</v>
          </cell>
          <cell r="BO510">
            <v>4215.8516020236093</v>
          </cell>
          <cell r="BP510">
            <v>5059.021922428331</v>
          </cell>
          <cell r="BQ510">
            <v>5902.1922428330527</v>
          </cell>
          <cell r="BR510">
            <v>6745.3625632377743</v>
          </cell>
          <cell r="BS510">
            <v>7588.532883642496</v>
          </cell>
          <cell r="BT510">
            <v>8431.7032040472186</v>
          </cell>
          <cell r="BU510">
            <v>9274.8735244519412</v>
          </cell>
          <cell r="BV510">
            <v>10286.677908937607</v>
          </cell>
        </row>
        <row r="511">
          <cell r="A511" t="str">
            <v>Blank</v>
          </cell>
          <cell r="B511" t="str">
            <v>Blank</v>
          </cell>
          <cell r="D511" t="str">
            <v>Blank</v>
          </cell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</row>
        <row r="512">
          <cell r="A512" t="str">
            <v>Nissan</v>
          </cell>
          <cell r="B512" t="str">
            <v>PZ1D</v>
          </cell>
          <cell r="D512" t="str">
            <v>Work days</v>
          </cell>
          <cell r="Z512">
            <v>5</v>
          </cell>
          <cell r="AA512">
            <v>5</v>
          </cell>
          <cell r="AB512">
            <v>0</v>
          </cell>
          <cell r="AC512">
            <v>0</v>
          </cell>
          <cell r="AD512">
            <v>3</v>
          </cell>
          <cell r="AE512">
            <v>5</v>
          </cell>
          <cell r="AF512">
            <v>5</v>
          </cell>
          <cell r="AG512">
            <v>5</v>
          </cell>
          <cell r="AH512">
            <v>5</v>
          </cell>
          <cell r="AI512">
            <v>5</v>
          </cell>
          <cell r="AJ512">
            <v>5</v>
          </cell>
          <cell r="AK512">
            <v>4</v>
          </cell>
          <cell r="AL512">
            <v>4</v>
          </cell>
          <cell r="AM512">
            <v>5</v>
          </cell>
          <cell r="AN512">
            <v>4</v>
          </cell>
          <cell r="AO512">
            <v>5</v>
          </cell>
          <cell r="AP512">
            <v>5</v>
          </cell>
          <cell r="AQ512">
            <v>5</v>
          </cell>
          <cell r="AR512">
            <v>5</v>
          </cell>
          <cell r="AS512">
            <v>5</v>
          </cell>
          <cell r="AT512">
            <v>5</v>
          </cell>
          <cell r="AU512">
            <v>5</v>
          </cell>
          <cell r="AV512">
            <v>5</v>
          </cell>
          <cell r="AW512">
            <v>5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5</v>
          </cell>
          <cell r="BC512">
            <v>5</v>
          </cell>
          <cell r="BD512">
            <v>5</v>
          </cell>
          <cell r="BE512">
            <v>5</v>
          </cell>
          <cell r="BF512">
            <v>5</v>
          </cell>
          <cell r="BG512">
            <v>5</v>
          </cell>
          <cell r="BH512">
            <v>5</v>
          </cell>
          <cell r="BI512">
            <v>5</v>
          </cell>
          <cell r="BJ512">
            <v>5</v>
          </cell>
          <cell r="BK512">
            <v>5</v>
          </cell>
          <cell r="BL512">
            <v>5</v>
          </cell>
          <cell r="BM512">
            <v>5</v>
          </cell>
          <cell r="BN512">
            <v>5</v>
          </cell>
          <cell r="BO512">
            <v>5</v>
          </cell>
          <cell r="BP512">
            <v>5</v>
          </cell>
          <cell r="BQ512">
            <v>5</v>
          </cell>
          <cell r="BR512">
            <v>5</v>
          </cell>
          <cell r="BS512">
            <v>5</v>
          </cell>
          <cell r="BT512">
            <v>5</v>
          </cell>
          <cell r="BU512">
            <v>5</v>
          </cell>
          <cell r="BV512">
            <v>5</v>
          </cell>
        </row>
        <row r="513">
          <cell r="A513" t="str">
            <v>Nissan</v>
          </cell>
          <cell r="B513" t="str">
            <v>PZ1D</v>
          </cell>
          <cell r="D513" t="str">
            <v>SHIFT A HC - operators</v>
          </cell>
          <cell r="Z513">
            <v>24</v>
          </cell>
          <cell r="AA513">
            <v>21</v>
          </cell>
          <cell r="AB513">
            <v>21</v>
          </cell>
          <cell r="AC513">
            <v>21</v>
          </cell>
          <cell r="AD513">
            <v>21</v>
          </cell>
          <cell r="AE513">
            <v>21</v>
          </cell>
          <cell r="AF513">
            <v>21</v>
          </cell>
          <cell r="AG513">
            <v>21</v>
          </cell>
          <cell r="AH513">
            <v>21</v>
          </cell>
          <cell r="AI513">
            <v>21</v>
          </cell>
          <cell r="AJ513">
            <v>21</v>
          </cell>
          <cell r="AK513">
            <v>21</v>
          </cell>
          <cell r="AL513">
            <v>21</v>
          </cell>
          <cell r="AM513">
            <v>21</v>
          </cell>
          <cell r="AN513">
            <v>21</v>
          </cell>
          <cell r="AO513">
            <v>21</v>
          </cell>
          <cell r="AP513">
            <v>21</v>
          </cell>
          <cell r="AQ513">
            <v>21</v>
          </cell>
          <cell r="AR513">
            <v>21</v>
          </cell>
          <cell r="AS513">
            <v>21</v>
          </cell>
          <cell r="AT513">
            <v>21</v>
          </cell>
          <cell r="AU513">
            <v>21</v>
          </cell>
          <cell r="AV513">
            <v>21</v>
          </cell>
          <cell r="AW513">
            <v>21</v>
          </cell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>
            <v>21</v>
          </cell>
          <cell r="BL513">
            <v>21</v>
          </cell>
          <cell r="BM513">
            <v>21</v>
          </cell>
          <cell r="BN513">
            <v>21</v>
          </cell>
          <cell r="BO513">
            <v>21</v>
          </cell>
          <cell r="BP513">
            <v>21</v>
          </cell>
          <cell r="BQ513">
            <v>21</v>
          </cell>
          <cell r="BR513">
            <v>21</v>
          </cell>
          <cell r="BS513">
            <v>21</v>
          </cell>
          <cell r="BT513">
            <v>21</v>
          </cell>
          <cell r="BU513">
            <v>21</v>
          </cell>
          <cell r="BV513">
            <v>20</v>
          </cell>
        </row>
        <row r="514">
          <cell r="A514" t="str">
            <v>Nissan</v>
          </cell>
          <cell r="B514" t="str">
            <v>PZ1D</v>
          </cell>
          <cell r="D514" t="str">
            <v>SHIFT B HC  - operators</v>
          </cell>
          <cell r="Z514"/>
          <cell r="AA514"/>
          <cell r="AB514"/>
          <cell r="AC514">
            <v>21</v>
          </cell>
          <cell r="AD514">
            <v>21</v>
          </cell>
          <cell r="AE514">
            <v>21</v>
          </cell>
          <cell r="AF514">
            <v>21</v>
          </cell>
          <cell r="AG514">
            <v>21</v>
          </cell>
          <cell r="AH514">
            <v>21</v>
          </cell>
          <cell r="AI514">
            <v>21</v>
          </cell>
          <cell r="AJ514">
            <v>21</v>
          </cell>
          <cell r="AK514">
            <v>21</v>
          </cell>
          <cell r="AL514">
            <v>21</v>
          </cell>
          <cell r="AM514">
            <v>21</v>
          </cell>
          <cell r="AN514">
            <v>21</v>
          </cell>
          <cell r="AO514">
            <v>21</v>
          </cell>
          <cell r="AP514">
            <v>21</v>
          </cell>
          <cell r="AQ514">
            <v>21</v>
          </cell>
          <cell r="AR514">
            <v>21</v>
          </cell>
          <cell r="AS514">
            <v>21</v>
          </cell>
          <cell r="AT514">
            <v>21</v>
          </cell>
          <cell r="AU514">
            <v>21</v>
          </cell>
          <cell r="AV514">
            <v>21</v>
          </cell>
          <cell r="AW514">
            <v>21</v>
          </cell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>
            <v>21</v>
          </cell>
          <cell r="BL514">
            <v>21</v>
          </cell>
          <cell r="BM514">
            <v>21</v>
          </cell>
          <cell r="BN514">
            <v>21</v>
          </cell>
          <cell r="BO514">
            <v>21</v>
          </cell>
          <cell r="BP514">
            <v>21</v>
          </cell>
          <cell r="BQ514">
            <v>21</v>
          </cell>
          <cell r="BR514">
            <v>21</v>
          </cell>
          <cell r="BS514">
            <v>21</v>
          </cell>
          <cell r="BT514">
            <v>21</v>
          </cell>
          <cell r="BU514">
            <v>21</v>
          </cell>
          <cell r="BV514">
            <v>20</v>
          </cell>
        </row>
        <row r="515">
          <cell r="A515" t="str">
            <v>Nissan</v>
          </cell>
          <cell r="B515" t="str">
            <v>PZ1D</v>
          </cell>
          <cell r="D515" t="str">
            <v>SHIFT C HC  - operators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</row>
        <row r="516">
          <cell r="A516" t="str">
            <v>Nissan</v>
          </cell>
          <cell r="B516" t="str">
            <v>PZ1D</v>
          </cell>
          <cell r="D516" t="str">
            <v>Total HC</v>
          </cell>
          <cell r="Z516">
            <v>24</v>
          </cell>
          <cell r="AA516">
            <v>21</v>
          </cell>
          <cell r="AB516">
            <v>21</v>
          </cell>
          <cell r="AC516">
            <v>42</v>
          </cell>
          <cell r="AD516">
            <v>42</v>
          </cell>
          <cell r="AE516">
            <v>42</v>
          </cell>
          <cell r="AF516">
            <v>42</v>
          </cell>
          <cell r="AG516">
            <v>42</v>
          </cell>
          <cell r="AH516">
            <v>42</v>
          </cell>
          <cell r="AI516">
            <v>42</v>
          </cell>
          <cell r="AJ516">
            <v>42</v>
          </cell>
          <cell r="AK516">
            <v>42</v>
          </cell>
          <cell r="AL516">
            <v>42</v>
          </cell>
          <cell r="AM516">
            <v>42</v>
          </cell>
          <cell r="AN516">
            <v>42</v>
          </cell>
          <cell r="AO516">
            <v>42</v>
          </cell>
          <cell r="AP516">
            <v>42</v>
          </cell>
          <cell r="AQ516">
            <v>42</v>
          </cell>
          <cell r="AR516">
            <v>42</v>
          </cell>
          <cell r="AS516">
            <v>42</v>
          </cell>
          <cell r="AT516">
            <v>42</v>
          </cell>
          <cell r="AU516">
            <v>42</v>
          </cell>
          <cell r="AV516">
            <v>42</v>
          </cell>
          <cell r="AW516">
            <v>42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42</v>
          </cell>
          <cell r="BL516">
            <v>42</v>
          </cell>
          <cell r="BM516">
            <v>42</v>
          </cell>
          <cell r="BN516">
            <v>42</v>
          </cell>
          <cell r="BO516">
            <v>42</v>
          </cell>
          <cell r="BP516">
            <v>42</v>
          </cell>
          <cell r="BQ516">
            <v>42</v>
          </cell>
          <cell r="BR516">
            <v>42</v>
          </cell>
          <cell r="BS516">
            <v>42</v>
          </cell>
          <cell r="BT516">
            <v>42</v>
          </cell>
          <cell r="BU516">
            <v>42</v>
          </cell>
          <cell r="BV516">
            <v>40</v>
          </cell>
        </row>
        <row r="517">
          <cell r="A517" t="str">
            <v>Nissan</v>
          </cell>
          <cell r="B517" t="str">
            <v>PZ1D</v>
          </cell>
          <cell r="D517" t="str">
            <v>SHIFT A HC  - efficiency</v>
          </cell>
          <cell r="Z517">
            <v>0.8</v>
          </cell>
          <cell r="AA517">
            <v>0.85000000000000009</v>
          </cell>
          <cell r="AB517">
            <v>0.90000000000000013</v>
          </cell>
          <cell r="AC517">
            <v>0.92000000000000015</v>
          </cell>
          <cell r="AD517">
            <v>0.94000000000000017</v>
          </cell>
          <cell r="AE517">
            <v>0.96000000000000019</v>
          </cell>
          <cell r="AF517">
            <v>0.9800000000000002</v>
          </cell>
          <cell r="AG517">
            <v>1</v>
          </cell>
          <cell r="AH517">
            <v>1.05</v>
          </cell>
          <cell r="AI517">
            <v>1.1000000000000001</v>
          </cell>
          <cell r="AJ517">
            <v>1.1000000000000001</v>
          </cell>
          <cell r="AK517">
            <v>1.1000000000000001</v>
          </cell>
          <cell r="AL517">
            <v>1.1000000000000001</v>
          </cell>
          <cell r="AM517">
            <v>1.1000000000000001</v>
          </cell>
          <cell r="AN517">
            <v>1.1000000000000001</v>
          </cell>
          <cell r="AO517">
            <v>1.1000000000000001</v>
          </cell>
          <cell r="AP517">
            <v>1.1000000000000001</v>
          </cell>
          <cell r="AQ517">
            <v>1.1000000000000001</v>
          </cell>
          <cell r="AR517">
            <v>1.1000000000000001</v>
          </cell>
          <cell r="AS517">
            <v>1.1000000000000001</v>
          </cell>
          <cell r="AT517">
            <v>1.1000000000000001</v>
          </cell>
          <cell r="AU517">
            <v>1.1000000000000001</v>
          </cell>
          <cell r="AV517">
            <v>1.1000000000000001</v>
          </cell>
          <cell r="AW517">
            <v>1.1000000000000001</v>
          </cell>
          <cell r="AX517">
            <v>1.1000000000000001</v>
          </cell>
          <cell r="AY517">
            <v>1.1000000000000001</v>
          </cell>
          <cell r="AZ517">
            <v>1</v>
          </cell>
          <cell r="BA517">
            <v>1</v>
          </cell>
          <cell r="BB517">
            <v>1</v>
          </cell>
          <cell r="BC517">
            <v>1</v>
          </cell>
          <cell r="BD517">
            <v>1</v>
          </cell>
          <cell r="BE517">
            <v>1</v>
          </cell>
          <cell r="BF517">
            <v>1</v>
          </cell>
          <cell r="BG517">
            <v>1</v>
          </cell>
          <cell r="BH517">
            <v>1</v>
          </cell>
          <cell r="BI517">
            <v>1</v>
          </cell>
          <cell r="BJ517">
            <v>1</v>
          </cell>
          <cell r="BK517">
            <v>1</v>
          </cell>
          <cell r="BL517">
            <v>1</v>
          </cell>
          <cell r="BM517">
            <v>1</v>
          </cell>
          <cell r="BN517">
            <v>1</v>
          </cell>
          <cell r="BO517">
            <v>1</v>
          </cell>
          <cell r="BP517">
            <v>1</v>
          </cell>
          <cell r="BQ517">
            <v>1</v>
          </cell>
          <cell r="BR517">
            <v>1</v>
          </cell>
          <cell r="BS517">
            <v>1</v>
          </cell>
          <cell r="BT517">
            <v>1</v>
          </cell>
          <cell r="BU517">
            <v>1</v>
          </cell>
          <cell r="BV517">
            <v>1.2</v>
          </cell>
        </row>
        <row r="518">
          <cell r="A518" t="str">
            <v>Nissan</v>
          </cell>
          <cell r="B518" t="str">
            <v>PZ1D</v>
          </cell>
          <cell r="D518" t="str">
            <v>SHIFT B HC  - efficiency</v>
          </cell>
          <cell r="Z518"/>
          <cell r="AA518"/>
          <cell r="AB518"/>
          <cell r="AC518">
            <v>0.60000000000000009</v>
          </cell>
          <cell r="AD518">
            <v>0.65000000000000013</v>
          </cell>
          <cell r="AE518">
            <v>0.70000000000000018</v>
          </cell>
          <cell r="AF518">
            <v>0.75000000000000022</v>
          </cell>
          <cell r="AG518">
            <v>0.80000000000000027</v>
          </cell>
          <cell r="AH518">
            <v>0.85000000000000031</v>
          </cell>
          <cell r="AI518">
            <v>0.90000000000000036</v>
          </cell>
          <cell r="AJ518">
            <v>0.9500000000000004</v>
          </cell>
          <cell r="AK518">
            <v>1.0000000000000004</v>
          </cell>
          <cell r="AL518">
            <v>1.1000000000000001</v>
          </cell>
          <cell r="AM518">
            <v>1.1000000000000001</v>
          </cell>
          <cell r="AN518">
            <v>1.1000000000000001</v>
          </cell>
          <cell r="AO518">
            <v>1.1000000000000001</v>
          </cell>
          <cell r="AP518">
            <v>1.1000000000000001</v>
          </cell>
          <cell r="AQ518">
            <v>1.1000000000000001</v>
          </cell>
          <cell r="AR518">
            <v>1.1000000000000001</v>
          </cell>
          <cell r="AS518">
            <v>1.1000000000000001</v>
          </cell>
          <cell r="AT518">
            <v>1.1000000000000001</v>
          </cell>
          <cell r="AU518">
            <v>1.1000000000000001</v>
          </cell>
          <cell r="AV518">
            <v>1.1000000000000001</v>
          </cell>
          <cell r="AW518">
            <v>1.1000000000000001</v>
          </cell>
          <cell r="AX518">
            <v>1.1000000000000001</v>
          </cell>
          <cell r="AY518">
            <v>1.1000000000000001</v>
          </cell>
          <cell r="AZ518">
            <v>1.1000000000000001</v>
          </cell>
          <cell r="BA518">
            <v>1.1000000000000001</v>
          </cell>
          <cell r="BB518">
            <v>1</v>
          </cell>
          <cell r="BC518">
            <v>1</v>
          </cell>
          <cell r="BD518">
            <v>1</v>
          </cell>
          <cell r="BE518">
            <v>1</v>
          </cell>
          <cell r="BF518"/>
          <cell r="BG518"/>
          <cell r="BH518"/>
          <cell r="BI518"/>
          <cell r="BJ518"/>
          <cell r="BK518">
            <v>1</v>
          </cell>
          <cell r="BL518">
            <v>1</v>
          </cell>
          <cell r="BM518">
            <v>1</v>
          </cell>
          <cell r="BN518">
            <v>1</v>
          </cell>
          <cell r="BO518">
            <v>1</v>
          </cell>
          <cell r="BP518">
            <v>1</v>
          </cell>
          <cell r="BQ518">
            <v>1</v>
          </cell>
          <cell r="BR518">
            <v>1</v>
          </cell>
          <cell r="BS518">
            <v>1</v>
          </cell>
          <cell r="BT518">
            <v>1</v>
          </cell>
          <cell r="BU518">
            <v>1</v>
          </cell>
          <cell r="BV518">
            <v>1</v>
          </cell>
        </row>
        <row r="519">
          <cell r="A519" t="str">
            <v>Nissan</v>
          </cell>
          <cell r="B519" t="str">
            <v>PZ1D</v>
          </cell>
          <cell r="D519" t="str">
            <v>SHIFT C HC  - efficiency</v>
          </cell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>
            <v>1</v>
          </cell>
          <cell r="BL519">
            <v>1</v>
          </cell>
          <cell r="BM519">
            <v>1</v>
          </cell>
          <cell r="BN519">
            <v>1</v>
          </cell>
          <cell r="BO519">
            <v>1</v>
          </cell>
          <cell r="BP519">
            <v>1</v>
          </cell>
          <cell r="BQ519">
            <v>1</v>
          </cell>
          <cell r="BR519">
            <v>1</v>
          </cell>
          <cell r="BS519">
            <v>1</v>
          </cell>
          <cell r="BT519">
            <v>1</v>
          </cell>
          <cell r="BU519">
            <v>1</v>
          </cell>
          <cell r="BV519">
            <v>1</v>
          </cell>
        </row>
        <row r="520">
          <cell r="A520" t="str">
            <v>Nissan</v>
          </cell>
          <cell r="B520" t="str">
            <v>PZ1D</v>
          </cell>
          <cell r="D520" t="str">
            <v>Total efficiency</v>
          </cell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</row>
        <row r="521">
          <cell r="A521" t="str">
            <v>Nissan</v>
          </cell>
          <cell r="B521" t="str">
            <v>PZ1D</v>
          </cell>
          <cell r="D521" t="str">
            <v>SHIFT A - output</v>
          </cell>
          <cell r="Z521">
            <v>76.089828269484812</v>
          </cell>
          <cell r="AA521">
            <v>70.739762219286661</v>
          </cell>
          <cell r="AB521">
            <v>74.90092470277412</v>
          </cell>
          <cell r="AC521">
            <v>76.565389696169106</v>
          </cell>
          <cell r="AD521">
            <v>78.229854689564078</v>
          </cell>
          <cell r="AE521">
            <v>79.894319682959065</v>
          </cell>
          <cell r="AF521">
            <v>81.558784676354051</v>
          </cell>
          <cell r="AG521">
            <v>83.223249669749009</v>
          </cell>
          <cell r="AH521">
            <v>87.384412153236468</v>
          </cell>
          <cell r="AI521">
            <v>91.545574636723913</v>
          </cell>
          <cell r="AJ521">
            <v>91.545574636723913</v>
          </cell>
          <cell r="AK521">
            <v>91.545574636723913</v>
          </cell>
          <cell r="AL521">
            <v>91.545574636723913</v>
          </cell>
          <cell r="AM521">
            <v>91.545574636723913</v>
          </cell>
          <cell r="AN521">
            <v>91.545574636723913</v>
          </cell>
          <cell r="AO521">
            <v>91.545574636723913</v>
          </cell>
          <cell r="AP521">
            <v>91.545574636723913</v>
          </cell>
          <cell r="AQ521">
            <v>91.545574636723913</v>
          </cell>
          <cell r="AR521">
            <v>91.545574636723913</v>
          </cell>
          <cell r="AS521">
            <v>91.545574636723913</v>
          </cell>
          <cell r="AT521">
            <v>91.545574636723913</v>
          </cell>
          <cell r="AU521">
            <v>91.545574636723913</v>
          </cell>
          <cell r="AV521">
            <v>91.545574636723913</v>
          </cell>
          <cell r="AW521">
            <v>91.545574636723913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83.223249669749009</v>
          </cell>
          <cell r="BL521">
            <v>83.223249669749009</v>
          </cell>
          <cell r="BM521">
            <v>83.223249669749009</v>
          </cell>
          <cell r="BN521">
            <v>83.223249669749009</v>
          </cell>
          <cell r="BO521">
            <v>83.223249669749009</v>
          </cell>
          <cell r="BP521">
            <v>83.223249669749009</v>
          </cell>
          <cell r="BQ521">
            <v>83.223249669749009</v>
          </cell>
          <cell r="BR521">
            <v>83.223249669749009</v>
          </cell>
          <cell r="BS521">
            <v>83.223249669749009</v>
          </cell>
          <cell r="BT521">
            <v>83.223249669749009</v>
          </cell>
          <cell r="BU521">
            <v>83.223249669749009</v>
          </cell>
          <cell r="BV521">
            <v>95.112285336856004</v>
          </cell>
        </row>
        <row r="522">
          <cell r="A522" t="str">
            <v>Nissan</v>
          </cell>
          <cell r="B522" t="str">
            <v>PZ1D</v>
          </cell>
          <cell r="D522" t="str">
            <v>SHIFT B  - output</v>
          </cell>
          <cell r="Z522">
            <v>0</v>
          </cell>
          <cell r="AA522">
            <v>0</v>
          </cell>
          <cell r="AB522">
            <v>0</v>
          </cell>
          <cell r="AC522">
            <v>49.933949801849415</v>
          </cell>
          <cell r="AD522">
            <v>54.095112285336867</v>
          </cell>
          <cell r="AE522">
            <v>58.256274768824319</v>
          </cell>
          <cell r="AF522">
            <v>62.417437252311778</v>
          </cell>
          <cell r="AG522">
            <v>66.57859973579923</v>
          </cell>
          <cell r="AH522">
            <v>70.739762219286689</v>
          </cell>
          <cell r="AI522">
            <v>74.900924702774134</v>
          </cell>
          <cell r="AJ522">
            <v>79.062087186261593</v>
          </cell>
          <cell r="AK522">
            <v>83.223249669749052</v>
          </cell>
          <cell r="AL522">
            <v>91.545574636723913</v>
          </cell>
          <cell r="AM522">
            <v>91.545574636723913</v>
          </cell>
          <cell r="AN522">
            <v>91.545574636723913</v>
          </cell>
          <cell r="AO522">
            <v>91.545574636723913</v>
          </cell>
          <cell r="AP522">
            <v>91.545574636723913</v>
          </cell>
          <cell r="AQ522">
            <v>91.545574636723913</v>
          </cell>
          <cell r="AR522">
            <v>91.545574636723913</v>
          </cell>
          <cell r="AS522">
            <v>91.545574636723913</v>
          </cell>
          <cell r="AT522">
            <v>91.545574636723913</v>
          </cell>
          <cell r="AU522">
            <v>91.545574636723913</v>
          </cell>
          <cell r="AV522">
            <v>91.545574636723913</v>
          </cell>
          <cell r="AW522">
            <v>91.545574636723913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83.223249669749009</v>
          </cell>
          <cell r="BL522">
            <v>83.223249669749009</v>
          </cell>
          <cell r="BM522">
            <v>83.223249669749009</v>
          </cell>
          <cell r="BN522">
            <v>83.223249669749009</v>
          </cell>
          <cell r="BO522">
            <v>83.223249669749009</v>
          </cell>
          <cell r="BP522">
            <v>83.223249669749009</v>
          </cell>
          <cell r="BQ522">
            <v>83.223249669749009</v>
          </cell>
          <cell r="BR522">
            <v>83.223249669749009</v>
          </cell>
          <cell r="BS522">
            <v>83.223249669749009</v>
          </cell>
          <cell r="BT522">
            <v>83.223249669749009</v>
          </cell>
          <cell r="BU522">
            <v>83.223249669749009</v>
          </cell>
          <cell r="BV522">
            <v>79.260237780713339</v>
          </cell>
        </row>
        <row r="523">
          <cell r="A523" t="str">
            <v>Nissan</v>
          </cell>
          <cell r="B523" t="str">
            <v>PZ1D</v>
          </cell>
          <cell r="D523" t="str">
            <v>SHIFT C  - output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</row>
        <row r="524">
          <cell r="A524" t="str">
            <v>Nissan</v>
          </cell>
          <cell r="B524" t="str">
            <v>PZ1D</v>
          </cell>
          <cell r="D524" t="str">
            <v>Est. Output (Pcs day)</v>
          </cell>
          <cell r="E524">
            <v>113.55</v>
          </cell>
          <cell r="Z524">
            <v>76.089828269484812</v>
          </cell>
          <cell r="AA524">
            <v>70.739762219286661</v>
          </cell>
          <cell r="AB524">
            <v>74.90092470277412</v>
          </cell>
          <cell r="AC524">
            <v>126.49933949801851</v>
          </cell>
          <cell r="AD524">
            <v>132.32496697490095</v>
          </cell>
          <cell r="AE524">
            <v>138.15059445178338</v>
          </cell>
          <cell r="AF524">
            <v>143.97622192866584</v>
          </cell>
          <cell r="AG524">
            <v>149.80184940554824</v>
          </cell>
          <cell r="AH524">
            <v>158.12417437252316</v>
          </cell>
          <cell r="AI524">
            <v>166.44649933949805</v>
          </cell>
          <cell r="AJ524">
            <v>170.60766182298551</v>
          </cell>
          <cell r="AK524">
            <v>174.76882430647296</v>
          </cell>
          <cell r="AL524">
            <v>183.09114927344783</v>
          </cell>
          <cell r="AM524">
            <v>183.09114927344783</v>
          </cell>
          <cell r="AN524">
            <v>183.09114927344783</v>
          </cell>
          <cell r="AO524">
            <v>183.09114927344783</v>
          </cell>
          <cell r="AP524">
            <v>183.09114927344783</v>
          </cell>
          <cell r="AQ524">
            <v>183.09114927344783</v>
          </cell>
          <cell r="AR524">
            <v>183.09114927344783</v>
          </cell>
          <cell r="AS524">
            <v>183.09114927344783</v>
          </cell>
          <cell r="AT524">
            <v>183.09114927344783</v>
          </cell>
          <cell r="AU524">
            <v>183.09114927344783</v>
          </cell>
          <cell r="AV524">
            <v>183.09114927344783</v>
          </cell>
          <cell r="AW524">
            <v>183.09114927344783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166.44649933949802</v>
          </cell>
          <cell r="BL524">
            <v>166.44649933949802</v>
          </cell>
          <cell r="BM524">
            <v>166.44649933949802</v>
          </cell>
          <cell r="BN524">
            <v>166.44649933949802</v>
          </cell>
          <cell r="BO524">
            <v>166.44649933949802</v>
          </cell>
          <cell r="BP524">
            <v>166.44649933949802</v>
          </cell>
          <cell r="BQ524">
            <v>166.44649933949802</v>
          </cell>
          <cell r="BR524">
            <v>166.44649933949802</v>
          </cell>
          <cell r="BS524">
            <v>166.44649933949802</v>
          </cell>
          <cell r="BT524">
            <v>166.44649933949802</v>
          </cell>
          <cell r="BU524">
            <v>166.44649933949802</v>
          </cell>
          <cell r="BV524">
            <v>174.37252311756936</v>
          </cell>
        </row>
        <row r="525">
          <cell r="A525" t="str">
            <v>Nissan</v>
          </cell>
          <cell r="B525" t="str">
            <v>PZ1D</v>
          </cell>
          <cell r="D525" t="str">
            <v>Weekly Output PLAN</v>
          </cell>
          <cell r="E525" t="str">
            <v>SEW</v>
          </cell>
          <cell r="Z525">
            <v>380.44914134742407</v>
          </cell>
          <cell r="AA525">
            <v>353.6988110964333</v>
          </cell>
          <cell r="AB525">
            <v>0</v>
          </cell>
          <cell r="AC525">
            <v>0</v>
          </cell>
          <cell r="AD525">
            <v>396.97490092470287</v>
          </cell>
          <cell r="AE525">
            <v>690.75297225891688</v>
          </cell>
          <cell r="AF525">
            <v>719.88110964332918</v>
          </cell>
          <cell r="AG525">
            <v>749.00924702774114</v>
          </cell>
          <cell r="AH525">
            <v>790.62087186261579</v>
          </cell>
          <cell r="AI525">
            <v>832.23249669749021</v>
          </cell>
          <cell r="AJ525">
            <v>853.03830911492753</v>
          </cell>
          <cell r="AK525">
            <v>699.07529722589186</v>
          </cell>
          <cell r="AL525">
            <v>732.3645970937913</v>
          </cell>
          <cell r="AM525">
            <v>915.45574636723916</v>
          </cell>
          <cell r="AN525">
            <v>732.3645970937913</v>
          </cell>
          <cell r="AO525">
            <v>915.45574636723916</v>
          </cell>
          <cell r="AP525">
            <v>915.45574636723916</v>
          </cell>
          <cell r="AQ525">
            <v>915.45574636723916</v>
          </cell>
          <cell r="AR525">
            <v>915.45574636723916</v>
          </cell>
          <cell r="AS525">
            <v>915.45574636723916</v>
          </cell>
          <cell r="AT525">
            <v>915.45574636723916</v>
          </cell>
          <cell r="AU525">
            <v>915.45574636723916</v>
          </cell>
          <cell r="AV525">
            <v>915.45574636723916</v>
          </cell>
          <cell r="AW525">
            <v>915.45574636723916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832.23249669749009</v>
          </cell>
          <cell r="BL525">
            <v>832.23249669749009</v>
          </cell>
          <cell r="BM525">
            <v>832.23249669749009</v>
          </cell>
          <cell r="BN525">
            <v>832.23249669749009</v>
          </cell>
          <cell r="BO525">
            <v>832.23249669749009</v>
          </cell>
          <cell r="BP525">
            <v>832.23249669749009</v>
          </cell>
          <cell r="BQ525">
            <v>832.23249669749009</v>
          </cell>
          <cell r="BR525">
            <v>832.23249669749009</v>
          </cell>
          <cell r="BS525">
            <v>832.23249669749009</v>
          </cell>
          <cell r="BT525">
            <v>832.23249669749009</v>
          </cell>
          <cell r="BU525">
            <v>832.23249669749009</v>
          </cell>
          <cell r="BV525">
            <v>871.86261558784679</v>
          </cell>
        </row>
        <row r="526">
          <cell r="A526" t="str">
            <v>Nissan</v>
          </cell>
          <cell r="B526" t="str">
            <v>PZ1D</v>
          </cell>
          <cell r="D526" t="str">
            <v>L3</v>
          </cell>
          <cell r="E526">
            <v>110.57</v>
          </cell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</row>
        <row r="527">
          <cell r="A527" t="str">
            <v>Nissan</v>
          </cell>
          <cell r="B527" t="str">
            <v>PZ1D</v>
          </cell>
          <cell r="D527" t="str">
            <v>L5</v>
          </cell>
          <cell r="E527">
            <v>116.52</v>
          </cell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</row>
        <row r="528">
          <cell r="A528" t="str">
            <v>Nissan</v>
          </cell>
          <cell r="B528" t="str">
            <v>PZ1D</v>
          </cell>
          <cell r="D528" t="str">
            <v>L3/L5</v>
          </cell>
          <cell r="E528">
            <v>129.72999999999999</v>
          </cell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</row>
        <row r="529">
          <cell r="A529" t="str">
            <v>Nissan</v>
          </cell>
          <cell r="B529" t="str">
            <v>PZ1D</v>
          </cell>
          <cell r="D529" t="str">
            <v>Cloth B</v>
          </cell>
          <cell r="E529">
            <v>106.74</v>
          </cell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</row>
        <row r="530">
          <cell r="A530" t="str">
            <v>Nissan</v>
          </cell>
          <cell r="B530" t="str">
            <v>PZ1D</v>
          </cell>
          <cell r="D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</row>
        <row r="531">
          <cell r="A531" t="str">
            <v>Nissan</v>
          </cell>
          <cell r="B531" t="str">
            <v>PZ1D</v>
          </cell>
          <cell r="D531" t="str">
            <v>Weekly Output PLAN - SUM of models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</row>
        <row r="532">
          <cell r="A532" t="str">
            <v>Nissan</v>
          </cell>
          <cell r="B532" t="str">
            <v>PZ1D</v>
          </cell>
          <cell r="D532" t="str">
            <v>Weekly Output CHECK with TO time multiple</v>
          </cell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</row>
        <row r="533">
          <cell r="A533" t="str">
            <v>Nissan</v>
          </cell>
          <cell r="B533" t="str">
            <v>PZ1D</v>
          </cell>
          <cell r="D533" t="str">
            <v>Weekly Output ACT</v>
          </cell>
          <cell r="Z533">
            <v>380.44914134742407</v>
          </cell>
          <cell r="AA533">
            <v>353.6988110964333</v>
          </cell>
          <cell r="AB533">
            <v>0</v>
          </cell>
          <cell r="AC533">
            <v>0</v>
          </cell>
          <cell r="AD533">
            <v>396.97490092470287</v>
          </cell>
          <cell r="AE533">
            <v>690.75297225891688</v>
          </cell>
          <cell r="AF533">
            <v>719.88110964332918</v>
          </cell>
          <cell r="AG533">
            <v>749.00924702774114</v>
          </cell>
          <cell r="AH533">
            <v>790.62087186261579</v>
          </cell>
          <cell r="AI533">
            <v>832.23249669749021</v>
          </cell>
          <cell r="AJ533">
            <v>853.03830911492753</v>
          </cell>
          <cell r="AK533">
            <v>699.07529722589186</v>
          </cell>
          <cell r="AL533">
            <v>732.3645970937913</v>
          </cell>
          <cell r="AM533">
            <v>915.45574636723916</v>
          </cell>
          <cell r="AN533">
            <v>732.3645970937913</v>
          </cell>
          <cell r="AO533">
            <v>915.45574636723916</v>
          </cell>
          <cell r="AP533">
            <v>915.45574636723916</v>
          </cell>
          <cell r="AQ533">
            <v>915.45574636723916</v>
          </cell>
          <cell r="AR533">
            <v>915.45574636723916</v>
          </cell>
          <cell r="AS533">
            <v>915.45574636723916</v>
          </cell>
          <cell r="AT533">
            <v>915.45574636723916</v>
          </cell>
          <cell r="AU533">
            <v>915.45574636723916</v>
          </cell>
          <cell r="AV533">
            <v>915.45574636723916</v>
          </cell>
          <cell r="AW533">
            <v>915.45574636723916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832.23249669749009</v>
          </cell>
          <cell r="BL533">
            <v>832.23249669749009</v>
          </cell>
          <cell r="BM533">
            <v>832.23249669749009</v>
          </cell>
          <cell r="BN533">
            <v>832.23249669749009</v>
          </cell>
          <cell r="BO533">
            <v>832.23249669749009</v>
          </cell>
          <cell r="BP533">
            <v>832.23249669749009</v>
          </cell>
          <cell r="BQ533">
            <v>832.23249669749009</v>
          </cell>
          <cell r="BR533">
            <v>832.23249669749009</v>
          </cell>
          <cell r="BS533">
            <v>832.23249669749009</v>
          </cell>
          <cell r="BT533">
            <v>832.23249669749009</v>
          </cell>
          <cell r="BU533">
            <v>832.23249669749009</v>
          </cell>
          <cell r="BV533">
            <v>871.86261558784679</v>
          </cell>
        </row>
        <row r="534">
          <cell r="A534" t="str">
            <v>Nissan</v>
          </cell>
          <cell r="B534" t="str">
            <v>PZ1D</v>
          </cell>
          <cell r="D534" t="str">
            <v>L3</v>
          </cell>
          <cell r="Z534">
            <v>5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263.625</v>
          </cell>
          <cell r="AF534">
            <v>176.5</v>
          </cell>
          <cell r="AG534">
            <v>133.5</v>
          </cell>
          <cell r="AH534">
            <v>143.75</v>
          </cell>
          <cell r="AI534">
            <v>195</v>
          </cell>
          <cell r="AJ534">
            <v>246.75</v>
          </cell>
          <cell r="AK534">
            <v>293</v>
          </cell>
          <cell r="AL534">
            <v>283.5</v>
          </cell>
          <cell r="AM534">
            <v>240.5</v>
          </cell>
          <cell r="AN534">
            <v>248.5</v>
          </cell>
          <cell r="AO534">
            <v>287.25</v>
          </cell>
          <cell r="AP534">
            <v>204</v>
          </cell>
          <cell r="AQ534">
            <v>0</v>
          </cell>
          <cell r="AR534">
            <v>0</v>
          </cell>
          <cell r="AS534">
            <v>1378.4</v>
          </cell>
          <cell r="AT534">
            <v>1378.4</v>
          </cell>
          <cell r="AU534">
            <v>1378.4</v>
          </cell>
          <cell r="AV534">
            <v>1378.4</v>
          </cell>
          <cell r="AW534">
            <v>1378.4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</row>
        <row r="535">
          <cell r="A535" t="str">
            <v>Nissan</v>
          </cell>
          <cell r="B535" t="str">
            <v>PZ1D</v>
          </cell>
          <cell r="D535" t="str">
            <v>L5</v>
          </cell>
          <cell r="Z535">
            <v>88</v>
          </cell>
          <cell r="AA535">
            <v>0</v>
          </cell>
          <cell r="AB535">
            <v>8</v>
          </cell>
          <cell r="AC535">
            <v>8.5</v>
          </cell>
          <cell r="AD535">
            <v>1</v>
          </cell>
          <cell r="AE535">
            <v>0</v>
          </cell>
          <cell r="AF535">
            <v>103.125</v>
          </cell>
          <cell r="AG535">
            <v>112.125</v>
          </cell>
          <cell r="AH535">
            <v>124.125</v>
          </cell>
          <cell r="AI535">
            <v>111.5</v>
          </cell>
          <cell r="AJ535">
            <v>130.375</v>
          </cell>
          <cell r="AK535">
            <v>154.625</v>
          </cell>
          <cell r="AL535">
            <v>154.25</v>
          </cell>
          <cell r="AM535">
            <v>195.25</v>
          </cell>
          <cell r="AN535">
            <v>191.375</v>
          </cell>
          <cell r="AO535">
            <v>225.5</v>
          </cell>
          <cell r="AP535">
            <v>178.625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</row>
        <row r="536">
          <cell r="A536" t="str">
            <v>Nissan</v>
          </cell>
          <cell r="B536" t="str">
            <v>PZ1D</v>
          </cell>
          <cell r="D536" t="str">
            <v>L3/L5</v>
          </cell>
          <cell r="Z536">
            <v>22</v>
          </cell>
          <cell r="AA536">
            <v>0</v>
          </cell>
          <cell r="AB536">
            <v>0</v>
          </cell>
          <cell r="AC536">
            <v>0</v>
          </cell>
          <cell r="AD536">
            <v>3</v>
          </cell>
          <cell r="AE536">
            <v>0</v>
          </cell>
          <cell r="AF536">
            <v>0</v>
          </cell>
          <cell r="AG536">
            <v>15</v>
          </cell>
          <cell r="AH536">
            <v>2</v>
          </cell>
          <cell r="AI536">
            <v>2</v>
          </cell>
          <cell r="AJ536">
            <v>13</v>
          </cell>
          <cell r="AK536">
            <v>11</v>
          </cell>
          <cell r="AL536">
            <v>15</v>
          </cell>
          <cell r="AM536">
            <v>4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</row>
        <row r="537">
          <cell r="A537" t="str">
            <v>Nissan</v>
          </cell>
          <cell r="B537" t="str">
            <v>PZ1D</v>
          </cell>
          <cell r="D537" t="str">
            <v>Cloth B</v>
          </cell>
          <cell r="Z537">
            <v>9.5</v>
          </cell>
          <cell r="AA537">
            <v>0.5</v>
          </cell>
          <cell r="AB537">
            <v>0</v>
          </cell>
          <cell r="AC537">
            <v>0.5</v>
          </cell>
          <cell r="AD537">
            <v>1</v>
          </cell>
          <cell r="AE537">
            <v>22.875</v>
          </cell>
          <cell r="AF537">
            <v>85.5</v>
          </cell>
          <cell r="AG537">
            <v>182.375</v>
          </cell>
          <cell r="AH537">
            <v>181.5</v>
          </cell>
          <cell r="AI537">
            <v>243.5</v>
          </cell>
          <cell r="AJ537">
            <v>301.375</v>
          </cell>
          <cell r="AK537">
            <v>379.625</v>
          </cell>
          <cell r="AL537">
            <v>378.125</v>
          </cell>
          <cell r="AM537">
            <v>370.375</v>
          </cell>
          <cell r="AN537">
            <v>354.375</v>
          </cell>
          <cell r="AO537">
            <v>433.875</v>
          </cell>
          <cell r="AP537">
            <v>409.75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</row>
        <row r="538">
          <cell r="A538" t="str">
            <v>Nissan</v>
          </cell>
          <cell r="B538" t="str">
            <v>PZ1D</v>
          </cell>
          <cell r="D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</row>
        <row r="539">
          <cell r="A539" t="str">
            <v>Nissan</v>
          </cell>
          <cell r="B539" t="str">
            <v>PZ1D</v>
          </cell>
          <cell r="D539" t="str">
            <v>Weekly demand</v>
          </cell>
          <cell r="Z539">
            <v>124.5</v>
          </cell>
          <cell r="AA539">
            <v>0.5</v>
          </cell>
          <cell r="AB539">
            <v>8</v>
          </cell>
          <cell r="AC539">
            <v>9</v>
          </cell>
          <cell r="AD539">
            <v>5</v>
          </cell>
          <cell r="AE539">
            <v>286.5</v>
          </cell>
          <cell r="AF539">
            <v>365.125</v>
          </cell>
          <cell r="AG539">
            <v>443</v>
          </cell>
          <cell r="AH539">
            <v>451.375</v>
          </cell>
          <cell r="AI539">
            <v>552</v>
          </cell>
          <cell r="AJ539">
            <v>691.5</v>
          </cell>
          <cell r="AK539">
            <v>838.25</v>
          </cell>
          <cell r="AL539">
            <v>830.875</v>
          </cell>
          <cell r="AM539">
            <v>810.125</v>
          </cell>
          <cell r="AN539">
            <v>794.25</v>
          </cell>
          <cell r="AO539">
            <v>946.625</v>
          </cell>
          <cell r="AP539">
            <v>792.375</v>
          </cell>
          <cell r="AQ539">
            <v>0</v>
          </cell>
          <cell r="AR539">
            <v>0</v>
          </cell>
          <cell r="AS539">
            <v>1378.4</v>
          </cell>
          <cell r="AT539">
            <v>1378.4</v>
          </cell>
          <cell r="AU539">
            <v>1378.4</v>
          </cell>
          <cell r="AV539">
            <v>1378.4</v>
          </cell>
          <cell r="AW539">
            <v>1378.4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15140.999999999998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</row>
        <row r="540">
          <cell r="A540" t="str">
            <v>Nissan</v>
          </cell>
          <cell r="B540" t="str">
            <v>PZ1D</v>
          </cell>
          <cell r="D540" t="str">
            <v>Stock Target</v>
          </cell>
          <cell r="Z540">
            <v>500</v>
          </cell>
          <cell r="AA540">
            <v>500</v>
          </cell>
          <cell r="AB540">
            <v>500</v>
          </cell>
          <cell r="AC540">
            <v>500</v>
          </cell>
          <cell r="AD540">
            <v>500</v>
          </cell>
          <cell r="AE540">
            <v>500</v>
          </cell>
          <cell r="AF540">
            <v>500</v>
          </cell>
          <cell r="AG540">
            <v>500</v>
          </cell>
          <cell r="AH540">
            <v>500</v>
          </cell>
          <cell r="AI540">
            <v>500</v>
          </cell>
          <cell r="AJ540">
            <v>500</v>
          </cell>
          <cell r="AK540">
            <v>500</v>
          </cell>
          <cell r="AL540">
            <v>500</v>
          </cell>
          <cell r="AM540">
            <v>500</v>
          </cell>
          <cell r="AN540">
            <v>500</v>
          </cell>
          <cell r="AO540">
            <v>500</v>
          </cell>
          <cell r="AP540">
            <v>500</v>
          </cell>
          <cell r="AQ540">
            <v>500</v>
          </cell>
          <cell r="AR540">
            <v>500</v>
          </cell>
          <cell r="AS540">
            <v>500</v>
          </cell>
          <cell r="AT540">
            <v>500</v>
          </cell>
          <cell r="AU540">
            <v>500</v>
          </cell>
          <cell r="AV540">
            <v>500</v>
          </cell>
          <cell r="AW540">
            <v>500</v>
          </cell>
          <cell r="AX540">
            <v>500</v>
          </cell>
          <cell r="AY540">
            <v>500</v>
          </cell>
          <cell r="AZ540">
            <v>500</v>
          </cell>
          <cell r="BA540">
            <v>500</v>
          </cell>
          <cell r="BB540">
            <v>500</v>
          </cell>
          <cell r="BC540">
            <v>500</v>
          </cell>
          <cell r="BD540">
            <v>500</v>
          </cell>
          <cell r="BE540">
            <v>500</v>
          </cell>
          <cell r="BF540">
            <v>500</v>
          </cell>
          <cell r="BG540">
            <v>500</v>
          </cell>
          <cell r="BH540">
            <v>500</v>
          </cell>
          <cell r="BI540">
            <v>500</v>
          </cell>
          <cell r="BJ540">
            <v>500</v>
          </cell>
          <cell r="BK540">
            <v>500</v>
          </cell>
          <cell r="BL540">
            <v>500</v>
          </cell>
          <cell r="BM540">
            <v>500</v>
          </cell>
          <cell r="BN540">
            <v>500</v>
          </cell>
          <cell r="BO540">
            <v>500</v>
          </cell>
          <cell r="BP540">
            <v>500</v>
          </cell>
          <cell r="BQ540">
            <v>500</v>
          </cell>
          <cell r="BR540">
            <v>500</v>
          </cell>
          <cell r="BS540">
            <v>500</v>
          </cell>
          <cell r="BT540">
            <v>500</v>
          </cell>
          <cell r="BU540">
            <v>500</v>
          </cell>
          <cell r="BV540">
            <v>500</v>
          </cell>
        </row>
        <row r="541">
          <cell r="A541" t="str">
            <v>Nissan</v>
          </cell>
          <cell r="B541" t="str">
            <v>PZ1D</v>
          </cell>
          <cell r="D541" t="str">
            <v>L3</v>
          </cell>
          <cell r="Z541">
            <v>15</v>
          </cell>
          <cell r="AA541">
            <v>15</v>
          </cell>
          <cell r="AB541">
            <v>15</v>
          </cell>
          <cell r="AC541">
            <v>15</v>
          </cell>
          <cell r="AD541">
            <v>15</v>
          </cell>
          <cell r="AE541">
            <v>-248.625</v>
          </cell>
          <cell r="AF541">
            <v>-425.125</v>
          </cell>
          <cell r="AG541">
            <v>-558.625</v>
          </cell>
          <cell r="AH541">
            <v>-702.375</v>
          </cell>
          <cell r="AI541">
            <v>-897.375</v>
          </cell>
          <cell r="AJ541">
            <v>-1144.125</v>
          </cell>
          <cell r="AK541">
            <v>-1437.125</v>
          </cell>
          <cell r="AL541">
            <v>-1720.625</v>
          </cell>
          <cell r="AM541">
            <v>-1961.125</v>
          </cell>
          <cell r="AN541">
            <v>-2209.625</v>
          </cell>
          <cell r="AO541">
            <v>-2496.875</v>
          </cell>
          <cell r="AP541">
            <v>-2700.875</v>
          </cell>
          <cell r="AQ541">
            <v>-2700.875</v>
          </cell>
          <cell r="AR541">
            <v>-2700.875</v>
          </cell>
          <cell r="AS541">
            <v>-4079.2750000000001</v>
          </cell>
          <cell r="AT541">
            <v>-5457.6750000000002</v>
          </cell>
          <cell r="AU541">
            <v>-6836.0750000000007</v>
          </cell>
          <cell r="AV541">
            <v>-8214.4750000000004</v>
          </cell>
          <cell r="AW541">
            <v>-9592.875</v>
          </cell>
          <cell r="AX541">
            <v>-9592.875</v>
          </cell>
          <cell r="AY541">
            <v>-9592.875</v>
          </cell>
          <cell r="AZ541">
            <v>-9592.875</v>
          </cell>
          <cell r="BA541">
            <v>-9592.875</v>
          </cell>
          <cell r="BB541">
            <v>-9592.875</v>
          </cell>
          <cell r="BC541">
            <v>-9592.875</v>
          </cell>
          <cell r="BD541">
            <v>-9592.875</v>
          </cell>
          <cell r="BE541">
            <v>-9592.875</v>
          </cell>
          <cell r="BF541">
            <v>-9592.875</v>
          </cell>
          <cell r="BG541">
            <v>-9592.875</v>
          </cell>
          <cell r="BH541">
            <v>-9592.875</v>
          </cell>
          <cell r="BI541">
            <v>-9592.875</v>
          </cell>
          <cell r="BJ541">
            <v>-9592.875</v>
          </cell>
          <cell r="BK541">
            <v>-9592.875</v>
          </cell>
          <cell r="BL541">
            <v>-9592.875</v>
          </cell>
          <cell r="BM541">
            <v>-9592.875</v>
          </cell>
          <cell r="BN541">
            <v>-9592.875</v>
          </cell>
          <cell r="BO541">
            <v>-9592.875</v>
          </cell>
          <cell r="BP541">
            <v>-9592.875</v>
          </cell>
          <cell r="BQ541">
            <v>-9592.875</v>
          </cell>
          <cell r="BR541">
            <v>-9592.875</v>
          </cell>
          <cell r="BS541">
            <v>-9592.875</v>
          </cell>
          <cell r="BT541">
            <v>-9592.875</v>
          </cell>
          <cell r="BU541">
            <v>-9592.875</v>
          </cell>
          <cell r="BV541">
            <v>-9592.875</v>
          </cell>
        </row>
        <row r="542">
          <cell r="A542" t="str">
            <v>Nissan</v>
          </cell>
          <cell r="B542" t="str">
            <v>PZ1D</v>
          </cell>
          <cell r="D542" t="str">
            <v>L5</v>
          </cell>
          <cell r="Z542">
            <v>127</v>
          </cell>
          <cell r="AA542">
            <v>127</v>
          </cell>
          <cell r="AB542">
            <v>119</v>
          </cell>
          <cell r="AC542">
            <v>110.5</v>
          </cell>
          <cell r="AD542">
            <v>109.5</v>
          </cell>
          <cell r="AE542">
            <v>109.5</v>
          </cell>
          <cell r="AF542">
            <v>6.375</v>
          </cell>
          <cell r="AG542">
            <v>-105.75</v>
          </cell>
          <cell r="AH542">
            <v>-229.875</v>
          </cell>
          <cell r="AI542">
            <v>-341.375</v>
          </cell>
          <cell r="AJ542">
            <v>-471.75</v>
          </cell>
          <cell r="AK542">
            <v>-626.375</v>
          </cell>
          <cell r="AL542">
            <v>-780.625</v>
          </cell>
          <cell r="AM542">
            <v>-975.875</v>
          </cell>
          <cell r="AN542">
            <v>-1167.25</v>
          </cell>
          <cell r="AO542">
            <v>-1392.75</v>
          </cell>
          <cell r="AP542">
            <v>-1571.375</v>
          </cell>
          <cell r="AQ542">
            <v>-1571.375</v>
          </cell>
          <cell r="AR542">
            <v>-1571.375</v>
          </cell>
          <cell r="AS542">
            <v>-1571.375</v>
          </cell>
          <cell r="AT542">
            <v>-1571.375</v>
          </cell>
          <cell r="AU542">
            <v>-1571.375</v>
          </cell>
          <cell r="AV542">
            <v>-1571.375</v>
          </cell>
          <cell r="AW542">
            <v>-1571.375</v>
          </cell>
          <cell r="AX542">
            <v>-1571.375</v>
          </cell>
          <cell r="AY542">
            <v>-1571.375</v>
          </cell>
          <cell r="AZ542">
            <v>-1571.375</v>
          </cell>
          <cell r="BA542">
            <v>-1571.375</v>
          </cell>
          <cell r="BB542">
            <v>-1571.375</v>
          </cell>
          <cell r="BC542">
            <v>-1571.375</v>
          </cell>
          <cell r="BD542">
            <v>-1571.375</v>
          </cell>
          <cell r="BE542">
            <v>-1571.375</v>
          </cell>
          <cell r="BF542">
            <v>-1571.375</v>
          </cell>
          <cell r="BG542">
            <v>-1571.375</v>
          </cell>
          <cell r="BH542">
            <v>-1571.375</v>
          </cell>
          <cell r="BI542">
            <v>-1571.375</v>
          </cell>
          <cell r="BJ542">
            <v>-1571.375</v>
          </cell>
          <cell r="BK542">
            <v>-1571.375</v>
          </cell>
          <cell r="BL542">
            <v>-1571.375</v>
          </cell>
          <cell r="BM542">
            <v>-1571.375</v>
          </cell>
          <cell r="BN542">
            <v>-1571.375</v>
          </cell>
          <cell r="BO542">
            <v>-1571.375</v>
          </cell>
          <cell r="BP542">
            <v>-1571.375</v>
          </cell>
          <cell r="BQ542">
            <v>-1571.375</v>
          </cell>
          <cell r="BR542">
            <v>-1571.375</v>
          </cell>
          <cell r="BS542">
            <v>-1571.375</v>
          </cell>
          <cell r="BT542">
            <v>-1571.375</v>
          </cell>
          <cell r="BU542">
            <v>-1571.375</v>
          </cell>
          <cell r="BV542">
            <v>-1571.375</v>
          </cell>
        </row>
        <row r="543">
          <cell r="A543" t="str">
            <v>Nissan</v>
          </cell>
          <cell r="B543" t="str">
            <v>PZ1D</v>
          </cell>
          <cell r="D543" t="str">
            <v>L3/L5</v>
          </cell>
          <cell r="Z543">
            <v>75</v>
          </cell>
          <cell r="AA543">
            <v>75</v>
          </cell>
          <cell r="AB543">
            <v>75</v>
          </cell>
          <cell r="AC543">
            <v>75</v>
          </cell>
          <cell r="AD543">
            <v>72</v>
          </cell>
          <cell r="AE543">
            <v>72</v>
          </cell>
          <cell r="AF543">
            <v>72</v>
          </cell>
          <cell r="AG543">
            <v>57</v>
          </cell>
          <cell r="AH543">
            <v>55</v>
          </cell>
          <cell r="AI543">
            <v>53</v>
          </cell>
          <cell r="AJ543">
            <v>40</v>
          </cell>
          <cell r="AK543">
            <v>29</v>
          </cell>
          <cell r="AL543">
            <v>14</v>
          </cell>
          <cell r="AM543">
            <v>10</v>
          </cell>
          <cell r="AN543">
            <v>10</v>
          </cell>
          <cell r="AO543">
            <v>10</v>
          </cell>
          <cell r="AP543">
            <v>10</v>
          </cell>
          <cell r="AQ543">
            <v>10</v>
          </cell>
          <cell r="AR543">
            <v>10</v>
          </cell>
          <cell r="AS543">
            <v>10</v>
          </cell>
          <cell r="AT543">
            <v>10</v>
          </cell>
          <cell r="AU543">
            <v>10</v>
          </cell>
          <cell r="AV543">
            <v>10</v>
          </cell>
          <cell r="AW543">
            <v>10</v>
          </cell>
          <cell r="AX543">
            <v>10</v>
          </cell>
          <cell r="AY543">
            <v>10</v>
          </cell>
          <cell r="AZ543">
            <v>10</v>
          </cell>
          <cell r="BA543">
            <v>10</v>
          </cell>
          <cell r="BB543">
            <v>10</v>
          </cell>
          <cell r="BC543">
            <v>10</v>
          </cell>
          <cell r="BD543">
            <v>10</v>
          </cell>
          <cell r="BE543">
            <v>10</v>
          </cell>
          <cell r="BF543">
            <v>10</v>
          </cell>
          <cell r="BG543">
            <v>10</v>
          </cell>
          <cell r="BH543">
            <v>10</v>
          </cell>
          <cell r="BI543">
            <v>10</v>
          </cell>
          <cell r="BJ543">
            <v>10</v>
          </cell>
          <cell r="BK543">
            <v>10</v>
          </cell>
          <cell r="BL543">
            <v>10</v>
          </cell>
          <cell r="BM543">
            <v>10</v>
          </cell>
          <cell r="BN543">
            <v>10</v>
          </cell>
          <cell r="BO543">
            <v>10</v>
          </cell>
          <cell r="BP543">
            <v>10</v>
          </cell>
          <cell r="BQ543">
            <v>10</v>
          </cell>
          <cell r="BR543">
            <v>10</v>
          </cell>
          <cell r="BS543">
            <v>10</v>
          </cell>
          <cell r="BT543">
            <v>10</v>
          </cell>
          <cell r="BU543">
            <v>10</v>
          </cell>
          <cell r="BV543">
            <v>10</v>
          </cell>
        </row>
        <row r="544">
          <cell r="A544" t="str">
            <v>Nissan</v>
          </cell>
          <cell r="B544" t="str">
            <v>PZ1D</v>
          </cell>
          <cell r="D544" t="str">
            <v>Cloth B</v>
          </cell>
          <cell r="Z544">
            <v>825</v>
          </cell>
          <cell r="AA544">
            <v>824.5</v>
          </cell>
          <cell r="AB544">
            <v>824.5</v>
          </cell>
          <cell r="AC544">
            <v>824</v>
          </cell>
          <cell r="AD544">
            <v>823</v>
          </cell>
          <cell r="AE544">
            <v>800.125</v>
          </cell>
          <cell r="AF544">
            <v>714.625</v>
          </cell>
          <cell r="AG544">
            <v>532.25</v>
          </cell>
          <cell r="AH544">
            <v>350.75</v>
          </cell>
          <cell r="AI544">
            <v>107.25</v>
          </cell>
          <cell r="AJ544">
            <v>-194.125</v>
          </cell>
          <cell r="AK544">
            <v>-573.75</v>
          </cell>
          <cell r="AL544">
            <v>-951.875</v>
          </cell>
          <cell r="AM544">
            <v>-1322.25</v>
          </cell>
          <cell r="AN544">
            <v>-1676.625</v>
          </cell>
          <cell r="AO544">
            <v>-2110.5</v>
          </cell>
          <cell r="AP544">
            <v>-2520.25</v>
          </cell>
          <cell r="AQ544">
            <v>-2520.25</v>
          </cell>
          <cell r="AR544">
            <v>-2520.25</v>
          </cell>
          <cell r="AS544">
            <v>-2520.25</v>
          </cell>
          <cell r="AT544">
            <v>-2520.25</v>
          </cell>
          <cell r="AU544">
            <v>-2520.25</v>
          </cell>
          <cell r="AV544">
            <v>-2520.25</v>
          </cell>
          <cell r="AW544">
            <v>-2520.25</v>
          </cell>
          <cell r="AX544">
            <v>-2520.25</v>
          </cell>
          <cell r="AY544">
            <v>-2520.25</v>
          </cell>
          <cell r="AZ544">
            <v>-2520.25</v>
          </cell>
          <cell r="BA544">
            <v>-2520.25</v>
          </cell>
          <cell r="BB544">
            <v>-2520.25</v>
          </cell>
          <cell r="BC544">
            <v>-2520.25</v>
          </cell>
          <cell r="BD544">
            <v>-2520.25</v>
          </cell>
          <cell r="BE544">
            <v>-2520.25</v>
          </cell>
          <cell r="BF544">
            <v>-2520.25</v>
          </cell>
          <cell r="BG544">
            <v>-2520.25</v>
          </cell>
          <cell r="BH544">
            <v>-2520.25</v>
          </cell>
          <cell r="BI544">
            <v>-2520.25</v>
          </cell>
          <cell r="BJ544">
            <v>-2520.25</v>
          </cell>
          <cell r="BK544">
            <v>-2520.25</v>
          </cell>
          <cell r="BL544">
            <v>-2520.25</v>
          </cell>
          <cell r="BM544">
            <v>-2520.25</v>
          </cell>
          <cell r="BN544">
            <v>-2520.25</v>
          </cell>
          <cell r="BO544">
            <v>-2520.25</v>
          </cell>
          <cell r="BP544">
            <v>-2520.25</v>
          </cell>
          <cell r="BQ544">
            <v>-2520.25</v>
          </cell>
          <cell r="BR544">
            <v>-2520.25</v>
          </cell>
          <cell r="BS544">
            <v>-2520.25</v>
          </cell>
          <cell r="BT544">
            <v>-2520.25</v>
          </cell>
          <cell r="BU544">
            <v>-2520.25</v>
          </cell>
          <cell r="BV544">
            <v>-2520.25</v>
          </cell>
        </row>
        <row r="545">
          <cell r="A545" t="str">
            <v>Nissan</v>
          </cell>
          <cell r="B545" t="str">
            <v>PZ1D</v>
          </cell>
          <cell r="D545"/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</row>
        <row r="546">
          <cell r="A546" t="str">
            <v>Nissan</v>
          </cell>
          <cell r="B546" t="str">
            <v>PZ1D</v>
          </cell>
          <cell r="D546" t="str">
            <v>STOCK</v>
          </cell>
          <cell r="Z546">
            <v>0</v>
          </cell>
          <cell r="AA546">
            <v>353.1988110964333</v>
          </cell>
          <cell r="AB546">
            <v>345.1988110964333</v>
          </cell>
          <cell r="AC546">
            <v>336.1988110964333</v>
          </cell>
          <cell r="AD546">
            <v>728.17371202113623</v>
          </cell>
          <cell r="AE546">
            <v>1132.426684280053</v>
          </cell>
          <cell r="AF546">
            <v>1487.1827939233822</v>
          </cell>
          <cell r="AG546">
            <v>1793.1920409511233</v>
          </cell>
          <cell r="AH546">
            <v>2132.4379128137389</v>
          </cell>
          <cell r="AI546">
            <v>2412.6704095112291</v>
          </cell>
          <cell r="AJ546">
            <v>2574.2087186261565</v>
          </cell>
          <cell r="AK546">
            <v>2435.0340158520485</v>
          </cell>
          <cell r="AL546">
            <v>2336.5236129458399</v>
          </cell>
          <cell r="AM546">
            <v>2441.8543593130789</v>
          </cell>
          <cell r="AN546">
            <v>2379.9689564068703</v>
          </cell>
          <cell r="AO546">
            <v>2348.7997027741094</v>
          </cell>
          <cell r="AP546">
            <v>2471.8804491413484</v>
          </cell>
          <cell r="AQ546">
            <v>3387.3361955085875</v>
          </cell>
          <cell r="AR546">
            <v>4302.7919418758265</v>
          </cell>
          <cell r="AS546">
            <v>3839.8476882430655</v>
          </cell>
          <cell r="AT546">
            <v>3376.9034346103044</v>
          </cell>
          <cell r="AU546">
            <v>2913.9591809775434</v>
          </cell>
          <cell r="AV546">
            <v>2451.0149273447823</v>
          </cell>
          <cell r="AW546">
            <v>1988.0706737120213</v>
          </cell>
          <cell r="AX546">
            <v>1988.0706737120213</v>
          </cell>
          <cell r="AY546">
            <v>1988.0706737120213</v>
          </cell>
          <cell r="AZ546">
            <v>1988.0706737120213</v>
          </cell>
          <cell r="BA546">
            <v>1988.0706737120213</v>
          </cell>
          <cell r="BB546">
            <v>1988.0706737120213</v>
          </cell>
          <cell r="BC546">
            <v>1988.0706737120213</v>
          </cell>
          <cell r="BD546">
            <v>1988.0706737120213</v>
          </cell>
          <cell r="BE546">
            <v>1988.0706737120213</v>
          </cell>
          <cell r="BF546">
            <v>1988.0706737120213</v>
          </cell>
          <cell r="BG546">
            <v>1988.0706737120213</v>
          </cell>
          <cell r="BH546">
            <v>1988.0706737120213</v>
          </cell>
          <cell r="BI546">
            <v>1988.0706737120213</v>
          </cell>
          <cell r="BJ546">
            <v>1988.0706737120213</v>
          </cell>
          <cell r="BK546">
            <v>2820.3031704095115</v>
          </cell>
          <cell r="BL546">
            <v>-11488.464332892996</v>
          </cell>
          <cell r="BM546">
            <v>-10656.231836195506</v>
          </cell>
          <cell r="BN546">
            <v>-9823.9993394980156</v>
          </cell>
          <cell r="BO546">
            <v>-8991.7668428005254</v>
          </cell>
          <cell r="BP546">
            <v>-8159.5343461030352</v>
          </cell>
          <cell r="BQ546">
            <v>-7327.301849405545</v>
          </cell>
          <cell r="BR546">
            <v>-6495.0693527080548</v>
          </cell>
          <cell r="BS546">
            <v>-5662.8368560105646</v>
          </cell>
          <cell r="BT546">
            <v>-4830.6043593130744</v>
          </cell>
          <cell r="BU546">
            <v>-3998.3718626155842</v>
          </cell>
          <cell r="BV546">
            <v>-3126.5092470277373</v>
          </cell>
        </row>
        <row r="547">
          <cell r="A547" t="str">
            <v>Blank</v>
          </cell>
          <cell r="B547" t="str">
            <v>Blank</v>
          </cell>
          <cell r="D547" t="str">
            <v>Blank</v>
          </cell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</row>
        <row r="548">
          <cell r="A548" t="str">
            <v>Nissan</v>
          </cell>
          <cell r="B548" t="str">
            <v>PZ1D Total</v>
          </cell>
          <cell r="D548" t="str">
            <v>Weekly Output  PLAN</v>
          </cell>
          <cell r="Z548">
            <v>380.44914134742407</v>
          </cell>
          <cell r="AA548">
            <v>353.6988110964333</v>
          </cell>
          <cell r="AB548">
            <v>0</v>
          </cell>
          <cell r="AC548">
            <v>0</v>
          </cell>
          <cell r="AD548">
            <v>396.97490092470287</v>
          </cell>
          <cell r="AE548">
            <v>690.75297225891688</v>
          </cell>
          <cell r="AF548">
            <v>719.88110964332918</v>
          </cell>
          <cell r="AG548">
            <v>749.00924702774114</v>
          </cell>
          <cell r="AH548">
            <v>790.62087186261579</v>
          </cell>
          <cell r="AI548">
            <v>832.23249669749021</v>
          </cell>
          <cell r="AJ548">
            <v>853.03830911492753</v>
          </cell>
          <cell r="AK548">
            <v>699.07529722589186</v>
          </cell>
          <cell r="AL548">
            <v>732.3645970937913</v>
          </cell>
          <cell r="AM548">
            <v>915.45574636723916</v>
          </cell>
          <cell r="AN548">
            <v>732.3645970937913</v>
          </cell>
          <cell r="AO548">
            <v>915.45574636723916</v>
          </cell>
          <cell r="AP548">
            <v>915.45574636723916</v>
          </cell>
          <cell r="AQ548">
            <v>915.45574636723916</v>
          </cell>
          <cell r="AR548">
            <v>915.45574636723916</v>
          </cell>
          <cell r="AS548">
            <v>915.45574636723916</v>
          </cell>
          <cell r="AT548">
            <v>915.45574636723916</v>
          </cell>
          <cell r="AU548">
            <v>915.45574636723916</v>
          </cell>
          <cell r="AV548">
            <v>915.45574636723916</v>
          </cell>
          <cell r="AW548">
            <v>915.45574636723916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832.23249669749009</v>
          </cell>
          <cell r="BL548">
            <v>832.23249669749009</v>
          </cell>
          <cell r="BM548">
            <v>832.23249669749009</v>
          </cell>
          <cell r="BN548">
            <v>832.23249669749009</v>
          </cell>
          <cell r="BO548">
            <v>832.23249669749009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</row>
        <row r="549">
          <cell r="A549" t="str">
            <v>Nissan</v>
          </cell>
          <cell r="B549" t="str">
            <v>PZ1D Total</v>
          </cell>
          <cell r="D549" t="str">
            <v>Weekly demand</v>
          </cell>
          <cell r="Z549">
            <v>124.5</v>
          </cell>
          <cell r="AA549">
            <v>0.5</v>
          </cell>
          <cell r="AB549">
            <v>8</v>
          </cell>
          <cell r="AC549">
            <v>9</v>
          </cell>
          <cell r="AD549">
            <v>5</v>
          </cell>
          <cell r="AE549">
            <v>286.5</v>
          </cell>
          <cell r="AF549">
            <v>365.125</v>
          </cell>
          <cell r="AG549">
            <v>443</v>
          </cell>
          <cell r="AH549">
            <v>451.375</v>
          </cell>
          <cell r="AI549">
            <v>552</v>
          </cell>
          <cell r="AJ549">
            <v>691.5</v>
          </cell>
          <cell r="AK549">
            <v>838.25</v>
          </cell>
          <cell r="AL549">
            <v>830.875</v>
          </cell>
          <cell r="AM549">
            <v>810.125</v>
          </cell>
          <cell r="AN549">
            <v>794.25</v>
          </cell>
          <cell r="AO549">
            <v>946.625</v>
          </cell>
          <cell r="AP549">
            <v>792.375</v>
          </cell>
          <cell r="AQ549">
            <v>0</v>
          </cell>
          <cell r="AR549">
            <v>0</v>
          </cell>
          <cell r="AS549">
            <v>1378.4</v>
          </cell>
          <cell r="AT549">
            <v>1378.4</v>
          </cell>
          <cell r="AU549">
            <v>1378.4</v>
          </cell>
          <cell r="AV549">
            <v>1378.4</v>
          </cell>
          <cell r="AW549">
            <v>1378.4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15140.999999999998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</row>
        <row r="550">
          <cell r="A550" t="str">
            <v>Nissan</v>
          </cell>
          <cell r="B550" t="str">
            <v>PZ1D Total</v>
          </cell>
          <cell r="D550" t="str">
            <v>Stock Target</v>
          </cell>
          <cell r="Z550">
            <v>500</v>
          </cell>
          <cell r="AA550">
            <v>500</v>
          </cell>
          <cell r="AB550">
            <v>500</v>
          </cell>
          <cell r="AC550">
            <v>500</v>
          </cell>
          <cell r="AD550">
            <v>500</v>
          </cell>
          <cell r="AE550">
            <v>500</v>
          </cell>
          <cell r="AF550">
            <v>500</v>
          </cell>
          <cell r="AG550">
            <v>500</v>
          </cell>
          <cell r="AH550">
            <v>500</v>
          </cell>
          <cell r="AI550">
            <v>500</v>
          </cell>
          <cell r="AJ550">
            <v>500</v>
          </cell>
          <cell r="AK550">
            <v>500</v>
          </cell>
          <cell r="AL550">
            <v>500</v>
          </cell>
          <cell r="AM550">
            <v>500</v>
          </cell>
          <cell r="AN550">
            <v>500</v>
          </cell>
          <cell r="AO550">
            <v>500</v>
          </cell>
          <cell r="AP550">
            <v>500</v>
          </cell>
          <cell r="AQ550">
            <v>500</v>
          </cell>
          <cell r="AR550">
            <v>500</v>
          </cell>
          <cell r="AS550">
            <v>500</v>
          </cell>
          <cell r="AT550">
            <v>500</v>
          </cell>
          <cell r="AU550">
            <v>500</v>
          </cell>
          <cell r="AV550">
            <v>500</v>
          </cell>
          <cell r="AW550">
            <v>500</v>
          </cell>
          <cell r="AX550">
            <v>500</v>
          </cell>
          <cell r="AY550">
            <v>500</v>
          </cell>
          <cell r="AZ550">
            <v>500</v>
          </cell>
          <cell r="BA550">
            <v>500</v>
          </cell>
          <cell r="BB550">
            <v>500</v>
          </cell>
          <cell r="BC550">
            <v>500</v>
          </cell>
          <cell r="BD550">
            <v>500</v>
          </cell>
          <cell r="BE550">
            <v>500</v>
          </cell>
          <cell r="BF550">
            <v>500</v>
          </cell>
          <cell r="BG550">
            <v>500</v>
          </cell>
          <cell r="BH550">
            <v>500</v>
          </cell>
          <cell r="BI550">
            <v>500</v>
          </cell>
          <cell r="BJ550">
            <v>500</v>
          </cell>
          <cell r="BK550">
            <v>500</v>
          </cell>
          <cell r="BL550">
            <v>500</v>
          </cell>
          <cell r="BM550">
            <v>500</v>
          </cell>
          <cell r="BN550">
            <v>500</v>
          </cell>
          <cell r="BO550">
            <v>500</v>
          </cell>
          <cell r="BP550">
            <v>1500</v>
          </cell>
          <cell r="BQ550">
            <v>1500</v>
          </cell>
          <cell r="BR550">
            <v>1500</v>
          </cell>
          <cell r="BS550">
            <v>1500</v>
          </cell>
          <cell r="BT550">
            <v>1500</v>
          </cell>
          <cell r="BU550">
            <v>1500</v>
          </cell>
          <cell r="BV550">
            <v>1500</v>
          </cell>
        </row>
        <row r="551">
          <cell r="A551" t="str">
            <v>Nissan</v>
          </cell>
          <cell r="B551" t="str">
            <v>PZ1D Total</v>
          </cell>
          <cell r="D551" t="str">
            <v>STOCK</v>
          </cell>
          <cell r="Z551">
            <v>0</v>
          </cell>
          <cell r="AA551">
            <v>353.1988110964333</v>
          </cell>
          <cell r="AB551">
            <v>345.1988110964333</v>
          </cell>
          <cell r="AC551">
            <v>336.1988110964333</v>
          </cell>
          <cell r="AD551">
            <v>728.17371202113623</v>
          </cell>
          <cell r="AE551">
            <v>1132.426684280053</v>
          </cell>
          <cell r="AF551">
            <v>1487.1827939233822</v>
          </cell>
          <cell r="AG551">
            <v>1793.1920409511233</v>
          </cell>
          <cell r="AH551">
            <v>2132.4379128137389</v>
          </cell>
          <cell r="AI551">
            <v>2412.6704095112291</v>
          </cell>
          <cell r="AJ551">
            <v>2574.2087186261565</v>
          </cell>
          <cell r="AK551">
            <v>2435.0340158520485</v>
          </cell>
          <cell r="AL551">
            <v>2336.5236129458399</v>
          </cell>
          <cell r="AM551">
            <v>2441.8543593130789</v>
          </cell>
          <cell r="AN551">
            <v>2379.9689564068703</v>
          </cell>
          <cell r="AO551">
            <v>2348.7997027741094</v>
          </cell>
          <cell r="AP551">
            <v>2471.8804491413484</v>
          </cell>
          <cell r="AQ551">
            <v>3387.3361955085875</v>
          </cell>
          <cell r="AR551">
            <v>4302.7919418758265</v>
          </cell>
          <cell r="AS551">
            <v>3839.8476882430655</v>
          </cell>
          <cell r="AT551">
            <v>3376.9034346103044</v>
          </cell>
          <cell r="AU551">
            <v>2913.9591809775434</v>
          </cell>
          <cell r="AV551">
            <v>2451.0149273447823</v>
          </cell>
          <cell r="AW551">
            <v>1988.0706737120213</v>
          </cell>
          <cell r="AX551">
            <v>1988.0706737120213</v>
          </cell>
          <cell r="AY551">
            <v>1988.0706737120213</v>
          </cell>
          <cell r="AZ551">
            <v>1988.0706737120213</v>
          </cell>
          <cell r="BA551">
            <v>1988.0706737120213</v>
          </cell>
          <cell r="BB551">
            <v>1988.0706737120213</v>
          </cell>
          <cell r="BC551">
            <v>1988.0706737120213</v>
          </cell>
          <cell r="BD551">
            <v>1988.0706737120213</v>
          </cell>
          <cell r="BE551">
            <v>1988.0706737120213</v>
          </cell>
          <cell r="BF551">
            <v>1988.0706737120213</v>
          </cell>
          <cell r="BG551">
            <v>1988.0706737120213</v>
          </cell>
          <cell r="BH551">
            <v>1988.0706737120213</v>
          </cell>
          <cell r="BI551">
            <v>1988.0706737120213</v>
          </cell>
          <cell r="BJ551">
            <v>1988.0706737120213</v>
          </cell>
          <cell r="BK551">
            <v>2820.3031704095115</v>
          </cell>
          <cell r="BL551">
            <v>-11488.464332892996</v>
          </cell>
          <cell r="BM551">
            <v>-10656.231836195506</v>
          </cell>
          <cell r="BN551">
            <v>-9823.9993394980156</v>
          </cell>
          <cell r="BO551">
            <v>-4775.9152407769161</v>
          </cell>
          <cell r="BP551">
            <v>-3100.5124236747042</v>
          </cell>
          <cell r="BQ551">
            <v>-1425.1096065724923</v>
          </cell>
          <cell r="BR551">
            <v>250.29321052971954</v>
          </cell>
          <cell r="BS551">
            <v>1925.6960276319314</v>
          </cell>
          <cell r="BT551">
            <v>3601.0988447341442</v>
          </cell>
          <cell r="BU551">
            <v>5276.501661836357</v>
          </cell>
          <cell r="BV551">
            <v>7160.1686619098691</v>
          </cell>
        </row>
        <row r="552">
          <cell r="A552" t="str">
            <v>Blank</v>
          </cell>
          <cell r="B552" t="str">
            <v>Blank</v>
          </cell>
          <cell r="D552" t="str">
            <v>Blank</v>
          </cell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</row>
        <row r="553">
          <cell r="A553" t="str">
            <v>CV</v>
          </cell>
          <cell r="B553" t="str">
            <v>MAN</v>
          </cell>
          <cell r="D553" t="str">
            <v>Work days</v>
          </cell>
          <cell r="E553" t="str">
            <v>10-15 (11/12 opt)</v>
          </cell>
          <cell r="Z553">
            <v>5</v>
          </cell>
          <cell r="AA553">
            <v>5</v>
          </cell>
          <cell r="AB553">
            <v>5</v>
          </cell>
          <cell r="AC553">
            <v>5</v>
          </cell>
          <cell r="AD553">
            <v>3</v>
          </cell>
          <cell r="AE553">
            <v>5</v>
          </cell>
          <cell r="AF553">
            <v>5</v>
          </cell>
          <cell r="AG553">
            <v>5</v>
          </cell>
          <cell r="AH553">
            <v>5</v>
          </cell>
          <cell r="AI553">
            <v>5</v>
          </cell>
          <cell r="AJ553">
            <v>5</v>
          </cell>
          <cell r="AK553">
            <v>4</v>
          </cell>
          <cell r="AL553">
            <v>4</v>
          </cell>
          <cell r="AM553">
            <v>5</v>
          </cell>
          <cell r="AN553">
            <v>4</v>
          </cell>
          <cell r="AO553">
            <v>5</v>
          </cell>
          <cell r="AP553">
            <v>5</v>
          </cell>
          <cell r="AQ553">
            <v>5</v>
          </cell>
          <cell r="AR553">
            <v>5</v>
          </cell>
          <cell r="AS553">
            <v>5</v>
          </cell>
          <cell r="AT553">
            <v>5</v>
          </cell>
          <cell r="AU553">
            <v>5</v>
          </cell>
          <cell r="AV553">
            <v>5</v>
          </cell>
          <cell r="AW553">
            <v>5</v>
          </cell>
          <cell r="AX553">
            <v>5</v>
          </cell>
          <cell r="AY553">
            <v>5</v>
          </cell>
          <cell r="AZ553">
            <v>5</v>
          </cell>
          <cell r="BA553">
            <v>5</v>
          </cell>
          <cell r="BB553">
            <v>0</v>
          </cell>
          <cell r="BC553">
            <v>0</v>
          </cell>
          <cell r="BD553">
            <v>5</v>
          </cell>
          <cell r="BE553">
            <v>5</v>
          </cell>
          <cell r="BF553">
            <v>5</v>
          </cell>
          <cell r="BG553">
            <v>5</v>
          </cell>
          <cell r="BH553">
            <v>5</v>
          </cell>
          <cell r="BI553">
            <v>5</v>
          </cell>
          <cell r="BJ553">
            <v>5</v>
          </cell>
          <cell r="BK553">
            <v>5</v>
          </cell>
          <cell r="BL553">
            <v>26</v>
          </cell>
          <cell r="BM553">
            <v>26</v>
          </cell>
          <cell r="BN553">
            <v>26</v>
          </cell>
          <cell r="BO553">
            <v>26</v>
          </cell>
          <cell r="BP553">
            <v>26</v>
          </cell>
          <cell r="BQ553">
            <v>26</v>
          </cell>
          <cell r="BR553">
            <v>26</v>
          </cell>
          <cell r="BS553">
            <v>26</v>
          </cell>
          <cell r="BT553">
            <v>26</v>
          </cell>
          <cell r="BU553">
            <v>26</v>
          </cell>
          <cell r="BV553">
            <v>26</v>
          </cell>
        </row>
        <row r="554">
          <cell r="A554" t="str">
            <v>CV</v>
          </cell>
          <cell r="B554" t="str">
            <v>MAN</v>
          </cell>
          <cell r="D554" t="str">
            <v>SHIFT A HC - operators</v>
          </cell>
          <cell r="Z554">
            <v>11</v>
          </cell>
          <cell r="AA554">
            <v>13</v>
          </cell>
          <cell r="AB554">
            <v>11</v>
          </cell>
          <cell r="AC554">
            <v>11</v>
          </cell>
          <cell r="AD554">
            <v>11</v>
          </cell>
          <cell r="AE554">
            <v>11</v>
          </cell>
          <cell r="AF554">
            <v>11</v>
          </cell>
          <cell r="AG554">
            <v>11</v>
          </cell>
          <cell r="AH554">
            <v>11</v>
          </cell>
          <cell r="AI554">
            <v>11</v>
          </cell>
          <cell r="AJ554">
            <v>11</v>
          </cell>
          <cell r="AK554">
            <v>11</v>
          </cell>
          <cell r="AL554">
            <v>11</v>
          </cell>
          <cell r="AM554">
            <v>11</v>
          </cell>
          <cell r="AN554">
            <v>11</v>
          </cell>
          <cell r="AO554">
            <v>12</v>
          </cell>
          <cell r="AP554">
            <v>12</v>
          </cell>
          <cell r="AQ554">
            <v>12</v>
          </cell>
          <cell r="AR554">
            <v>12</v>
          </cell>
          <cell r="AS554">
            <v>12</v>
          </cell>
          <cell r="AT554">
            <v>12</v>
          </cell>
          <cell r="AU554">
            <v>12</v>
          </cell>
          <cell r="AV554">
            <v>12</v>
          </cell>
          <cell r="AW554">
            <v>12</v>
          </cell>
          <cell r="AX554">
            <v>12</v>
          </cell>
          <cell r="AY554">
            <v>12</v>
          </cell>
          <cell r="AZ554">
            <v>12</v>
          </cell>
          <cell r="BA554">
            <v>12</v>
          </cell>
          <cell r="BB554">
            <v>12</v>
          </cell>
          <cell r="BC554">
            <v>12</v>
          </cell>
          <cell r="BD554">
            <v>12</v>
          </cell>
          <cell r="BE554">
            <v>12</v>
          </cell>
          <cell r="BF554">
            <v>12</v>
          </cell>
          <cell r="BG554">
            <v>12</v>
          </cell>
          <cell r="BH554">
            <v>12</v>
          </cell>
          <cell r="BI554">
            <v>12</v>
          </cell>
          <cell r="BJ554">
            <v>12</v>
          </cell>
          <cell r="BK554">
            <v>13</v>
          </cell>
          <cell r="BL554">
            <v>13</v>
          </cell>
          <cell r="BM554">
            <v>13</v>
          </cell>
          <cell r="BN554">
            <v>13</v>
          </cell>
          <cell r="BO554">
            <v>13</v>
          </cell>
          <cell r="BP554">
            <v>13</v>
          </cell>
          <cell r="BQ554">
            <v>13</v>
          </cell>
          <cell r="BR554">
            <v>13</v>
          </cell>
          <cell r="BS554">
            <v>13</v>
          </cell>
          <cell r="BT554">
            <v>13</v>
          </cell>
          <cell r="BU554">
            <v>13</v>
          </cell>
          <cell r="BV554">
            <v>13</v>
          </cell>
        </row>
        <row r="555">
          <cell r="A555" t="str">
            <v>CV</v>
          </cell>
          <cell r="B555" t="str">
            <v>MAN</v>
          </cell>
          <cell r="D555" t="str">
            <v>SHIFT B HC  - operators</v>
          </cell>
          <cell r="Z555">
            <v>11</v>
          </cell>
          <cell r="AA555">
            <v>13</v>
          </cell>
          <cell r="AB555">
            <v>11</v>
          </cell>
          <cell r="AC555">
            <v>11</v>
          </cell>
          <cell r="AD555">
            <v>11</v>
          </cell>
          <cell r="AE555">
            <v>11</v>
          </cell>
          <cell r="AF555">
            <v>11</v>
          </cell>
          <cell r="AG555">
            <v>11</v>
          </cell>
          <cell r="AH555">
            <v>11</v>
          </cell>
          <cell r="AI555">
            <v>11</v>
          </cell>
          <cell r="AJ555">
            <v>11</v>
          </cell>
          <cell r="AK555">
            <v>11</v>
          </cell>
          <cell r="AL555">
            <v>11</v>
          </cell>
          <cell r="AM555">
            <v>11</v>
          </cell>
          <cell r="AN555">
            <v>11</v>
          </cell>
          <cell r="AO555">
            <v>12</v>
          </cell>
          <cell r="AP555">
            <v>12</v>
          </cell>
          <cell r="AQ555">
            <v>12</v>
          </cell>
          <cell r="AR555">
            <v>12</v>
          </cell>
          <cell r="AS555">
            <v>12</v>
          </cell>
          <cell r="AT555">
            <v>12</v>
          </cell>
          <cell r="AU555">
            <v>12</v>
          </cell>
          <cell r="AV555">
            <v>12</v>
          </cell>
          <cell r="AW555">
            <v>12</v>
          </cell>
          <cell r="AX555">
            <v>12</v>
          </cell>
          <cell r="AY555">
            <v>12</v>
          </cell>
          <cell r="AZ555">
            <v>12</v>
          </cell>
          <cell r="BA555">
            <v>12</v>
          </cell>
          <cell r="BB555">
            <v>12</v>
          </cell>
          <cell r="BC555">
            <v>12</v>
          </cell>
          <cell r="BD555">
            <v>12</v>
          </cell>
          <cell r="BE555">
            <v>12</v>
          </cell>
          <cell r="BF555">
            <v>12</v>
          </cell>
          <cell r="BG555">
            <v>12</v>
          </cell>
          <cell r="BH555">
            <v>12</v>
          </cell>
          <cell r="BI555">
            <v>12</v>
          </cell>
          <cell r="BJ555">
            <v>12</v>
          </cell>
          <cell r="BK555">
            <v>13</v>
          </cell>
          <cell r="BL555">
            <v>13</v>
          </cell>
          <cell r="BM555">
            <v>13</v>
          </cell>
          <cell r="BN555">
            <v>13</v>
          </cell>
          <cell r="BO555">
            <v>13</v>
          </cell>
          <cell r="BP555">
            <v>13</v>
          </cell>
          <cell r="BQ555">
            <v>13</v>
          </cell>
          <cell r="BR555">
            <v>13</v>
          </cell>
          <cell r="BS555">
            <v>13</v>
          </cell>
          <cell r="BT555">
            <v>13</v>
          </cell>
          <cell r="BU555">
            <v>13</v>
          </cell>
          <cell r="BV555">
            <v>13</v>
          </cell>
        </row>
        <row r="556">
          <cell r="A556" t="str">
            <v>CV</v>
          </cell>
          <cell r="B556" t="str">
            <v>MAN</v>
          </cell>
          <cell r="D556" t="str">
            <v>SHIFT C HC  - operators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</row>
        <row r="557">
          <cell r="A557" t="str">
            <v>CV</v>
          </cell>
          <cell r="B557" t="str">
            <v>MAN</v>
          </cell>
          <cell r="D557" t="str">
            <v>Total HC</v>
          </cell>
          <cell r="Z557">
            <v>22</v>
          </cell>
          <cell r="AA557">
            <v>26</v>
          </cell>
          <cell r="AB557">
            <v>22</v>
          </cell>
          <cell r="AC557">
            <v>22</v>
          </cell>
          <cell r="AD557">
            <v>22</v>
          </cell>
          <cell r="AE557">
            <v>22</v>
          </cell>
          <cell r="AF557">
            <v>22</v>
          </cell>
          <cell r="AG557">
            <v>22</v>
          </cell>
          <cell r="AH557">
            <v>22</v>
          </cell>
          <cell r="AI557">
            <v>22</v>
          </cell>
          <cell r="AJ557">
            <v>22</v>
          </cell>
          <cell r="AK557">
            <v>22</v>
          </cell>
          <cell r="AL557">
            <v>22</v>
          </cell>
          <cell r="AM557">
            <v>22</v>
          </cell>
          <cell r="AN557">
            <v>22</v>
          </cell>
          <cell r="AO557">
            <v>24</v>
          </cell>
          <cell r="AP557">
            <v>24</v>
          </cell>
          <cell r="AQ557">
            <v>24</v>
          </cell>
          <cell r="AR557">
            <v>24</v>
          </cell>
          <cell r="AS557">
            <v>24</v>
          </cell>
          <cell r="AT557">
            <v>24</v>
          </cell>
          <cell r="AU557">
            <v>24</v>
          </cell>
          <cell r="AV557">
            <v>24</v>
          </cell>
          <cell r="AW557">
            <v>24</v>
          </cell>
          <cell r="AX557">
            <v>24</v>
          </cell>
          <cell r="AY557">
            <v>24</v>
          </cell>
          <cell r="AZ557">
            <v>24</v>
          </cell>
          <cell r="BA557">
            <v>24</v>
          </cell>
          <cell r="BB557">
            <v>24</v>
          </cell>
          <cell r="BC557">
            <v>24</v>
          </cell>
          <cell r="BD557">
            <v>24</v>
          </cell>
          <cell r="BE557">
            <v>24</v>
          </cell>
          <cell r="BF557">
            <v>24</v>
          </cell>
          <cell r="BG557">
            <v>24</v>
          </cell>
          <cell r="BH557">
            <v>24</v>
          </cell>
          <cell r="BI557">
            <v>24</v>
          </cell>
          <cell r="BJ557">
            <v>24</v>
          </cell>
          <cell r="BK557">
            <v>26</v>
          </cell>
          <cell r="BL557">
            <v>26</v>
          </cell>
          <cell r="BM557">
            <v>26</v>
          </cell>
          <cell r="BN557">
            <v>26</v>
          </cell>
          <cell r="BO557">
            <v>26</v>
          </cell>
          <cell r="BP557">
            <v>26</v>
          </cell>
          <cell r="BQ557">
            <v>26</v>
          </cell>
          <cell r="BR557">
            <v>26</v>
          </cell>
          <cell r="BS557">
            <v>26</v>
          </cell>
          <cell r="BT557">
            <v>26</v>
          </cell>
          <cell r="BU557">
            <v>26</v>
          </cell>
          <cell r="BV557">
            <v>26</v>
          </cell>
        </row>
        <row r="558">
          <cell r="A558" t="str">
            <v>CV</v>
          </cell>
          <cell r="B558" t="str">
            <v>MAN</v>
          </cell>
          <cell r="D558" t="str">
            <v>SHIFT A HC  - efficiency</v>
          </cell>
          <cell r="Z558">
            <v>1.2</v>
          </cell>
          <cell r="AA558">
            <v>1.1000000000000001</v>
          </cell>
          <cell r="AB558">
            <v>1.2</v>
          </cell>
          <cell r="AC558">
            <v>1.2</v>
          </cell>
          <cell r="AD558">
            <v>1.2</v>
          </cell>
          <cell r="AE558">
            <v>1.2</v>
          </cell>
          <cell r="AF558">
            <v>1.2</v>
          </cell>
          <cell r="AG558">
            <v>1.2</v>
          </cell>
          <cell r="AH558">
            <v>1.2</v>
          </cell>
          <cell r="AI558">
            <v>1.2</v>
          </cell>
          <cell r="AJ558">
            <v>1.2</v>
          </cell>
          <cell r="AK558">
            <v>1.2</v>
          </cell>
          <cell r="AL558">
            <v>1.2</v>
          </cell>
          <cell r="AM558">
            <v>1.2</v>
          </cell>
          <cell r="AN558">
            <v>1.2</v>
          </cell>
          <cell r="AO558">
            <v>1.25</v>
          </cell>
          <cell r="AP558">
            <v>1.25</v>
          </cell>
          <cell r="AQ558">
            <v>1.25</v>
          </cell>
          <cell r="AR558">
            <v>1.25</v>
          </cell>
          <cell r="AS558">
            <v>1.25</v>
          </cell>
          <cell r="AT558">
            <v>1.25</v>
          </cell>
          <cell r="AU558">
            <v>1.25</v>
          </cell>
          <cell r="AV558">
            <v>1.25</v>
          </cell>
          <cell r="AW558">
            <v>1.25</v>
          </cell>
          <cell r="AX558">
            <v>1.25</v>
          </cell>
          <cell r="AY558">
            <v>1.25</v>
          </cell>
          <cell r="AZ558">
            <v>1.25</v>
          </cell>
          <cell r="BA558">
            <v>1.25</v>
          </cell>
          <cell r="BB558">
            <v>1.25</v>
          </cell>
          <cell r="BC558">
            <v>1.25</v>
          </cell>
          <cell r="BD558">
            <v>1.25</v>
          </cell>
          <cell r="BE558">
            <v>1.2</v>
          </cell>
          <cell r="BF558">
            <v>1.2</v>
          </cell>
          <cell r="BG558">
            <v>1.2</v>
          </cell>
          <cell r="BH558">
            <v>1.2</v>
          </cell>
          <cell r="BI558">
            <v>1.2</v>
          </cell>
          <cell r="BJ558">
            <v>1.1499999999999999</v>
          </cell>
          <cell r="BK558">
            <v>1.2</v>
          </cell>
          <cell r="BL558">
            <v>1.2</v>
          </cell>
          <cell r="BM558">
            <v>1.2</v>
          </cell>
          <cell r="BN558">
            <v>1.2</v>
          </cell>
          <cell r="BO558">
            <v>1.2</v>
          </cell>
          <cell r="BP558">
            <v>1.2</v>
          </cell>
          <cell r="BQ558">
            <v>1.2</v>
          </cell>
          <cell r="BR558">
            <v>1.2</v>
          </cell>
          <cell r="BS558">
            <v>1.2</v>
          </cell>
          <cell r="BT558">
            <v>1.2</v>
          </cell>
          <cell r="BU558">
            <v>1.2</v>
          </cell>
          <cell r="BV558">
            <v>1.2</v>
          </cell>
        </row>
        <row r="559">
          <cell r="A559" t="str">
            <v>CV</v>
          </cell>
          <cell r="B559" t="str">
            <v>MAN</v>
          </cell>
          <cell r="D559" t="str">
            <v>SHIFT B HC  - efficiency</v>
          </cell>
          <cell r="Z559">
            <v>1.2</v>
          </cell>
          <cell r="AA559">
            <v>1.1000000000000001</v>
          </cell>
          <cell r="AB559">
            <v>1.2</v>
          </cell>
          <cell r="AC559">
            <v>1.2</v>
          </cell>
          <cell r="AD559">
            <v>1.2</v>
          </cell>
          <cell r="AE559">
            <v>1.2</v>
          </cell>
          <cell r="AF559">
            <v>1.2</v>
          </cell>
          <cell r="AG559">
            <v>1.2</v>
          </cell>
          <cell r="AH559">
            <v>1.2</v>
          </cell>
          <cell r="AI559">
            <v>1.2</v>
          </cell>
          <cell r="AJ559">
            <v>1.2</v>
          </cell>
          <cell r="AK559">
            <v>1.2</v>
          </cell>
          <cell r="AL559">
            <v>1.2</v>
          </cell>
          <cell r="AM559">
            <v>1.2</v>
          </cell>
          <cell r="AN559">
            <v>1.2</v>
          </cell>
          <cell r="AO559">
            <v>1.25</v>
          </cell>
          <cell r="AP559">
            <v>1.25</v>
          </cell>
          <cell r="AQ559">
            <v>1.25</v>
          </cell>
          <cell r="AR559">
            <v>1.25</v>
          </cell>
          <cell r="AS559">
            <v>1.25</v>
          </cell>
          <cell r="AT559">
            <v>1.25</v>
          </cell>
          <cell r="AU559">
            <v>1.25</v>
          </cell>
          <cell r="AV559">
            <v>1.25</v>
          </cell>
          <cell r="AW559">
            <v>1.25</v>
          </cell>
          <cell r="AX559">
            <v>1.25</v>
          </cell>
          <cell r="AY559">
            <v>1.25</v>
          </cell>
          <cell r="AZ559">
            <v>1.25</v>
          </cell>
          <cell r="BA559">
            <v>1.25</v>
          </cell>
          <cell r="BB559">
            <v>1.25</v>
          </cell>
          <cell r="BC559">
            <v>1.25</v>
          </cell>
          <cell r="BD559">
            <v>1.25</v>
          </cell>
          <cell r="BE559">
            <v>1.2</v>
          </cell>
          <cell r="BF559">
            <v>1.2</v>
          </cell>
          <cell r="BG559">
            <v>1.2</v>
          </cell>
          <cell r="BH559">
            <v>1.2</v>
          </cell>
          <cell r="BI559">
            <v>1.2</v>
          </cell>
          <cell r="BJ559">
            <v>1.1499999999999999</v>
          </cell>
          <cell r="BK559">
            <v>1</v>
          </cell>
          <cell r="BL559">
            <v>1</v>
          </cell>
          <cell r="BM559">
            <v>1</v>
          </cell>
          <cell r="BN559">
            <v>1</v>
          </cell>
          <cell r="BO559">
            <v>1</v>
          </cell>
          <cell r="BP559">
            <v>1</v>
          </cell>
          <cell r="BQ559">
            <v>1</v>
          </cell>
          <cell r="BR559">
            <v>1</v>
          </cell>
          <cell r="BS559">
            <v>1</v>
          </cell>
          <cell r="BT559">
            <v>1</v>
          </cell>
          <cell r="BU559">
            <v>1</v>
          </cell>
          <cell r="BV559">
            <v>1</v>
          </cell>
        </row>
        <row r="560">
          <cell r="A560" t="str">
            <v>CV</v>
          </cell>
          <cell r="B560" t="str">
            <v>MAN</v>
          </cell>
          <cell r="D560" t="str">
            <v>SHIFT C HC  - efficiency</v>
          </cell>
          <cell r="Z560">
            <v>1</v>
          </cell>
          <cell r="AA560">
            <v>1</v>
          </cell>
          <cell r="AB560">
            <v>1</v>
          </cell>
          <cell r="AC560">
            <v>1</v>
          </cell>
          <cell r="AD560">
            <v>1</v>
          </cell>
          <cell r="AE560">
            <v>1</v>
          </cell>
          <cell r="AF560">
            <v>1</v>
          </cell>
          <cell r="AG560">
            <v>1</v>
          </cell>
          <cell r="AH560">
            <v>1</v>
          </cell>
          <cell r="AI560">
            <v>1</v>
          </cell>
          <cell r="AJ560">
            <v>1</v>
          </cell>
          <cell r="AK560">
            <v>1</v>
          </cell>
          <cell r="AL560">
            <v>1</v>
          </cell>
          <cell r="AM560">
            <v>1</v>
          </cell>
          <cell r="AN560">
            <v>1</v>
          </cell>
          <cell r="AO560">
            <v>1</v>
          </cell>
          <cell r="AP560">
            <v>1</v>
          </cell>
          <cell r="AQ560">
            <v>1</v>
          </cell>
          <cell r="AR560">
            <v>1</v>
          </cell>
          <cell r="AS560">
            <v>1</v>
          </cell>
          <cell r="AT560">
            <v>1</v>
          </cell>
          <cell r="AU560">
            <v>1</v>
          </cell>
          <cell r="AV560">
            <v>1</v>
          </cell>
          <cell r="AW560">
            <v>1</v>
          </cell>
          <cell r="AX560">
            <v>1</v>
          </cell>
          <cell r="AY560">
            <v>1</v>
          </cell>
          <cell r="AZ560">
            <v>1</v>
          </cell>
          <cell r="BA560">
            <v>1</v>
          </cell>
          <cell r="BB560">
            <v>1</v>
          </cell>
          <cell r="BC560">
            <v>1</v>
          </cell>
          <cell r="BD560">
            <v>1</v>
          </cell>
          <cell r="BE560">
            <v>1</v>
          </cell>
          <cell r="BF560">
            <v>1</v>
          </cell>
          <cell r="BG560">
            <v>1</v>
          </cell>
          <cell r="BH560">
            <v>1</v>
          </cell>
          <cell r="BI560">
            <v>1</v>
          </cell>
          <cell r="BJ560">
            <v>1</v>
          </cell>
          <cell r="BK560">
            <v>1</v>
          </cell>
          <cell r="BL560">
            <v>1</v>
          </cell>
          <cell r="BM560">
            <v>1</v>
          </cell>
          <cell r="BN560">
            <v>1</v>
          </cell>
          <cell r="BO560">
            <v>1</v>
          </cell>
          <cell r="BP560">
            <v>1</v>
          </cell>
          <cell r="BQ560">
            <v>1</v>
          </cell>
          <cell r="BR560">
            <v>1</v>
          </cell>
          <cell r="BS560">
            <v>1</v>
          </cell>
          <cell r="BT560">
            <v>1</v>
          </cell>
          <cell r="BU560">
            <v>1</v>
          </cell>
          <cell r="BV560">
            <v>1</v>
          </cell>
        </row>
        <row r="561">
          <cell r="A561" t="str">
            <v>CV</v>
          </cell>
          <cell r="B561" t="str">
            <v>MAN</v>
          </cell>
          <cell r="D561" t="str">
            <v>Total efficiency</v>
          </cell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</row>
        <row r="562">
          <cell r="A562" t="str">
            <v>CV</v>
          </cell>
          <cell r="B562" t="str">
            <v>MAN</v>
          </cell>
          <cell r="D562" t="str">
            <v>SHIFT A - output</v>
          </cell>
          <cell r="Z562">
            <v>267.80883678990085</v>
          </cell>
          <cell r="AA562">
            <v>290.12623985572588</v>
          </cell>
          <cell r="AB562">
            <v>267.80883678990085</v>
          </cell>
          <cell r="AC562">
            <v>267.80883678990085</v>
          </cell>
          <cell r="AD562">
            <v>267.80883678990085</v>
          </cell>
          <cell r="AE562">
            <v>267.80883678990085</v>
          </cell>
          <cell r="AF562">
            <v>267.80883678990085</v>
          </cell>
          <cell r="AG562">
            <v>267.80883678990085</v>
          </cell>
          <cell r="AH562">
            <v>267.80883678990085</v>
          </cell>
          <cell r="AI562">
            <v>267.80883678990085</v>
          </cell>
          <cell r="AJ562">
            <v>267.80883678990085</v>
          </cell>
          <cell r="AK562">
            <v>267.80883678990085</v>
          </cell>
          <cell r="AL562">
            <v>267.80883678990085</v>
          </cell>
          <cell r="AM562">
            <v>267.80883678990085</v>
          </cell>
          <cell r="AN562">
            <v>267.80883678990085</v>
          </cell>
          <cell r="AO562">
            <v>278.96753832281337</v>
          </cell>
          <cell r="AP562">
            <v>304.3282236248873</v>
          </cell>
          <cell r="AQ562">
            <v>304.3282236248873</v>
          </cell>
          <cell r="AR562">
            <v>304.3282236248873</v>
          </cell>
          <cell r="AS562">
            <v>304.3282236248873</v>
          </cell>
          <cell r="AT562">
            <v>304.3282236248873</v>
          </cell>
          <cell r="AU562">
            <v>304.3282236248873</v>
          </cell>
          <cell r="AV562">
            <v>304.3282236248873</v>
          </cell>
          <cell r="AW562">
            <v>304.3282236248873</v>
          </cell>
          <cell r="AX562">
            <v>304.3282236248873</v>
          </cell>
          <cell r="AY562">
            <v>304.3282236248873</v>
          </cell>
          <cell r="AZ562">
            <v>304.3282236248873</v>
          </cell>
          <cell r="BA562">
            <v>304.3282236248873</v>
          </cell>
          <cell r="BB562">
            <v>304.3282236248873</v>
          </cell>
          <cell r="BC562">
            <v>304.3282236248873</v>
          </cell>
          <cell r="BD562">
            <v>304.3282236248873</v>
          </cell>
          <cell r="BE562">
            <v>292.15509467989176</v>
          </cell>
          <cell r="BF562">
            <v>292.15509467989176</v>
          </cell>
          <cell r="BG562">
            <v>292.15509467989176</v>
          </cell>
          <cell r="BH562">
            <v>292.15509467989176</v>
          </cell>
          <cell r="BI562">
            <v>292.15509467989176</v>
          </cell>
          <cell r="BJ562">
            <v>279.98196573489628</v>
          </cell>
          <cell r="BK562">
            <v>316.50135256988278</v>
          </cell>
          <cell r="BL562">
            <v>316.50135256988278</v>
          </cell>
          <cell r="BM562">
            <v>316.50135256988278</v>
          </cell>
          <cell r="BN562">
            <v>316.50135256988278</v>
          </cell>
          <cell r="BO562">
            <v>316.50135256988278</v>
          </cell>
          <cell r="BP562">
            <v>316.50135256988278</v>
          </cell>
          <cell r="BQ562">
            <v>316.50135256988278</v>
          </cell>
          <cell r="BR562">
            <v>316.50135256988278</v>
          </cell>
          <cell r="BS562">
            <v>316.50135256988278</v>
          </cell>
          <cell r="BT562">
            <v>316.50135256988278</v>
          </cell>
          <cell r="BU562">
            <v>316.50135256988278</v>
          </cell>
          <cell r="BV562">
            <v>316.50135256988278</v>
          </cell>
        </row>
        <row r="563">
          <cell r="A563" t="str">
            <v>CV</v>
          </cell>
          <cell r="B563" t="str">
            <v>MAN</v>
          </cell>
          <cell r="D563" t="str">
            <v>SHIFT B  - output</v>
          </cell>
          <cell r="Z563">
            <v>267.80883678990085</v>
          </cell>
          <cell r="AA563">
            <v>290.12623985572588</v>
          </cell>
          <cell r="AB563">
            <v>267.80883678990085</v>
          </cell>
          <cell r="AC563">
            <v>267.80883678990085</v>
          </cell>
          <cell r="AD563">
            <v>267.80883678990085</v>
          </cell>
          <cell r="AE563">
            <v>267.80883678990085</v>
          </cell>
          <cell r="AF563">
            <v>267.80883678990085</v>
          </cell>
          <cell r="AG563">
            <v>267.80883678990085</v>
          </cell>
          <cell r="AH563">
            <v>267.80883678990085</v>
          </cell>
          <cell r="AI563">
            <v>267.80883678990085</v>
          </cell>
          <cell r="AJ563">
            <v>267.80883678990085</v>
          </cell>
          <cell r="AK563">
            <v>267.80883678990085</v>
          </cell>
          <cell r="AL563">
            <v>267.80883678990085</v>
          </cell>
          <cell r="AM563">
            <v>267.80883678990085</v>
          </cell>
          <cell r="AN563">
            <v>267.80883678990085</v>
          </cell>
          <cell r="AO563">
            <v>304.3282236248873</v>
          </cell>
          <cell r="AP563">
            <v>304.3282236248873</v>
          </cell>
          <cell r="AQ563">
            <v>304.3282236248873</v>
          </cell>
          <cell r="AR563">
            <v>304.3282236248873</v>
          </cell>
          <cell r="AS563">
            <v>304.3282236248873</v>
          </cell>
          <cell r="AT563">
            <v>304.3282236248873</v>
          </cell>
          <cell r="AU563">
            <v>304.3282236248873</v>
          </cell>
          <cell r="AV563">
            <v>304.3282236248873</v>
          </cell>
          <cell r="AW563">
            <v>304.3282236248873</v>
          </cell>
          <cell r="AX563">
            <v>304.3282236248873</v>
          </cell>
          <cell r="AY563">
            <v>304.3282236248873</v>
          </cell>
          <cell r="AZ563">
            <v>304.3282236248873</v>
          </cell>
          <cell r="BA563">
            <v>304.3282236248873</v>
          </cell>
          <cell r="BB563">
            <v>304.3282236248873</v>
          </cell>
          <cell r="BC563">
            <v>304.3282236248873</v>
          </cell>
          <cell r="BD563">
            <v>304.3282236248873</v>
          </cell>
          <cell r="BE563">
            <v>292.15509467989176</v>
          </cell>
          <cell r="BF563">
            <v>292.15509467989176</v>
          </cell>
          <cell r="BG563">
            <v>292.15509467989176</v>
          </cell>
          <cell r="BH563">
            <v>292.15509467989176</v>
          </cell>
          <cell r="BI563">
            <v>292.15509467989176</v>
          </cell>
          <cell r="BJ563">
            <v>279.98196573489628</v>
          </cell>
          <cell r="BK563">
            <v>263.75112714156899</v>
          </cell>
          <cell r="BL563">
            <v>263.75112714156899</v>
          </cell>
          <cell r="BM563">
            <v>263.75112714156899</v>
          </cell>
          <cell r="BN563">
            <v>263.75112714156899</v>
          </cell>
          <cell r="BO563">
            <v>263.75112714156899</v>
          </cell>
          <cell r="BP563">
            <v>263.75112714156899</v>
          </cell>
          <cell r="BQ563">
            <v>263.75112714156899</v>
          </cell>
          <cell r="BR563">
            <v>263.75112714156899</v>
          </cell>
          <cell r="BS563">
            <v>263.75112714156899</v>
          </cell>
          <cell r="BT563">
            <v>263.75112714156899</v>
          </cell>
          <cell r="BU563">
            <v>263.75112714156899</v>
          </cell>
          <cell r="BV563">
            <v>263.75112714156899</v>
          </cell>
        </row>
        <row r="564">
          <cell r="A564" t="str">
            <v>CV</v>
          </cell>
          <cell r="B564" t="str">
            <v>MAN</v>
          </cell>
          <cell r="D564" t="str">
            <v>SHIFT C  - output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</row>
        <row r="565">
          <cell r="A565" t="str">
            <v>CV</v>
          </cell>
          <cell r="B565" t="str">
            <v>MAN</v>
          </cell>
          <cell r="D565" t="str">
            <v>Est. Output (Pcs day)</v>
          </cell>
          <cell r="E565">
            <v>22.18</v>
          </cell>
          <cell r="Z565">
            <v>535.6176735798017</v>
          </cell>
          <cell r="AA565">
            <v>580.25247971145177</v>
          </cell>
          <cell r="AB565">
            <v>535.6176735798017</v>
          </cell>
          <cell r="AC565">
            <v>535.6176735798017</v>
          </cell>
          <cell r="AD565">
            <v>535.6176735798017</v>
          </cell>
          <cell r="AE565">
            <v>535.6176735798017</v>
          </cell>
          <cell r="AF565">
            <v>535.6176735798017</v>
          </cell>
          <cell r="AG565">
            <v>535.6176735798017</v>
          </cell>
          <cell r="AH565">
            <v>535.6176735798017</v>
          </cell>
          <cell r="AI565">
            <v>535.6176735798017</v>
          </cell>
          <cell r="AJ565">
            <v>535.6176735798017</v>
          </cell>
          <cell r="AK565">
            <v>535.6176735798017</v>
          </cell>
          <cell r="AL565">
            <v>535.6176735798017</v>
          </cell>
          <cell r="AM565">
            <v>535.6176735798017</v>
          </cell>
          <cell r="AN565">
            <v>535.6176735798017</v>
          </cell>
          <cell r="AO565">
            <v>583.29576194770061</v>
          </cell>
          <cell r="AP565">
            <v>608.6564472497746</v>
          </cell>
          <cell r="AQ565">
            <v>608.6564472497746</v>
          </cell>
          <cell r="AR565">
            <v>608.6564472497746</v>
          </cell>
          <cell r="AS565">
            <v>608.6564472497746</v>
          </cell>
          <cell r="AT565">
            <v>608.6564472497746</v>
          </cell>
          <cell r="AU565">
            <v>608.6564472497746</v>
          </cell>
          <cell r="AV565">
            <v>608.6564472497746</v>
          </cell>
          <cell r="AW565">
            <v>608.6564472497746</v>
          </cell>
          <cell r="AX565">
            <v>608.6564472497746</v>
          </cell>
          <cell r="AY565">
            <v>608.6564472497746</v>
          </cell>
          <cell r="AZ565">
            <v>608.6564472497746</v>
          </cell>
          <cell r="BA565">
            <v>608.6564472497746</v>
          </cell>
          <cell r="BB565">
            <v>608.6564472497746</v>
          </cell>
          <cell r="BC565">
            <v>608.6564472497746</v>
          </cell>
          <cell r="BD565">
            <v>608.6564472497746</v>
          </cell>
          <cell r="BE565">
            <v>584.31018935978352</v>
          </cell>
          <cell r="BF565">
            <v>584.31018935978352</v>
          </cell>
          <cell r="BG565">
            <v>584.31018935978352</v>
          </cell>
          <cell r="BH565">
            <v>584.31018935978352</v>
          </cell>
          <cell r="BI565">
            <v>584.31018935978352</v>
          </cell>
          <cell r="BJ565">
            <v>559.96393146979256</v>
          </cell>
          <cell r="BK565">
            <v>580.25247971145177</v>
          </cell>
          <cell r="BL565">
            <v>580.25247971145177</v>
          </cell>
          <cell r="BM565">
            <v>580.25247971145177</v>
          </cell>
          <cell r="BN565">
            <v>580.25247971145177</v>
          </cell>
          <cell r="BO565">
            <v>580.25247971145177</v>
          </cell>
          <cell r="BP565">
            <v>580.25247971145177</v>
          </cell>
          <cell r="BQ565">
            <v>580.25247971145177</v>
          </cell>
          <cell r="BR565">
            <v>580.25247971145177</v>
          </cell>
          <cell r="BS565">
            <v>580.25247971145177</v>
          </cell>
          <cell r="BT565">
            <v>580.25247971145177</v>
          </cell>
          <cell r="BU565">
            <v>580.25247971145177</v>
          </cell>
          <cell r="BV565">
            <v>580.25247971145177</v>
          </cell>
        </row>
        <row r="566">
          <cell r="A566" t="str">
            <v>CV</v>
          </cell>
          <cell r="B566" t="str">
            <v>MAN</v>
          </cell>
          <cell r="D566" t="str">
            <v>Weekly Output PLAN</v>
          </cell>
          <cell r="E566" t="str">
            <v>SEW</v>
          </cell>
          <cell r="Z566">
            <v>2678.0883678990085</v>
          </cell>
          <cell r="AA566">
            <v>2901.2623985572591</v>
          </cell>
          <cell r="AB566">
            <v>2678.0883678990085</v>
          </cell>
          <cell r="AC566">
            <v>2678.0883678990085</v>
          </cell>
          <cell r="AD566">
            <v>1606.8530207394051</v>
          </cell>
          <cell r="AE566">
            <v>2678.0883678990085</v>
          </cell>
          <cell r="AF566">
            <v>2678.0883678990085</v>
          </cell>
          <cell r="AG566">
            <v>2678.0883678990085</v>
          </cell>
          <cell r="AH566">
            <v>2678.0883678990085</v>
          </cell>
          <cell r="AI566">
            <v>2678.0883678990085</v>
          </cell>
          <cell r="AJ566">
            <v>2678.0883678990085</v>
          </cell>
          <cell r="AK566">
            <v>2142.4706943192068</v>
          </cell>
          <cell r="AL566">
            <v>2142.4706943192068</v>
          </cell>
          <cell r="AM566">
            <v>2678.0883678990085</v>
          </cell>
          <cell r="AN566">
            <v>2142.4706943192068</v>
          </cell>
          <cell r="AO566">
            <v>2916.4788097385031</v>
          </cell>
          <cell r="AP566">
            <v>3043.2822362488732</v>
          </cell>
          <cell r="AQ566">
            <v>3043.2822362488732</v>
          </cell>
          <cell r="AR566">
            <v>3043.2822362488732</v>
          </cell>
          <cell r="AS566">
            <v>3043.2822362488732</v>
          </cell>
          <cell r="AT566">
            <v>3043.2822362488732</v>
          </cell>
          <cell r="AU566">
            <v>3043.2822362488732</v>
          </cell>
          <cell r="AV566">
            <v>3043.2822362488732</v>
          </cell>
          <cell r="AW566">
            <v>3043.2822362488732</v>
          </cell>
          <cell r="AX566">
            <v>3043.2822362488732</v>
          </cell>
          <cell r="AY566">
            <v>3043.2822362488732</v>
          </cell>
          <cell r="AZ566">
            <v>3043.2822362488732</v>
          </cell>
          <cell r="BA566">
            <v>3043.2822362488732</v>
          </cell>
          <cell r="BB566">
            <v>0</v>
          </cell>
          <cell r="BC566">
            <v>0</v>
          </cell>
          <cell r="BD566">
            <v>3043.2822362488732</v>
          </cell>
          <cell r="BE566">
            <v>2921.5509467989177</v>
          </cell>
          <cell r="BF566">
            <v>2921.5509467989177</v>
          </cell>
          <cell r="BG566">
            <v>2921.5509467989177</v>
          </cell>
          <cell r="BH566">
            <v>2921.5509467989177</v>
          </cell>
          <cell r="BI566">
            <v>2921.5509467989177</v>
          </cell>
          <cell r="BJ566">
            <v>2799.8196573489627</v>
          </cell>
          <cell r="BK566">
            <v>2901.2623985572591</v>
          </cell>
          <cell r="BL566">
            <v>15086.564472497746</v>
          </cell>
          <cell r="BM566">
            <v>15086.564472497746</v>
          </cell>
          <cell r="BN566">
            <v>15086.564472497746</v>
          </cell>
          <cell r="BO566">
            <v>15086.564472497746</v>
          </cell>
          <cell r="BP566">
            <v>15086.564472497746</v>
          </cell>
          <cell r="BQ566">
            <v>15086.564472497746</v>
          </cell>
          <cell r="BR566">
            <v>15086.564472497746</v>
          </cell>
          <cell r="BS566">
            <v>15086.564472497746</v>
          </cell>
          <cell r="BT566">
            <v>15086.564472497746</v>
          </cell>
          <cell r="BU566">
            <v>15086.564472497746</v>
          </cell>
          <cell r="BV566">
            <v>15086.564472497746</v>
          </cell>
        </row>
        <row r="567">
          <cell r="A567" t="str">
            <v>CV</v>
          </cell>
          <cell r="B567" t="str">
            <v>MAN</v>
          </cell>
          <cell r="D567" t="str">
            <v>Flat Woven</v>
          </cell>
          <cell r="E567">
            <v>22.173000000000002</v>
          </cell>
          <cell r="Z567">
            <v>1225.5126672759704</v>
          </cell>
          <cell r="AA567">
            <v>1327.6387228823012</v>
          </cell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</row>
        <row r="568">
          <cell r="A568" t="str">
            <v>CV</v>
          </cell>
          <cell r="B568" t="str">
            <v>MAN</v>
          </cell>
          <cell r="D568" t="str">
            <v>Velours</v>
          </cell>
          <cell r="E568">
            <v>22.437000000000001</v>
          </cell>
          <cell r="Z568">
            <v>1175.6577854193308</v>
          </cell>
          <cell r="AA568">
            <v>1273.6292675376083</v>
          </cell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</row>
        <row r="569">
          <cell r="A569" t="str">
            <v>CV</v>
          </cell>
          <cell r="B569" t="str">
            <v>MAN</v>
          </cell>
          <cell r="D569" t="str">
            <v>Leather / Alcantara</v>
          </cell>
          <cell r="E569">
            <v>24.573999999999998</v>
          </cell>
          <cell r="Z569">
            <v>276.67648720440144</v>
          </cell>
          <cell r="AA569">
            <v>299.73286113810155</v>
          </cell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</row>
        <row r="570">
          <cell r="A570" t="str">
            <v>CV</v>
          </cell>
          <cell r="B570" t="str">
            <v>MAN</v>
          </cell>
          <cell r="D570" t="str">
            <v>Vinyl</v>
          </cell>
          <cell r="E570">
            <v>19.55</v>
          </cell>
          <cell r="Z570">
            <v>0</v>
          </cell>
          <cell r="AA570">
            <v>0</v>
          </cell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</row>
        <row r="571">
          <cell r="A571" t="str">
            <v>CV</v>
          </cell>
          <cell r="B571" t="str">
            <v>MAN</v>
          </cell>
          <cell r="D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</row>
        <row r="572">
          <cell r="A572" t="str">
            <v>CV</v>
          </cell>
          <cell r="B572" t="str">
            <v>MAN</v>
          </cell>
          <cell r="D572" t="str">
            <v>Weekly Output PLAN - SUM of models</v>
          </cell>
          <cell r="Z572">
            <v>2677.8469398997026</v>
          </cell>
          <cell r="AA572">
            <v>2901.0008515580112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</row>
        <row r="573">
          <cell r="A573" t="str">
            <v>CV</v>
          </cell>
          <cell r="B573" t="str">
            <v>MAN</v>
          </cell>
          <cell r="D573" t="str">
            <v>Weekly Output CHECK with TO time multiple</v>
          </cell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</row>
        <row r="574">
          <cell r="A574" t="str">
            <v>CV</v>
          </cell>
          <cell r="B574" t="str">
            <v>MAN</v>
          </cell>
          <cell r="D574" t="str">
            <v>Weekly Output ACT</v>
          </cell>
          <cell r="Z574">
            <v>2678.0883678990085</v>
          </cell>
          <cell r="AA574">
            <v>2901.2623985572591</v>
          </cell>
          <cell r="AB574">
            <v>2678.0883678990085</v>
          </cell>
          <cell r="AC574">
            <v>2678.0883678990085</v>
          </cell>
          <cell r="AD574">
            <v>1606.8530207394051</v>
          </cell>
          <cell r="AE574">
            <v>2678.0883678990085</v>
          </cell>
          <cell r="AF574">
            <v>2678.0883678990085</v>
          </cell>
          <cell r="AG574">
            <v>2678.0883678990085</v>
          </cell>
          <cell r="AH574">
            <v>2678.0883678990085</v>
          </cell>
          <cell r="AI574">
            <v>2678.0883678990085</v>
          </cell>
          <cell r="AJ574">
            <v>2678.0883678990085</v>
          </cell>
          <cell r="AK574">
            <v>2142.4706943192068</v>
          </cell>
          <cell r="AL574">
            <v>2142.4706943192068</v>
          </cell>
          <cell r="AM574">
            <v>2678.0883678990085</v>
          </cell>
          <cell r="AN574">
            <v>2142.4706943192068</v>
          </cell>
          <cell r="AO574">
            <v>2916.4788097385031</v>
          </cell>
          <cell r="AP574">
            <v>3043.2822362488732</v>
          </cell>
          <cell r="AQ574">
            <v>3043.2822362488732</v>
          </cell>
          <cell r="AR574">
            <v>3043.2822362488732</v>
          </cell>
          <cell r="AS574">
            <v>3043.2822362488732</v>
          </cell>
          <cell r="AT574">
            <v>3043.2822362488732</v>
          </cell>
          <cell r="AU574">
            <v>3043.2822362488732</v>
          </cell>
          <cell r="AV574">
            <v>3043.2822362488732</v>
          </cell>
          <cell r="AW574">
            <v>3043.2822362488732</v>
          </cell>
          <cell r="AX574">
            <v>3043.2822362488732</v>
          </cell>
          <cell r="AY574">
            <v>3043.2822362488732</v>
          </cell>
          <cell r="AZ574">
            <v>3043.2822362488732</v>
          </cell>
          <cell r="BA574">
            <v>3043.2822362488732</v>
          </cell>
          <cell r="BB574">
            <v>0</v>
          </cell>
          <cell r="BC574">
            <v>0</v>
          </cell>
          <cell r="BD574">
            <v>3043.2822362488732</v>
          </cell>
          <cell r="BE574">
            <v>2921.5509467989177</v>
          </cell>
          <cell r="BF574">
            <v>2921.5509467989177</v>
          </cell>
          <cell r="BG574">
            <v>2921.5509467989177</v>
          </cell>
          <cell r="BH574">
            <v>2921.5509467989177</v>
          </cell>
          <cell r="BI574">
            <v>2921.5509467989177</v>
          </cell>
          <cell r="BJ574">
            <v>2799.8196573489627</v>
          </cell>
          <cell r="BK574">
            <v>2901.2623985572591</v>
          </cell>
          <cell r="BL574">
            <v>15086.564472497746</v>
          </cell>
          <cell r="BM574">
            <v>15086.564472497746</v>
          </cell>
          <cell r="BN574">
            <v>15086.564472497746</v>
          </cell>
          <cell r="BO574">
            <v>15086.564472497746</v>
          </cell>
          <cell r="BP574">
            <v>15086.564472497746</v>
          </cell>
          <cell r="BQ574">
            <v>15086.564472497746</v>
          </cell>
          <cell r="BR574">
            <v>15086.564472497746</v>
          </cell>
          <cell r="BS574">
            <v>15086.564472497746</v>
          </cell>
          <cell r="BT574">
            <v>15086.564472497746</v>
          </cell>
          <cell r="BU574">
            <v>15086.564472497746</v>
          </cell>
          <cell r="BV574">
            <v>15086.564472497746</v>
          </cell>
        </row>
        <row r="575">
          <cell r="A575" t="str">
            <v>CV</v>
          </cell>
          <cell r="B575" t="str">
            <v>MAN</v>
          </cell>
          <cell r="D575" t="str">
            <v>Flat Woven</v>
          </cell>
          <cell r="Z575">
            <v>2031</v>
          </cell>
          <cell r="AA575">
            <v>456</v>
          </cell>
          <cell r="AB575">
            <v>1791</v>
          </cell>
          <cell r="AC575">
            <v>1569</v>
          </cell>
          <cell r="AD575">
            <v>1782</v>
          </cell>
          <cell r="AE575">
            <v>1692</v>
          </cell>
          <cell r="AF575">
            <v>1619</v>
          </cell>
          <cell r="AG575">
            <v>1590.5</v>
          </cell>
          <cell r="AH575">
            <v>912</v>
          </cell>
          <cell r="AI575">
            <v>1398</v>
          </cell>
          <cell r="AJ575">
            <v>1590</v>
          </cell>
          <cell r="AK575">
            <v>1296</v>
          </cell>
          <cell r="AL575">
            <v>1215</v>
          </cell>
          <cell r="AM575">
            <v>1477.5</v>
          </cell>
          <cell r="AN575">
            <v>1210.5</v>
          </cell>
          <cell r="AO575">
            <v>1366</v>
          </cell>
          <cell r="AP575">
            <v>1492</v>
          </cell>
          <cell r="AQ575">
            <v>1330</v>
          </cell>
          <cell r="AR575">
            <v>1864</v>
          </cell>
          <cell r="AS575">
            <v>1261</v>
          </cell>
          <cell r="AT575">
            <v>1821</v>
          </cell>
          <cell r="AU575">
            <v>1679</v>
          </cell>
          <cell r="AV575">
            <v>1755</v>
          </cell>
          <cell r="AW575">
            <v>1938</v>
          </cell>
          <cell r="AX575">
            <v>1878</v>
          </cell>
          <cell r="AY575">
            <v>1719</v>
          </cell>
          <cell r="AZ575">
            <v>1206</v>
          </cell>
          <cell r="BA575">
            <v>3</v>
          </cell>
          <cell r="BB575">
            <v>3</v>
          </cell>
          <cell r="BC575">
            <v>392</v>
          </cell>
          <cell r="BD575">
            <v>1910</v>
          </cell>
          <cell r="BE575">
            <v>1732.5</v>
          </cell>
          <cell r="BF575">
            <v>1849.5</v>
          </cell>
          <cell r="BG575">
            <v>1882</v>
          </cell>
          <cell r="BH575">
            <v>1717</v>
          </cell>
          <cell r="BI575">
            <v>3321</v>
          </cell>
          <cell r="BJ575">
            <v>1356</v>
          </cell>
          <cell r="BK575">
            <v>1368</v>
          </cell>
          <cell r="BL575">
            <v>1059</v>
          </cell>
          <cell r="BM575">
            <v>1992</v>
          </cell>
          <cell r="BN575">
            <v>144</v>
          </cell>
          <cell r="BO575">
            <v>42</v>
          </cell>
          <cell r="BP575">
            <v>23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</row>
        <row r="576">
          <cell r="A576" t="str">
            <v>CV</v>
          </cell>
          <cell r="B576" t="str">
            <v>MAN</v>
          </cell>
          <cell r="D576" t="str">
            <v>Velours</v>
          </cell>
          <cell r="Z576">
            <v>1722</v>
          </cell>
          <cell r="AA576">
            <v>420</v>
          </cell>
          <cell r="AB576">
            <v>1221</v>
          </cell>
          <cell r="AC576">
            <v>1224</v>
          </cell>
          <cell r="AD576">
            <v>1344</v>
          </cell>
          <cell r="AE576">
            <v>1296</v>
          </cell>
          <cell r="AF576">
            <v>1410</v>
          </cell>
          <cell r="AG576">
            <v>1326</v>
          </cell>
          <cell r="AH576">
            <v>1002</v>
          </cell>
          <cell r="AI576">
            <v>1218</v>
          </cell>
          <cell r="AJ576">
            <v>1602</v>
          </cell>
          <cell r="AK576">
            <v>1212</v>
          </cell>
          <cell r="AL576">
            <v>1128</v>
          </cell>
          <cell r="AM576">
            <v>1533</v>
          </cell>
          <cell r="AN576">
            <v>1311</v>
          </cell>
          <cell r="AO576">
            <v>1610</v>
          </cell>
          <cell r="AP576">
            <v>1478</v>
          </cell>
          <cell r="AQ576">
            <v>1566</v>
          </cell>
          <cell r="AR576">
            <v>1788</v>
          </cell>
          <cell r="AS576">
            <v>1488</v>
          </cell>
          <cell r="AT576">
            <v>1856</v>
          </cell>
          <cell r="AU576">
            <v>1616</v>
          </cell>
          <cell r="AV576">
            <v>1694</v>
          </cell>
          <cell r="AW576">
            <v>1832</v>
          </cell>
          <cell r="AX576">
            <v>1784</v>
          </cell>
          <cell r="AY576">
            <v>1502</v>
          </cell>
          <cell r="AZ576">
            <v>1076</v>
          </cell>
          <cell r="BA576">
            <v>42</v>
          </cell>
          <cell r="BB576">
            <v>3</v>
          </cell>
          <cell r="BC576">
            <v>476</v>
          </cell>
          <cell r="BD576">
            <v>1736</v>
          </cell>
          <cell r="BE576">
            <v>1956</v>
          </cell>
          <cell r="BF576">
            <v>1818</v>
          </cell>
          <cell r="BG576">
            <v>1872</v>
          </cell>
          <cell r="BH576">
            <v>1530</v>
          </cell>
          <cell r="BI576">
            <v>4046</v>
          </cell>
          <cell r="BJ576">
            <v>1256</v>
          </cell>
          <cell r="BK576">
            <v>1226</v>
          </cell>
          <cell r="BL576">
            <v>944</v>
          </cell>
          <cell r="BM576">
            <v>2726</v>
          </cell>
          <cell r="BN576">
            <v>111</v>
          </cell>
          <cell r="BO576">
            <v>92</v>
          </cell>
          <cell r="BP576">
            <v>92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</row>
        <row r="577">
          <cell r="A577" t="str">
            <v>CV</v>
          </cell>
          <cell r="B577" t="str">
            <v>MAN</v>
          </cell>
          <cell r="D577" t="str">
            <v>Leather / Alcantara</v>
          </cell>
          <cell r="Z577">
            <v>186</v>
          </cell>
          <cell r="AA577">
            <v>72</v>
          </cell>
          <cell r="AB577">
            <v>150</v>
          </cell>
          <cell r="AC577">
            <v>150</v>
          </cell>
          <cell r="AD577">
            <v>162</v>
          </cell>
          <cell r="AE577">
            <v>264</v>
          </cell>
          <cell r="AF577">
            <v>210</v>
          </cell>
          <cell r="AG577">
            <v>192</v>
          </cell>
          <cell r="AH577">
            <v>96</v>
          </cell>
          <cell r="AI577">
            <v>150</v>
          </cell>
          <cell r="AJ577">
            <v>150</v>
          </cell>
          <cell r="AK577">
            <v>108</v>
          </cell>
          <cell r="AL577">
            <v>120</v>
          </cell>
          <cell r="AM577">
            <v>156</v>
          </cell>
          <cell r="AN577">
            <v>102</v>
          </cell>
          <cell r="AO577">
            <v>96</v>
          </cell>
          <cell r="AP577">
            <v>120</v>
          </cell>
          <cell r="AQ577">
            <v>156</v>
          </cell>
          <cell r="AR577">
            <v>150</v>
          </cell>
          <cell r="AS577">
            <v>126</v>
          </cell>
          <cell r="AT577">
            <v>121</v>
          </cell>
          <cell r="AU577">
            <v>192</v>
          </cell>
          <cell r="AV577">
            <v>144</v>
          </cell>
          <cell r="AW577">
            <v>109</v>
          </cell>
          <cell r="AX577">
            <v>144</v>
          </cell>
          <cell r="AY577">
            <v>108</v>
          </cell>
          <cell r="AZ577">
            <v>96</v>
          </cell>
          <cell r="BA577">
            <v>0</v>
          </cell>
          <cell r="BB577">
            <v>0</v>
          </cell>
          <cell r="BC577">
            <v>30</v>
          </cell>
          <cell r="BD577">
            <v>198</v>
          </cell>
          <cell r="BE577">
            <v>103</v>
          </cell>
          <cell r="BF577">
            <v>132</v>
          </cell>
          <cell r="BG577">
            <v>162</v>
          </cell>
          <cell r="BH577">
            <v>132</v>
          </cell>
          <cell r="BI577">
            <v>324</v>
          </cell>
          <cell r="BJ577">
            <v>66</v>
          </cell>
          <cell r="BK577">
            <v>126</v>
          </cell>
          <cell r="BL577">
            <v>66</v>
          </cell>
          <cell r="BM577">
            <v>324</v>
          </cell>
          <cell r="BN577">
            <v>72</v>
          </cell>
          <cell r="BO577">
            <v>45</v>
          </cell>
          <cell r="BP577">
            <v>24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</row>
        <row r="578">
          <cell r="A578" t="str">
            <v>CV</v>
          </cell>
          <cell r="B578" t="str">
            <v>MAN</v>
          </cell>
          <cell r="D578" t="str">
            <v>Vinyl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6</v>
          </cell>
          <cell r="AG578">
            <v>2</v>
          </cell>
          <cell r="AH578">
            <v>10</v>
          </cell>
          <cell r="AI578">
            <v>2</v>
          </cell>
          <cell r="AJ578">
            <v>6</v>
          </cell>
          <cell r="AK578">
            <v>4</v>
          </cell>
          <cell r="AL578">
            <v>1</v>
          </cell>
          <cell r="AM578">
            <v>2</v>
          </cell>
          <cell r="AN578">
            <v>1</v>
          </cell>
          <cell r="AO578">
            <v>0</v>
          </cell>
          <cell r="AP578">
            <v>0</v>
          </cell>
          <cell r="AQ578">
            <v>0</v>
          </cell>
          <cell r="AR578">
            <v>4</v>
          </cell>
          <cell r="AS578">
            <v>4</v>
          </cell>
          <cell r="AT578">
            <v>12</v>
          </cell>
          <cell r="AU578">
            <v>11</v>
          </cell>
          <cell r="AV578">
            <v>2</v>
          </cell>
          <cell r="AW578">
            <v>0</v>
          </cell>
          <cell r="AX578">
            <v>0</v>
          </cell>
          <cell r="AY578">
            <v>0</v>
          </cell>
          <cell r="AZ578">
            <v>0.5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0.5</v>
          </cell>
          <cell r="BK578">
            <v>1.5</v>
          </cell>
          <cell r="BL578">
            <v>4</v>
          </cell>
          <cell r="BM578">
            <v>1.5</v>
          </cell>
          <cell r="BN578">
            <v>5</v>
          </cell>
          <cell r="BO578">
            <v>0</v>
          </cell>
          <cell r="BP578">
            <v>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</row>
        <row r="579">
          <cell r="A579" t="str">
            <v>CV</v>
          </cell>
          <cell r="B579" t="str">
            <v>MAN</v>
          </cell>
          <cell r="D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</row>
        <row r="580">
          <cell r="A580" t="str">
            <v>CV</v>
          </cell>
          <cell r="B580" t="str">
            <v>MAN</v>
          </cell>
          <cell r="D580" t="str">
            <v>Weekly demand</v>
          </cell>
          <cell r="Z580">
            <v>3939</v>
          </cell>
          <cell r="AA580">
            <v>948</v>
          </cell>
          <cell r="AB580">
            <v>3162</v>
          </cell>
          <cell r="AC580">
            <v>2943</v>
          </cell>
          <cell r="AD580">
            <v>3288</v>
          </cell>
          <cell r="AE580">
            <v>3252</v>
          </cell>
          <cell r="AF580">
            <v>3245</v>
          </cell>
          <cell r="AG580">
            <v>3110.5</v>
          </cell>
          <cell r="AH580">
            <v>2020</v>
          </cell>
          <cell r="AI580">
            <v>2768</v>
          </cell>
          <cell r="AJ580">
            <v>3348</v>
          </cell>
          <cell r="AK580">
            <v>2620</v>
          </cell>
          <cell r="AL580">
            <v>2464</v>
          </cell>
          <cell r="AM580">
            <v>3168.5</v>
          </cell>
          <cell r="AN580">
            <v>2624.5</v>
          </cell>
          <cell r="AO580">
            <v>3072</v>
          </cell>
          <cell r="AP580">
            <v>3090</v>
          </cell>
          <cell r="AQ580">
            <v>3052</v>
          </cell>
          <cell r="AR580">
            <v>3806</v>
          </cell>
          <cell r="AS580">
            <v>2879</v>
          </cell>
          <cell r="AT580">
            <v>3810</v>
          </cell>
          <cell r="AU580">
            <v>3498</v>
          </cell>
          <cell r="AV580">
            <v>3595</v>
          </cell>
          <cell r="AW580">
            <v>3879</v>
          </cell>
          <cell r="AX580">
            <v>3806</v>
          </cell>
          <cell r="AY580">
            <v>3329</v>
          </cell>
          <cell r="AZ580">
            <v>2378.5</v>
          </cell>
          <cell r="BA580">
            <v>45</v>
          </cell>
          <cell r="BB580">
            <v>6</v>
          </cell>
          <cell r="BC580">
            <v>898</v>
          </cell>
          <cell r="BD580">
            <v>3844</v>
          </cell>
          <cell r="BE580">
            <v>3791.5</v>
          </cell>
          <cell r="BF580">
            <v>3799.5</v>
          </cell>
          <cell r="BG580">
            <v>3916</v>
          </cell>
          <cell r="BH580">
            <v>3379</v>
          </cell>
          <cell r="BI580">
            <v>7691</v>
          </cell>
          <cell r="BJ580">
            <v>2678.5</v>
          </cell>
          <cell r="BK580">
            <v>2721.5</v>
          </cell>
          <cell r="BL580">
            <v>112642</v>
          </cell>
          <cell r="BM580">
            <v>5043.5</v>
          </cell>
          <cell r="BN580">
            <v>332</v>
          </cell>
          <cell r="BO580">
            <v>179</v>
          </cell>
          <cell r="BP580">
            <v>144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</row>
        <row r="581">
          <cell r="A581" t="str">
            <v>CV</v>
          </cell>
          <cell r="B581" t="str">
            <v>MAN</v>
          </cell>
          <cell r="D581" t="str">
            <v>Stock Target</v>
          </cell>
          <cell r="Z581">
            <v>2500</v>
          </cell>
          <cell r="AA581">
            <v>2519</v>
          </cell>
          <cell r="AB581">
            <v>2520</v>
          </cell>
          <cell r="AC581">
            <v>2521</v>
          </cell>
          <cell r="AD581">
            <v>2522</v>
          </cell>
          <cell r="AE581">
            <v>2523</v>
          </cell>
          <cell r="AF581">
            <v>2524</v>
          </cell>
          <cell r="AG581">
            <v>2525</v>
          </cell>
          <cell r="AH581">
            <v>2526</v>
          </cell>
          <cell r="AI581">
            <v>2527</v>
          </cell>
          <cell r="AJ581">
            <v>2528</v>
          </cell>
          <cell r="AK581">
            <v>2529</v>
          </cell>
          <cell r="AL581">
            <v>2530</v>
          </cell>
          <cell r="AM581">
            <v>2531</v>
          </cell>
          <cell r="AN581">
            <v>2532</v>
          </cell>
          <cell r="AO581">
            <v>2533</v>
          </cell>
          <cell r="AP581">
            <v>2534</v>
          </cell>
          <cell r="AQ581">
            <v>2535</v>
          </cell>
          <cell r="AR581">
            <v>2536</v>
          </cell>
          <cell r="AS581">
            <v>2537</v>
          </cell>
          <cell r="AT581">
            <v>2538</v>
          </cell>
          <cell r="AU581">
            <v>2539</v>
          </cell>
          <cell r="AV581">
            <v>2540</v>
          </cell>
          <cell r="AW581">
            <v>2541</v>
          </cell>
          <cell r="AX581">
            <v>2542</v>
          </cell>
          <cell r="AY581">
            <v>2543</v>
          </cell>
          <cell r="AZ581">
            <v>2544</v>
          </cell>
          <cell r="BA581">
            <v>2545</v>
          </cell>
          <cell r="BB581">
            <v>2546</v>
          </cell>
          <cell r="BC581">
            <v>2547</v>
          </cell>
          <cell r="BD581">
            <v>2548</v>
          </cell>
          <cell r="BE581">
            <v>2549</v>
          </cell>
          <cell r="BF581">
            <v>2550</v>
          </cell>
          <cell r="BG581">
            <v>2551</v>
          </cell>
          <cell r="BH581">
            <v>2552</v>
          </cell>
          <cell r="BI581">
            <v>2553</v>
          </cell>
          <cell r="BJ581">
            <v>2554</v>
          </cell>
          <cell r="BK581">
            <v>2555</v>
          </cell>
          <cell r="BL581">
            <v>2556</v>
          </cell>
          <cell r="BM581">
            <v>2557</v>
          </cell>
          <cell r="BN581">
            <v>2558</v>
          </cell>
          <cell r="BO581">
            <v>2559</v>
          </cell>
          <cell r="BP581">
            <v>2560</v>
          </cell>
          <cell r="BQ581">
            <v>2561</v>
          </cell>
          <cell r="BR581">
            <v>2562</v>
          </cell>
          <cell r="BS581">
            <v>2563</v>
          </cell>
          <cell r="BT581">
            <v>2564</v>
          </cell>
          <cell r="BU581">
            <v>2565</v>
          </cell>
          <cell r="BV581">
            <v>2566</v>
          </cell>
        </row>
        <row r="582">
          <cell r="A582" t="str">
            <v>CV</v>
          </cell>
          <cell r="B582" t="str">
            <v>MAN</v>
          </cell>
          <cell r="D582" t="str">
            <v>Flat Woven</v>
          </cell>
          <cell r="Z582">
            <v>2034</v>
          </cell>
          <cell r="AA582">
            <v>2905.6387228823014</v>
          </cell>
          <cell r="AB582">
            <v>1114.6387228823014</v>
          </cell>
          <cell r="AC582">
            <v>-454.36127711769859</v>
          </cell>
          <cell r="AD582">
            <v>-2236.3612771176986</v>
          </cell>
          <cell r="AE582">
            <v>-3928.3612771176986</v>
          </cell>
          <cell r="AF582">
            <v>-5547.3612771176986</v>
          </cell>
          <cell r="AG582">
            <v>-7137.8612771176986</v>
          </cell>
          <cell r="AH582">
            <v>-8049.8612771176986</v>
          </cell>
          <cell r="AI582">
            <v>-9447.8612771176995</v>
          </cell>
          <cell r="AJ582">
            <v>-11037.8612771177</v>
          </cell>
          <cell r="AK582">
            <v>-12333.8612771177</v>
          </cell>
          <cell r="AL582">
            <v>-13548.8612771177</v>
          </cell>
          <cell r="AM582">
            <v>-15026.3612771177</v>
          </cell>
          <cell r="AN582">
            <v>-16236.8612771177</v>
          </cell>
          <cell r="AO582">
            <v>-17602.8612771177</v>
          </cell>
          <cell r="AP582">
            <v>-19094.8612771177</v>
          </cell>
          <cell r="AQ582">
            <v>-20424.8612771177</v>
          </cell>
          <cell r="AR582">
            <v>-22288.8612771177</v>
          </cell>
          <cell r="AS582">
            <v>-23549.8612771177</v>
          </cell>
          <cell r="AT582">
            <v>-25370.8612771177</v>
          </cell>
          <cell r="AU582">
            <v>-27049.8612771177</v>
          </cell>
          <cell r="AV582">
            <v>-28804.8612771177</v>
          </cell>
          <cell r="AW582">
            <v>-30742.8612771177</v>
          </cell>
          <cell r="AX582">
            <v>-32620.8612771177</v>
          </cell>
          <cell r="AY582">
            <v>-34339.8612771177</v>
          </cell>
          <cell r="AZ582">
            <v>-35545.8612771177</v>
          </cell>
          <cell r="BA582">
            <v>-35548.8612771177</v>
          </cell>
          <cell r="BB582">
            <v>-35551.8612771177</v>
          </cell>
          <cell r="BC582">
            <v>-35943.8612771177</v>
          </cell>
          <cell r="BD582">
            <v>-37853.8612771177</v>
          </cell>
          <cell r="BE582">
            <v>-39586.3612771177</v>
          </cell>
          <cell r="BF582">
            <v>-41435.8612771177</v>
          </cell>
          <cell r="BG582">
            <v>-43317.8612771177</v>
          </cell>
          <cell r="BH582">
            <v>-45034.8612771177</v>
          </cell>
          <cell r="BI582">
            <v>-48355.8612771177</v>
          </cell>
          <cell r="BJ582">
            <v>-49711.8612771177</v>
          </cell>
          <cell r="BK582">
            <v>-51079.8612771177</v>
          </cell>
          <cell r="BL582">
            <v>-52138.8612771177</v>
          </cell>
          <cell r="BM582">
            <v>-54130.8612771177</v>
          </cell>
          <cell r="BN582">
            <v>-54274.8612771177</v>
          </cell>
          <cell r="BO582">
            <v>-54316.8612771177</v>
          </cell>
          <cell r="BP582">
            <v>-54339.8612771177</v>
          </cell>
          <cell r="BQ582">
            <v>-54339.8612771177</v>
          </cell>
          <cell r="BR582">
            <v>-54339.8612771177</v>
          </cell>
          <cell r="BS582">
            <v>-54339.8612771177</v>
          </cell>
          <cell r="BT582">
            <v>-54339.8612771177</v>
          </cell>
          <cell r="BU582">
            <v>-54339.8612771177</v>
          </cell>
          <cell r="BV582">
            <v>-54339.8612771177</v>
          </cell>
        </row>
        <row r="583">
          <cell r="A583" t="str">
            <v>CV</v>
          </cell>
          <cell r="B583" t="str">
            <v>MAN</v>
          </cell>
          <cell r="D583" t="str">
            <v>Velours</v>
          </cell>
          <cell r="Z583">
            <v>1383</v>
          </cell>
          <cell r="AA583">
            <v>2236.629267537608</v>
          </cell>
          <cell r="AB583">
            <v>1015.629267537608</v>
          </cell>
          <cell r="AC583">
            <v>-208.37073246239197</v>
          </cell>
          <cell r="AD583">
            <v>-1552.370732462392</v>
          </cell>
          <cell r="AE583">
            <v>-2848.370732462392</v>
          </cell>
          <cell r="AF583">
            <v>-4258.370732462392</v>
          </cell>
          <cell r="AG583">
            <v>-5584.370732462392</v>
          </cell>
          <cell r="AH583">
            <v>-6586.370732462392</v>
          </cell>
          <cell r="AI583">
            <v>-7804.370732462392</v>
          </cell>
          <cell r="AJ583">
            <v>-9406.370732462392</v>
          </cell>
          <cell r="AK583">
            <v>-10618.370732462392</v>
          </cell>
          <cell r="AL583">
            <v>-11746.370732462392</v>
          </cell>
          <cell r="AM583">
            <v>-13279.370732462392</v>
          </cell>
          <cell r="AN583">
            <v>-14590.370732462392</v>
          </cell>
          <cell r="AO583">
            <v>-16200.370732462392</v>
          </cell>
          <cell r="AP583">
            <v>-17678.37073246239</v>
          </cell>
          <cell r="AQ583">
            <v>-19244.37073246239</v>
          </cell>
          <cell r="AR583">
            <v>-21032.37073246239</v>
          </cell>
          <cell r="AS583">
            <v>-22520.37073246239</v>
          </cell>
          <cell r="AT583">
            <v>-24376.37073246239</v>
          </cell>
          <cell r="AU583">
            <v>-25992.37073246239</v>
          </cell>
          <cell r="AV583">
            <v>-27686.37073246239</v>
          </cell>
          <cell r="AW583">
            <v>-29518.37073246239</v>
          </cell>
          <cell r="AX583">
            <v>-31302.37073246239</v>
          </cell>
          <cell r="AY583">
            <v>-32804.37073246239</v>
          </cell>
          <cell r="AZ583">
            <v>-33880.37073246239</v>
          </cell>
          <cell r="BA583">
            <v>-33922.37073246239</v>
          </cell>
          <cell r="BB583">
            <v>-33925.37073246239</v>
          </cell>
          <cell r="BC583">
            <v>-34401.37073246239</v>
          </cell>
          <cell r="BD583">
            <v>-36137.37073246239</v>
          </cell>
          <cell r="BE583">
            <v>-38093.37073246239</v>
          </cell>
          <cell r="BF583">
            <v>-39911.37073246239</v>
          </cell>
          <cell r="BG583">
            <v>-41783.37073246239</v>
          </cell>
          <cell r="BH583">
            <v>-43313.37073246239</v>
          </cell>
          <cell r="BI583">
            <v>-47359.37073246239</v>
          </cell>
          <cell r="BJ583">
            <v>-48615.37073246239</v>
          </cell>
          <cell r="BK583">
            <v>-49841.37073246239</v>
          </cell>
          <cell r="BL583">
            <v>-50785.37073246239</v>
          </cell>
          <cell r="BM583">
            <v>-53511.37073246239</v>
          </cell>
          <cell r="BN583">
            <v>-53622.37073246239</v>
          </cell>
          <cell r="BO583">
            <v>-53714.37073246239</v>
          </cell>
          <cell r="BP583">
            <v>-53806.37073246239</v>
          </cell>
          <cell r="BQ583">
            <v>-53806.37073246239</v>
          </cell>
          <cell r="BR583">
            <v>-53806.37073246239</v>
          </cell>
          <cell r="BS583">
            <v>-53806.37073246239</v>
          </cell>
          <cell r="BT583">
            <v>-53806.37073246239</v>
          </cell>
          <cell r="BU583">
            <v>-53806.37073246239</v>
          </cell>
          <cell r="BV583">
            <v>-53806.37073246239</v>
          </cell>
        </row>
        <row r="584">
          <cell r="A584" t="str">
            <v>CV</v>
          </cell>
          <cell r="B584" t="str">
            <v>MAN</v>
          </cell>
          <cell r="D584" t="str">
            <v>Leather / Alcantara</v>
          </cell>
          <cell r="Z584">
            <v>111</v>
          </cell>
          <cell r="AA584">
            <v>338.73286113810155</v>
          </cell>
          <cell r="AB584">
            <v>188.73286113810155</v>
          </cell>
          <cell r="AC584">
            <v>38.732861138101555</v>
          </cell>
          <cell r="AD584">
            <v>-123.26713886189845</v>
          </cell>
          <cell r="AE584">
            <v>-387.26713886189845</v>
          </cell>
          <cell r="AF584">
            <v>-597.2671388618985</v>
          </cell>
          <cell r="AG584">
            <v>-789.2671388618985</v>
          </cell>
          <cell r="AH584">
            <v>-885.2671388618985</v>
          </cell>
          <cell r="AI584">
            <v>-1035.2671388618985</v>
          </cell>
          <cell r="AJ584">
            <v>-1185.2671388618985</v>
          </cell>
          <cell r="AK584">
            <v>-1293.2671388618985</v>
          </cell>
          <cell r="AL584">
            <v>-1413.2671388618985</v>
          </cell>
          <cell r="AM584">
            <v>-1569.2671388618985</v>
          </cell>
          <cell r="AN584">
            <v>-1671.2671388618985</v>
          </cell>
          <cell r="AO584">
            <v>-1767.2671388618985</v>
          </cell>
          <cell r="AP584">
            <v>-1887.2671388618985</v>
          </cell>
          <cell r="AQ584">
            <v>-2043.2671388618985</v>
          </cell>
          <cell r="AR584">
            <v>-2193.2671388618983</v>
          </cell>
          <cell r="AS584">
            <v>-2319.2671388618983</v>
          </cell>
          <cell r="AT584">
            <v>-2440.2671388618983</v>
          </cell>
          <cell r="AU584">
            <v>-2632.2671388618983</v>
          </cell>
          <cell r="AV584">
            <v>-2776.2671388618983</v>
          </cell>
          <cell r="AW584">
            <v>-2885.2671388618983</v>
          </cell>
          <cell r="AX584">
            <v>-3029.2671388618983</v>
          </cell>
          <cell r="AY584">
            <v>-3137.2671388618983</v>
          </cell>
          <cell r="AZ584">
            <v>-3233.2671388618983</v>
          </cell>
          <cell r="BA584">
            <v>-3233.2671388618983</v>
          </cell>
          <cell r="BB584">
            <v>-3233.2671388618983</v>
          </cell>
          <cell r="BC584">
            <v>-3263.2671388618983</v>
          </cell>
          <cell r="BD584">
            <v>-3461.2671388618983</v>
          </cell>
          <cell r="BE584">
            <v>-3564.2671388618983</v>
          </cell>
          <cell r="BF584">
            <v>-3696.2671388618983</v>
          </cell>
          <cell r="BG584">
            <v>-3858.2671388618983</v>
          </cell>
          <cell r="BH584">
            <v>-3990.2671388618983</v>
          </cell>
          <cell r="BI584">
            <v>-4314.2671388618983</v>
          </cell>
          <cell r="BJ584">
            <v>-4380.2671388618983</v>
          </cell>
          <cell r="BK584">
            <v>-4506.2671388618983</v>
          </cell>
          <cell r="BL584">
            <v>-4572.2671388618983</v>
          </cell>
          <cell r="BM584">
            <v>-4896.2671388618983</v>
          </cell>
          <cell r="BN584">
            <v>-4968.2671388618983</v>
          </cell>
          <cell r="BO584">
            <v>-5013.2671388618983</v>
          </cell>
          <cell r="BP584">
            <v>-5037.2671388618983</v>
          </cell>
          <cell r="BQ584">
            <v>-5037.2671388618983</v>
          </cell>
          <cell r="BR584">
            <v>-5037.2671388618983</v>
          </cell>
          <cell r="BS584">
            <v>-5037.2671388618983</v>
          </cell>
          <cell r="BT584">
            <v>-5037.2671388618983</v>
          </cell>
          <cell r="BU584">
            <v>-5037.2671388618983</v>
          </cell>
          <cell r="BV584">
            <v>-5037.2671388618983</v>
          </cell>
        </row>
        <row r="585">
          <cell r="A585" t="str">
            <v>CV</v>
          </cell>
          <cell r="B585" t="str">
            <v>MAN</v>
          </cell>
          <cell r="D585" t="str">
            <v>Vinyl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-6</v>
          </cell>
          <cell r="AG585">
            <v>-8</v>
          </cell>
          <cell r="AH585">
            <v>-18</v>
          </cell>
          <cell r="AI585">
            <v>-20</v>
          </cell>
          <cell r="AJ585">
            <v>-26</v>
          </cell>
          <cell r="AK585">
            <v>-30</v>
          </cell>
          <cell r="AL585">
            <v>-31</v>
          </cell>
          <cell r="AM585">
            <v>-33</v>
          </cell>
          <cell r="AN585">
            <v>-34</v>
          </cell>
          <cell r="AO585">
            <v>-34</v>
          </cell>
          <cell r="AP585">
            <v>-34</v>
          </cell>
          <cell r="AQ585">
            <v>-34</v>
          </cell>
          <cell r="AR585">
            <v>-38</v>
          </cell>
          <cell r="AS585">
            <v>-42</v>
          </cell>
          <cell r="AT585">
            <v>-54</v>
          </cell>
          <cell r="AU585">
            <v>-65</v>
          </cell>
          <cell r="AV585">
            <v>-67</v>
          </cell>
          <cell r="AW585">
            <v>-67</v>
          </cell>
          <cell r="AX585">
            <v>-67</v>
          </cell>
          <cell r="AY585">
            <v>-67</v>
          </cell>
          <cell r="AZ585">
            <v>-67.5</v>
          </cell>
          <cell r="BA585">
            <v>-67.5</v>
          </cell>
          <cell r="BB585">
            <v>-67.5</v>
          </cell>
          <cell r="BC585">
            <v>-67.5</v>
          </cell>
          <cell r="BD585">
            <v>-67.5</v>
          </cell>
          <cell r="BE585">
            <v>-67.5</v>
          </cell>
          <cell r="BF585">
            <v>-67.5</v>
          </cell>
          <cell r="BG585">
            <v>-67.5</v>
          </cell>
          <cell r="BH585">
            <v>-67.5</v>
          </cell>
          <cell r="BI585">
            <v>-67.5</v>
          </cell>
          <cell r="BJ585">
            <v>-68</v>
          </cell>
          <cell r="BK585">
            <v>-69.5</v>
          </cell>
          <cell r="BL585">
            <v>-73.5</v>
          </cell>
          <cell r="BM585">
            <v>-75</v>
          </cell>
          <cell r="BN585">
            <v>-80</v>
          </cell>
          <cell r="BO585">
            <v>-80</v>
          </cell>
          <cell r="BP585">
            <v>-85</v>
          </cell>
          <cell r="BQ585">
            <v>-85</v>
          </cell>
          <cell r="BR585">
            <v>-85</v>
          </cell>
          <cell r="BS585">
            <v>-85</v>
          </cell>
          <cell r="BT585">
            <v>-85</v>
          </cell>
          <cell r="BU585">
            <v>-85</v>
          </cell>
          <cell r="BV585">
            <v>-85</v>
          </cell>
        </row>
        <row r="586">
          <cell r="A586" t="str">
            <v>CV</v>
          </cell>
          <cell r="B586" t="str">
            <v>MAN</v>
          </cell>
          <cell r="D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</row>
        <row r="587">
          <cell r="A587" t="str">
            <v>CV</v>
          </cell>
          <cell r="B587" t="str">
            <v>MAN</v>
          </cell>
          <cell r="D587" t="str">
            <v>STOCK</v>
          </cell>
          <cell r="Z587">
            <v>3528</v>
          </cell>
          <cell r="AA587">
            <v>5481.2623985572591</v>
          </cell>
          <cell r="AB587">
            <v>4997.3507664562676</v>
          </cell>
          <cell r="AC587">
            <v>4732.4391343552761</v>
          </cell>
          <cell r="AD587">
            <v>3051.2921550946812</v>
          </cell>
          <cell r="AE587">
            <v>2477.3805229936897</v>
          </cell>
          <cell r="AF587">
            <v>1910.4688908926983</v>
          </cell>
          <cell r="AG587">
            <v>1478.0572587917068</v>
          </cell>
          <cell r="AH587">
            <v>2136.1456266907153</v>
          </cell>
          <cell r="AI587">
            <v>2046.2339945897238</v>
          </cell>
          <cell r="AJ587">
            <v>1376.3223624887323</v>
          </cell>
          <cell r="AK587">
            <v>898.79305680793914</v>
          </cell>
          <cell r="AL587">
            <v>577.26375112714595</v>
          </cell>
          <cell r="AM587">
            <v>86.852119026154469</v>
          </cell>
          <cell r="AN587">
            <v>-395.17718665463872</v>
          </cell>
          <cell r="AO587">
            <v>-550.69837691613566</v>
          </cell>
          <cell r="AP587">
            <v>-597.41614066726243</v>
          </cell>
          <cell r="AQ587">
            <v>-606.13390441838919</v>
          </cell>
          <cell r="AR587">
            <v>-1368.8516681695164</v>
          </cell>
          <cell r="AS587">
            <v>-1204.5694319206432</v>
          </cell>
          <cell r="AT587">
            <v>-1971.28719567177</v>
          </cell>
          <cell r="AU587">
            <v>-2426.0049594228967</v>
          </cell>
          <cell r="AV587">
            <v>-2977.7227231740235</v>
          </cell>
          <cell r="AW587">
            <v>-3813.4404869251503</v>
          </cell>
          <cell r="AX587">
            <v>-4576.158250676277</v>
          </cell>
          <cell r="AY587">
            <v>-4861.8760144274038</v>
          </cell>
          <cell r="AZ587">
            <v>-4197.0937781785306</v>
          </cell>
          <cell r="BA587">
            <v>-1198.8115419296573</v>
          </cell>
          <cell r="BB587">
            <v>-1204.8115419296573</v>
          </cell>
          <cell r="BC587">
            <v>-2102.8115419296573</v>
          </cell>
          <cell r="BD587">
            <v>-2903.5293056807841</v>
          </cell>
          <cell r="BE587">
            <v>-3773.4783588818664</v>
          </cell>
          <cell r="BF587">
            <v>-4651.4274120829486</v>
          </cell>
          <cell r="BG587">
            <v>-5645.8764652840309</v>
          </cell>
          <cell r="BH587">
            <v>-6103.3255184851132</v>
          </cell>
          <cell r="BI587">
            <v>-10872.774571686195</v>
          </cell>
          <cell r="BJ587">
            <v>-10751.454914337233</v>
          </cell>
          <cell r="BK587">
            <v>-10571.692515779974</v>
          </cell>
          <cell r="BL587">
            <v>-108127.12804328222</v>
          </cell>
          <cell r="BM587">
            <v>-98084.063570784478</v>
          </cell>
          <cell r="BN587">
            <v>-83329.499098286731</v>
          </cell>
          <cell r="BO587">
            <v>-68421.934625788985</v>
          </cell>
          <cell r="BP587">
            <v>-53479.370153291238</v>
          </cell>
          <cell r="BQ587">
            <v>-38392.805680793492</v>
          </cell>
          <cell r="BR587">
            <v>-23306.241208295745</v>
          </cell>
          <cell r="BS587">
            <v>-8219.6767357979988</v>
          </cell>
          <cell r="BT587">
            <v>6866.8877366997476</v>
          </cell>
          <cell r="BU587">
            <v>21953.452209197494</v>
          </cell>
          <cell r="BV587">
            <v>37040.016681695241</v>
          </cell>
        </row>
        <row r="588">
          <cell r="A588" t="str">
            <v>Blank</v>
          </cell>
          <cell r="B588" t="str">
            <v>Blank</v>
          </cell>
          <cell r="D588" t="str">
            <v>Blank</v>
          </cell>
          <cell r="Z588">
            <v>7072.5</v>
          </cell>
          <cell r="AA588">
            <v>1570.5</v>
          </cell>
          <cell r="AB588">
            <v>5751.5</v>
          </cell>
          <cell r="AC588">
            <v>5684.5</v>
          </cell>
          <cell r="AD588">
            <v>6146.5</v>
          </cell>
          <cell r="AE588">
            <v>5672</v>
          </cell>
          <cell r="AF588">
            <v>6010.5</v>
          </cell>
          <cell r="AG588">
            <v>5974.5</v>
          </cell>
          <cell r="AH588">
            <v>4590.5</v>
          </cell>
          <cell r="AI588">
            <v>5666</v>
          </cell>
          <cell r="AJ588">
            <v>6296</v>
          </cell>
          <cell r="AK588">
            <v>4769</v>
          </cell>
          <cell r="AL588">
            <v>5249.5</v>
          </cell>
          <cell r="AM588">
            <v>5685</v>
          </cell>
          <cell r="AN588">
            <v>3915</v>
          </cell>
          <cell r="AO588">
            <v>6081</v>
          </cell>
          <cell r="AP588">
            <v>6318</v>
          </cell>
          <cell r="AQ588">
            <v>6687.5</v>
          </cell>
          <cell r="AR588">
            <v>6576.5</v>
          </cell>
          <cell r="AS588">
            <v>5283</v>
          </cell>
          <cell r="AT588">
            <v>6137</v>
          </cell>
          <cell r="AU588">
            <v>6616.5</v>
          </cell>
          <cell r="AV588">
            <v>6076.5</v>
          </cell>
          <cell r="AW588">
            <v>3879</v>
          </cell>
          <cell r="AX588">
            <v>3806</v>
          </cell>
          <cell r="AY588">
            <v>3349</v>
          </cell>
          <cell r="AZ588">
            <v>2648.5</v>
          </cell>
          <cell r="BA588">
            <v>2677.5</v>
          </cell>
          <cell r="BB588">
            <v>3641.5</v>
          </cell>
          <cell r="BC588">
            <v>3760.5</v>
          </cell>
          <cell r="BD588">
            <v>7010</v>
          </cell>
          <cell r="BE588">
            <v>7337.5</v>
          </cell>
          <cell r="BF588">
            <v>6808.5</v>
          </cell>
          <cell r="BG588">
            <v>7287</v>
          </cell>
          <cell r="BH588">
            <v>5259</v>
          </cell>
          <cell r="BI588">
            <v>10992</v>
          </cell>
          <cell r="BJ588">
            <v>6245.5</v>
          </cell>
          <cell r="BK588">
            <v>6314.5</v>
          </cell>
          <cell r="BL588">
            <v>202521.5</v>
          </cell>
          <cell r="BM588">
            <v>6409.5</v>
          </cell>
          <cell r="BN588">
            <v>1694</v>
          </cell>
          <cell r="BO588">
            <v>1521</v>
          </cell>
          <cell r="BP588">
            <v>1574</v>
          </cell>
          <cell r="BQ588">
            <v>1312</v>
          </cell>
          <cell r="BR588"/>
          <cell r="BS588"/>
          <cell r="BT588"/>
          <cell r="BU588"/>
          <cell r="BV588"/>
        </row>
        <row r="589">
          <cell r="A589" t="str">
            <v>CV</v>
          </cell>
          <cell r="B589" t="str">
            <v>Scania</v>
          </cell>
          <cell r="D589" t="str">
            <v>Work days</v>
          </cell>
          <cell r="Z589">
            <v>0</v>
          </cell>
          <cell r="AA589">
            <v>0.5</v>
          </cell>
          <cell r="AB589">
            <v>0</v>
          </cell>
          <cell r="AC589">
            <v>0</v>
          </cell>
          <cell r="AD589">
            <v>3</v>
          </cell>
          <cell r="AE589">
            <v>0.5</v>
          </cell>
          <cell r="AF589">
            <v>0</v>
          </cell>
          <cell r="AG589">
            <v>0</v>
          </cell>
          <cell r="AH589">
            <v>0.5</v>
          </cell>
          <cell r="AI589">
            <v>0.5</v>
          </cell>
          <cell r="AJ589">
            <v>0</v>
          </cell>
          <cell r="AK589">
            <v>4</v>
          </cell>
          <cell r="AL589">
            <v>4</v>
          </cell>
          <cell r="AM589">
            <v>0.5</v>
          </cell>
          <cell r="AN589">
            <v>4</v>
          </cell>
          <cell r="AO589">
            <v>0</v>
          </cell>
          <cell r="AP589">
            <v>5</v>
          </cell>
          <cell r="AQ589">
            <v>5</v>
          </cell>
          <cell r="AR589">
            <v>5</v>
          </cell>
          <cell r="AS589">
            <v>0.5</v>
          </cell>
          <cell r="AT589">
            <v>5</v>
          </cell>
          <cell r="AU589">
            <v>5</v>
          </cell>
          <cell r="AV589">
            <v>5</v>
          </cell>
          <cell r="AW589">
            <v>0.5</v>
          </cell>
          <cell r="AX589">
            <v>5</v>
          </cell>
          <cell r="AY589">
            <v>5</v>
          </cell>
          <cell r="AZ589">
            <v>0</v>
          </cell>
          <cell r="BA589">
            <v>0</v>
          </cell>
          <cell r="BB589">
            <v>5</v>
          </cell>
          <cell r="BC589">
            <v>5</v>
          </cell>
          <cell r="BD589">
            <v>5</v>
          </cell>
          <cell r="BE589">
            <v>5</v>
          </cell>
          <cell r="BF589">
            <v>5</v>
          </cell>
          <cell r="BG589">
            <v>5</v>
          </cell>
          <cell r="BH589">
            <v>5</v>
          </cell>
          <cell r="BI589">
            <v>5</v>
          </cell>
          <cell r="BJ589">
            <v>5</v>
          </cell>
          <cell r="BK589">
            <v>5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</row>
        <row r="590">
          <cell r="A590" t="str">
            <v>CV</v>
          </cell>
          <cell r="B590" t="str">
            <v>Scania</v>
          </cell>
          <cell r="D590" t="str">
            <v>SHIFT A HC - operators</v>
          </cell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</row>
        <row r="591">
          <cell r="A591" t="str">
            <v>CV</v>
          </cell>
          <cell r="B591" t="str">
            <v>Scania</v>
          </cell>
          <cell r="D591" t="str">
            <v>SHIFT B HC  - operators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</row>
        <row r="592">
          <cell r="A592" t="str">
            <v>CV</v>
          </cell>
          <cell r="B592" t="str">
            <v>Scania</v>
          </cell>
          <cell r="D592" t="str">
            <v>SHIFT C HC  - operators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</row>
        <row r="593">
          <cell r="A593" t="str">
            <v>CV</v>
          </cell>
          <cell r="B593" t="str">
            <v>Scania</v>
          </cell>
          <cell r="D593" t="str">
            <v>Total HC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</row>
        <row r="594">
          <cell r="A594" t="str">
            <v>CV</v>
          </cell>
          <cell r="B594" t="str">
            <v>Scania</v>
          </cell>
          <cell r="D594" t="str">
            <v>SHIFT A HC  - efficiency</v>
          </cell>
          <cell r="Z594">
            <v>1.1200000000000001</v>
          </cell>
          <cell r="AA594">
            <v>1.1200000000000001</v>
          </cell>
          <cell r="AB594">
            <v>1.1200000000000001</v>
          </cell>
          <cell r="AC594">
            <v>1.1200000000000001</v>
          </cell>
          <cell r="AD594">
            <v>1.1200000000000001</v>
          </cell>
          <cell r="AE594">
            <v>1.1200000000000001</v>
          </cell>
          <cell r="AF594">
            <v>1.1200000000000001</v>
          </cell>
          <cell r="AG594">
            <v>1.1200000000000001</v>
          </cell>
          <cell r="AH594">
            <v>1.1200000000000001</v>
          </cell>
          <cell r="AI594">
            <v>1.1200000000000001</v>
          </cell>
          <cell r="AJ594">
            <v>1.1200000000000001</v>
          </cell>
          <cell r="AK594">
            <v>1.1200000000000001</v>
          </cell>
          <cell r="AL594">
            <v>1.1200000000000001</v>
          </cell>
          <cell r="AM594">
            <v>1.1200000000000001</v>
          </cell>
          <cell r="AN594">
            <v>1.1200000000000001</v>
          </cell>
          <cell r="AO594">
            <v>1.1200000000000001</v>
          </cell>
          <cell r="AP594">
            <v>1.1200000000000001</v>
          </cell>
          <cell r="AQ594">
            <v>1.1200000000000001</v>
          </cell>
          <cell r="AR594">
            <v>1.1200000000000001</v>
          </cell>
          <cell r="AS594">
            <v>1.1200000000000001</v>
          </cell>
          <cell r="AT594">
            <v>1.1200000000000001</v>
          </cell>
          <cell r="AU594">
            <v>1.1200000000000001</v>
          </cell>
          <cell r="AV594">
            <v>1.1200000000000001</v>
          </cell>
          <cell r="AW594">
            <v>1.1200000000000001</v>
          </cell>
          <cell r="AX594">
            <v>1.1200000000000001</v>
          </cell>
          <cell r="AY594">
            <v>1.1200000000000001</v>
          </cell>
          <cell r="AZ594">
            <v>1.1200000000000001</v>
          </cell>
          <cell r="BA594">
            <v>1.1200000000000001</v>
          </cell>
          <cell r="BB594">
            <v>1.1200000000000001</v>
          </cell>
          <cell r="BC594">
            <v>1.1200000000000001</v>
          </cell>
          <cell r="BD594">
            <v>1.1200000000000001</v>
          </cell>
          <cell r="BE594">
            <v>1.1200000000000001</v>
          </cell>
          <cell r="BF594">
            <v>1.1200000000000001</v>
          </cell>
          <cell r="BG594">
            <v>1.1200000000000001</v>
          </cell>
          <cell r="BH594">
            <v>1.1200000000000001</v>
          </cell>
          <cell r="BI594">
            <v>1.1200000000000001</v>
          </cell>
          <cell r="BJ594">
            <v>1.1200000000000001</v>
          </cell>
          <cell r="BK594">
            <v>1.1200000000000001</v>
          </cell>
          <cell r="BL594">
            <v>1.1200000000000001</v>
          </cell>
          <cell r="BM594">
            <v>1.1200000000000001</v>
          </cell>
          <cell r="BN594">
            <v>1.1200000000000001</v>
          </cell>
          <cell r="BO594">
            <v>1.2</v>
          </cell>
          <cell r="BP594">
            <v>1.2</v>
          </cell>
          <cell r="BQ594">
            <v>1.2</v>
          </cell>
          <cell r="BR594">
            <v>1.2</v>
          </cell>
          <cell r="BS594">
            <v>1.2</v>
          </cell>
          <cell r="BT594">
            <v>1.2</v>
          </cell>
          <cell r="BU594">
            <v>1.2</v>
          </cell>
          <cell r="BV594">
            <v>1.2</v>
          </cell>
        </row>
        <row r="595">
          <cell r="A595" t="str">
            <v>CV</v>
          </cell>
          <cell r="B595" t="str">
            <v>Scania</v>
          </cell>
          <cell r="D595" t="str">
            <v>SHIFT B HC  - efficiency</v>
          </cell>
          <cell r="Z595">
            <v>1</v>
          </cell>
          <cell r="AA595">
            <v>1</v>
          </cell>
          <cell r="AB595">
            <v>1</v>
          </cell>
          <cell r="AC595">
            <v>1</v>
          </cell>
          <cell r="AD595">
            <v>1</v>
          </cell>
          <cell r="AE595">
            <v>1</v>
          </cell>
          <cell r="AF595">
            <v>1</v>
          </cell>
          <cell r="AG595">
            <v>1</v>
          </cell>
          <cell r="AH595">
            <v>1</v>
          </cell>
          <cell r="AI595">
            <v>1</v>
          </cell>
          <cell r="AJ595">
            <v>1</v>
          </cell>
          <cell r="AK595">
            <v>1</v>
          </cell>
          <cell r="AL595">
            <v>1</v>
          </cell>
          <cell r="AM595">
            <v>1</v>
          </cell>
          <cell r="AN595">
            <v>1</v>
          </cell>
          <cell r="AO595">
            <v>1</v>
          </cell>
          <cell r="AP595">
            <v>1</v>
          </cell>
          <cell r="AQ595">
            <v>1</v>
          </cell>
          <cell r="AR595">
            <v>1</v>
          </cell>
          <cell r="AS595">
            <v>1</v>
          </cell>
          <cell r="AT595">
            <v>1</v>
          </cell>
          <cell r="AU595">
            <v>1</v>
          </cell>
          <cell r="AV595">
            <v>1</v>
          </cell>
          <cell r="AW595">
            <v>1</v>
          </cell>
          <cell r="AX595">
            <v>1</v>
          </cell>
          <cell r="AY595">
            <v>1</v>
          </cell>
          <cell r="AZ595">
            <v>1</v>
          </cell>
          <cell r="BA595">
            <v>1</v>
          </cell>
          <cell r="BB595">
            <v>1</v>
          </cell>
          <cell r="BC595">
            <v>1</v>
          </cell>
          <cell r="BD595">
            <v>1</v>
          </cell>
          <cell r="BE595">
            <v>1</v>
          </cell>
          <cell r="BF595">
            <v>1</v>
          </cell>
          <cell r="BG595">
            <v>1</v>
          </cell>
          <cell r="BH595">
            <v>1</v>
          </cell>
          <cell r="BI595">
            <v>1</v>
          </cell>
          <cell r="BJ595">
            <v>1</v>
          </cell>
          <cell r="BK595">
            <v>1</v>
          </cell>
          <cell r="BL595">
            <v>1</v>
          </cell>
          <cell r="BM595">
            <v>1</v>
          </cell>
          <cell r="BN595">
            <v>1</v>
          </cell>
          <cell r="BO595">
            <v>1</v>
          </cell>
          <cell r="BP595">
            <v>1</v>
          </cell>
          <cell r="BQ595">
            <v>1</v>
          </cell>
          <cell r="BR595">
            <v>1</v>
          </cell>
          <cell r="BS595">
            <v>1</v>
          </cell>
          <cell r="BT595">
            <v>1</v>
          </cell>
          <cell r="BU595">
            <v>1</v>
          </cell>
          <cell r="BV595">
            <v>1</v>
          </cell>
        </row>
        <row r="596">
          <cell r="A596" t="str">
            <v>CV</v>
          </cell>
          <cell r="B596" t="str">
            <v>Scania</v>
          </cell>
          <cell r="D596" t="str">
            <v>SHIFT C HC  - efficiency</v>
          </cell>
          <cell r="Z596">
            <v>1</v>
          </cell>
          <cell r="AA596">
            <v>1</v>
          </cell>
          <cell r="AB596">
            <v>1</v>
          </cell>
          <cell r="AC596">
            <v>1</v>
          </cell>
          <cell r="AD596">
            <v>1</v>
          </cell>
          <cell r="AE596">
            <v>1</v>
          </cell>
          <cell r="AF596">
            <v>1</v>
          </cell>
          <cell r="AG596">
            <v>1</v>
          </cell>
          <cell r="AH596">
            <v>1</v>
          </cell>
          <cell r="AI596">
            <v>1</v>
          </cell>
          <cell r="AJ596">
            <v>1</v>
          </cell>
          <cell r="AK596">
            <v>1</v>
          </cell>
          <cell r="AL596">
            <v>1</v>
          </cell>
          <cell r="AM596">
            <v>1</v>
          </cell>
          <cell r="AN596">
            <v>1</v>
          </cell>
          <cell r="AO596">
            <v>1</v>
          </cell>
          <cell r="AP596">
            <v>1</v>
          </cell>
          <cell r="AQ596">
            <v>1</v>
          </cell>
          <cell r="AR596">
            <v>1</v>
          </cell>
          <cell r="AS596">
            <v>1</v>
          </cell>
          <cell r="AT596">
            <v>1</v>
          </cell>
          <cell r="AU596">
            <v>1</v>
          </cell>
          <cell r="AV596">
            <v>1</v>
          </cell>
          <cell r="AW596">
            <v>1</v>
          </cell>
          <cell r="AX596">
            <v>1</v>
          </cell>
          <cell r="AY596">
            <v>1</v>
          </cell>
          <cell r="AZ596">
            <v>1</v>
          </cell>
          <cell r="BA596">
            <v>1</v>
          </cell>
          <cell r="BB596">
            <v>1</v>
          </cell>
          <cell r="BC596">
            <v>1</v>
          </cell>
          <cell r="BD596">
            <v>1</v>
          </cell>
          <cell r="BE596">
            <v>1</v>
          </cell>
          <cell r="BF596">
            <v>1</v>
          </cell>
          <cell r="BG596">
            <v>1</v>
          </cell>
          <cell r="BH596">
            <v>1</v>
          </cell>
          <cell r="BI596">
            <v>1</v>
          </cell>
          <cell r="BJ596">
            <v>1</v>
          </cell>
          <cell r="BK596">
            <v>1</v>
          </cell>
          <cell r="BL596">
            <v>1</v>
          </cell>
          <cell r="BM596">
            <v>1</v>
          </cell>
          <cell r="BN596">
            <v>1</v>
          </cell>
          <cell r="BO596">
            <v>1</v>
          </cell>
          <cell r="BP596">
            <v>1</v>
          </cell>
          <cell r="BQ596">
            <v>1</v>
          </cell>
          <cell r="BR596">
            <v>1</v>
          </cell>
          <cell r="BS596">
            <v>1</v>
          </cell>
          <cell r="BT596">
            <v>1</v>
          </cell>
          <cell r="BU596">
            <v>1</v>
          </cell>
          <cell r="BV596">
            <v>1</v>
          </cell>
        </row>
        <row r="597">
          <cell r="A597" t="str">
            <v>CV</v>
          </cell>
          <cell r="B597" t="str">
            <v>Scania</v>
          </cell>
          <cell r="D597" t="str">
            <v>Total efficiency</v>
          </cell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</row>
        <row r="598">
          <cell r="A598" t="str">
            <v>CV</v>
          </cell>
          <cell r="B598" t="str">
            <v>Scania</v>
          </cell>
          <cell r="D598" t="str">
            <v>SHIFT A - output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</row>
        <row r="599">
          <cell r="A599" t="str">
            <v>CV</v>
          </cell>
          <cell r="B599" t="str">
            <v>Scania</v>
          </cell>
          <cell r="D599" t="str">
            <v>SHIFT B  - output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</row>
        <row r="600">
          <cell r="A600" t="str">
            <v>CV</v>
          </cell>
          <cell r="B600" t="str">
            <v>Scania</v>
          </cell>
          <cell r="D600" t="str">
            <v>SHIFT C  - output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</row>
        <row r="601">
          <cell r="A601" t="str">
            <v>CV</v>
          </cell>
          <cell r="B601" t="str">
            <v>Scania</v>
          </cell>
          <cell r="D601" t="str">
            <v>Est. Output (Pcs day)</v>
          </cell>
          <cell r="E601">
            <v>27.96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</row>
        <row r="602">
          <cell r="A602" t="str">
            <v>CV</v>
          </cell>
          <cell r="B602" t="str">
            <v>Scania</v>
          </cell>
          <cell r="D602" t="str">
            <v>Weekly Output PLAN</v>
          </cell>
          <cell r="E602" t="str">
            <v>SEW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</row>
        <row r="603">
          <cell r="A603" t="str">
            <v>CV</v>
          </cell>
          <cell r="B603" t="str">
            <v>Scania</v>
          </cell>
          <cell r="D603" t="str">
            <v>Leather BLACK/BROWN</v>
          </cell>
          <cell r="E603">
            <v>28.759999999999998</v>
          </cell>
          <cell r="Z603">
            <v>0</v>
          </cell>
          <cell r="AA603">
            <v>0</v>
          </cell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</row>
        <row r="604">
          <cell r="A604" t="str">
            <v>CV</v>
          </cell>
          <cell r="B604" t="str">
            <v>Scania</v>
          </cell>
          <cell r="D604" t="str">
            <v>Leather V8</v>
          </cell>
          <cell r="E604">
            <v>26.32</v>
          </cell>
          <cell r="Z604">
            <v>0</v>
          </cell>
          <cell r="AA604">
            <v>0</v>
          </cell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</row>
        <row r="605">
          <cell r="A605" t="str">
            <v>CV</v>
          </cell>
          <cell r="B605" t="str">
            <v>Scania</v>
          </cell>
          <cell r="D605" t="str">
            <v>Velour</v>
          </cell>
          <cell r="E605">
            <v>22.81</v>
          </cell>
          <cell r="Z605">
            <v>0</v>
          </cell>
          <cell r="AA605">
            <v>0</v>
          </cell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</row>
        <row r="606">
          <cell r="A606" t="str">
            <v>CV</v>
          </cell>
          <cell r="B606" t="str">
            <v>Scania</v>
          </cell>
          <cell r="D606"/>
          <cell r="Z606">
            <v>0</v>
          </cell>
          <cell r="AA606">
            <v>0</v>
          </cell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</row>
        <row r="607">
          <cell r="A607" t="str">
            <v>CV</v>
          </cell>
          <cell r="B607" t="str">
            <v>Scania</v>
          </cell>
          <cell r="D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</row>
        <row r="608">
          <cell r="A608" t="str">
            <v>CV</v>
          </cell>
          <cell r="B608" t="str">
            <v>Scania</v>
          </cell>
          <cell r="D608" t="str">
            <v>Weekly Output PLAN - SUM of models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</row>
        <row r="609">
          <cell r="A609" t="str">
            <v>CV</v>
          </cell>
          <cell r="B609" t="str">
            <v>Scania</v>
          </cell>
          <cell r="D609" t="str">
            <v>Weekly Output CHECK with TO time multiple</v>
          </cell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</row>
        <row r="610">
          <cell r="A610" t="str">
            <v>CV</v>
          </cell>
          <cell r="B610" t="str">
            <v>Scania</v>
          </cell>
          <cell r="D610" t="str">
            <v>Weekly Output ACT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</row>
        <row r="611">
          <cell r="A611" t="str">
            <v>CV</v>
          </cell>
          <cell r="B611" t="str">
            <v>Scania</v>
          </cell>
          <cell r="D611" t="str">
            <v>Leather BLACK/BROWN</v>
          </cell>
          <cell r="Z611">
            <v>30</v>
          </cell>
          <cell r="AA611">
            <v>0</v>
          </cell>
          <cell r="AB611">
            <v>0</v>
          </cell>
          <cell r="AC611">
            <v>0</v>
          </cell>
          <cell r="AD611">
            <v>30</v>
          </cell>
          <cell r="AE611">
            <v>0</v>
          </cell>
          <cell r="AF611">
            <v>30</v>
          </cell>
          <cell r="AG611">
            <v>60</v>
          </cell>
          <cell r="AH611">
            <v>60</v>
          </cell>
          <cell r="AI611">
            <v>30</v>
          </cell>
          <cell r="AJ611">
            <v>30</v>
          </cell>
          <cell r="AK611">
            <v>30</v>
          </cell>
          <cell r="AL611">
            <v>60</v>
          </cell>
          <cell r="AM611">
            <v>0</v>
          </cell>
          <cell r="AN611">
            <v>0</v>
          </cell>
          <cell r="AO611">
            <v>30</v>
          </cell>
          <cell r="AP611">
            <v>30</v>
          </cell>
          <cell r="AQ611">
            <v>0</v>
          </cell>
          <cell r="AR611">
            <v>70</v>
          </cell>
          <cell r="AS611">
            <v>0</v>
          </cell>
          <cell r="AT611">
            <v>0</v>
          </cell>
          <cell r="AU611">
            <v>60</v>
          </cell>
          <cell r="AV611">
            <v>0</v>
          </cell>
          <cell r="AW611">
            <v>30</v>
          </cell>
          <cell r="AX611">
            <v>30</v>
          </cell>
          <cell r="AY611">
            <v>30</v>
          </cell>
          <cell r="AZ611">
            <v>30</v>
          </cell>
          <cell r="BA611">
            <v>30</v>
          </cell>
          <cell r="BB611">
            <v>0</v>
          </cell>
          <cell r="BC611">
            <v>30</v>
          </cell>
          <cell r="BD611">
            <v>30</v>
          </cell>
          <cell r="BE611">
            <v>30</v>
          </cell>
          <cell r="BF611">
            <v>60</v>
          </cell>
          <cell r="BG611">
            <v>30</v>
          </cell>
          <cell r="BH611">
            <v>30</v>
          </cell>
          <cell r="BI611">
            <v>0</v>
          </cell>
          <cell r="BJ611">
            <v>0</v>
          </cell>
          <cell r="BK611">
            <v>60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</row>
        <row r="612">
          <cell r="A612" t="str">
            <v>CV</v>
          </cell>
          <cell r="B612" t="str">
            <v>Scania</v>
          </cell>
          <cell r="D612" t="str">
            <v>Leather V8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30</v>
          </cell>
          <cell r="AF612">
            <v>0</v>
          </cell>
          <cell r="AG612">
            <v>0</v>
          </cell>
          <cell r="AH612">
            <v>60</v>
          </cell>
          <cell r="AI612">
            <v>30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30</v>
          </cell>
          <cell r="AP612">
            <v>0</v>
          </cell>
          <cell r="AQ612">
            <v>30</v>
          </cell>
          <cell r="AR612">
            <v>0</v>
          </cell>
          <cell r="AS612">
            <v>0</v>
          </cell>
          <cell r="AT612">
            <v>0</v>
          </cell>
          <cell r="AU612">
            <v>60</v>
          </cell>
          <cell r="AV612">
            <v>0</v>
          </cell>
          <cell r="AW612">
            <v>30</v>
          </cell>
          <cell r="AX612">
            <v>0</v>
          </cell>
          <cell r="AY612">
            <v>30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30</v>
          </cell>
          <cell r="BF612">
            <v>0</v>
          </cell>
          <cell r="BG612">
            <v>0</v>
          </cell>
          <cell r="BH612">
            <v>30</v>
          </cell>
          <cell r="BI612">
            <v>0</v>
          </cell>
          <cell r="BJ612">
            <v>0</v>
          </cell>
          <cell r="BK612">
            <v>0</v>
          </cell>
          <cell r="BL612">
            <v>30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</row>
        <row r="613">
          <cell r="A613" t="str">
            <v>CV</v>
          </cell>
          <cell r="B613" t="str">
            <v>Scania</v>
          </cell>
          <cell r="D613" t="str">
            <v>Velour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80</v>
          </cell>
          <cell r="AE613">
            <v>0</v>
          </cell>
          <cell r="AF613">
            <v>0</v>
          </cell>
          <cell r="AG613">
            <v>80</v>
          </cell>
          <cell r="AH613">
            <v>0</v>
          </cell>
          <cell r="AI613">
            <v>0</v>
          </cell>
          <cell r="AJ613">
            <v>0</v>
          </cell>
          <cell r="AK613">
            <v>80</v>
          </cell>
          <cell r="AL613">
            <v>0</v>
          </cell>
          <cell r="AM613">
            <v>0</v>
          </cell>
          <cell r="AN613">
            <v>10</v>
          </cell>
          <cell r="AO613">
            <v>0</v>
          </cell>
          <cell r="AP613">
            <v>120</v>
          </cell>
          <cell r="AQ613">
            <v>0</v>
          </cell>
          <cell r="AR613">
            <v>0</v>
          </cell>
          <cell r="AS613">
            <v>0</v>
          </cell>
          <cell r="AT613">
            <v>80</v>
          </cell>
          <cell r="AU613">
            <v>0</v>
          </cell>
          <cell r="AV613">
            <v>0</v>
          </cell>
          <cell r="AW613">
            <v>0</v>
          </cell>
          <cell r="AX613">
            <v>80</v>
          </cell>
          <cell r="AY613">
            <v>0</v>
          </cell>
          <cell r="AZ613">
            <v>0</v>
          </cell>
          <cell r="BA613">
            <v>0</v>
          </cell>
          <cell r="BB613">
            <v>80</v>
          </cell>
          <cell r="BC613">
            <v>0</v>
          </cell>
          <cell r="BD613">
            <v>0</v>
          </cell>
          <cell r="BE613">
            <v>0</v>
          </cell>
          <cell r="BF613">
            <v>80</v>
          </cell>
          <cell r="BG613">
            <v>0</v>
          </cell>
          <cell r="BH613">
            <v>0</v>
          </cell>
          <cell r="BI613">
            <v>0</v>
          </cell>
          <cell r="BJ613">
            <v>120</v>
          </cell>
          <cell r="BK613">
            <v>0</v>
          </cell>
          <cell r="BL613">
            <v>0</v>
          </cell>
          <cell r="BM613">
            <v>80</v>
          </cell>
          <cell r="BN613">
            <v>0</v>
          </cell>
          <cell r="BO613">
            <v>0</v>
          </cell>
          <cell r="BP613">
            <v>80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</row>
        <row r="614">
          <cell r="A614" t="str">
            <v>CV</v>
          </cell>
          <cell r="B614" t="str">
            <v>Scania</v>
          </cell>
          <cell r="D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</row>
        <row r="615">
          <cell r="A615" t="str">
            <v>CV</v>
          </cell>
          <cell r="B615" t="str">
            <v>Scania</v>
          </cell>
          <cell r="D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</row>
        <row r="616">
          <cell r="A616" t="str">
            <v>CV</v>
          </cell>
          <cell r="B616" t="str">
            <v>Scania</v>
          </cell>
          <cell r="D616" t="str">
            <v>Weekly demand</v>
          </cell>
          <cell r="Z616">
            <v>30</v>
          </cell>
          <cell r="AA616">
            <v>0</v>
          </cell>
          <cell r="AB616">
            <v>0</v>
          </cell>
          <cell r="AC616">
            <v>0</v>
          </cell>
          <cell r="AD616">
            <v>110</v>
          </cell>
          <cell r="AE616">
            <v>30</v>
          </cell>
          <cell r="AF616">
            <v>30</v>
          </cell>
          <cell r="AG616">
            <v>140</v>
          </cell>
          <cell r="AH616">
            <v>120</v>
          </cell>
          <cell r="AI616">
            <v>60</v>
          </cell>
          <cell r="AJ616">
            <v>30</v>
          </cell>
          <cell r="AK616">
            <v>110</v>
          </cell>
          <cell r="AL616">
            <v>60</v>
          </cell>
          <cell r="AM616">
            <v>0</v>
          </cell>
          <cell r="AN616">
            <v>10</v>
          </cell>
          <cell r="AO616">
            <v>60</v>
          </cell>
          <cell r="AP616">
            <v>150</v>
          </cell>
          <cell r="AQ616">
            <v>30</v>
          </cell>
          <cell r="AR616">
            <v>70</v>
          </cell>
          <cell r="AS616">
            <v>0</v>
          </cell>
          <cell r="AT616">
            <v>80</v>
          </cell>
          <cell r="AU616">
            <v>120</v>
          </cell>
          <cell r="AV616">
            <v>0</v>
          </cell>
          <cell r="AW616">
            <v>60</v>
          </cell>
          <cell r="AX616">
            <v>110</v>
          </cell>
          <cell r="AY616">
            <v>60</v>
          </cell>
          <cell r="AZ616">
            <v>30</v>
          </cell>
          <cell r="BA616">
            <v>30</v>
          </cell>
          <cell r="BB616">
            <v>80</v>
          </cell>
          <cell r="BC616">
            <v>30</v>
          </cell>
          <cell r="BD616">
            <v>30</v>
          </cell>
          <cell r="BE616">
            <v>60</v>
          </cell>
          <cell r="BF616">
            <v>140</v>
          </cell>
          <cell r="BG616">
            <v>30</v>
          </cell>
          <cell r="BH616">
            <v>60</v>
          </cell>
          <cell r="BI616">
            <v>0</v>
          </cell>
          <cell r="BJ616">
            <v>120</v>
          </cell>
          <cell r="BK616">
            <v>60</v>
          </cell>
          <cell r="BL616">
            <v>1960</v>
          </cell>
          <cell r="BM616">
            <v>80</v>
          </cell>
          <cell r="BN616">
            <v>0</v>
          </cell>
          <cell r="BO616">
            <v>0</v>
          </cell>
          <cell r="BP616">
            <v>80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</row>
        <row r="617">
          <cell r="A617" t="str">
            <v>CV</v>
          </cell>
          <cell r="B617" t="str">
            <v>Scania</v>
          </cell>
          <cell r="D617" t="str">
            <v>Stock Target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2528</v>
          </cell>
          <cell r="AK617">
            <v>2529</v>
          </cell>
          <cell r="AL617">
            <v>2530</v>
          </cell>
          <cell r="AM617">
            <v>2531</v>
          </cell>
          <cell r="AN617">
            <v>2532</v>
          </cell>
          <cell r="AO617">
            <v>2533</v>
          </cell>
          <cell r="AP617">
            <v>2534</v>
          </cell>
          <cell r="AQ617">
            <v>2535</v>
          </cell>
          <cell r="AR617">
            <v>2536</v>
          </cell>
          <cell r="AS617">
            <v>2537</v>
          </cell>
          <cell r="AT617">
            <v>2538</v>
          </cell>
          <cell r="AU617">
            <v>2539</v>
          </cell>
          <cell r="AV617">
            <v>2540</v>
          </cell>
          <cell r="AW617">
            <v>2541</v>
          </cell>
          <cell r="AX617">
            <v>2542</v>
          </cell>
          <cell r="AY617">
            <v>2543</v>
          </cell>
          <cell r="AZ617">
            <v>2544</v>
          </cell>
          <cell r="BA617">
            <v>2545</v>
          </cell>
          <cell r="BB617">
            <v>2546</v>
          </cell>
          <cell r="BC617">
            <v>2547</v>
          </cell>
          <cell r="BD617">
            <v>2548</v>
          </cell>
          <cell r="BE617">
            <v>2549</v>
          </cell>
          <cell r="BF617">
            <v>2550</v>
          </cell>
          <cell r="BG617">
            <v>2551</v>
          </cell>
          <cell r="BH617">
            <v>2552</v>
          </cell>
          <cell r="BI617">
            <v>2553</v>
          </cell>
          <cell r="BJ617">
            <v>2554</v>
          </cell>
          <cell r="BK617">
            <v>2555</v>
          </cell>
          <cell r="BL617">
            <v>2556</v>
          </cell>
          <cell r="BM617">
            <v>2557</v>
          </cell>
          <cell r="BN617">
            <v>2558</v>
          </cell>
          <cell r="BO617">
            <v>2559</v>
          </cell>
          <cell r="BP617">
            <v>2560</v>
          </cell>
          <cell r="BQ617">
            <v>2561</v>
          </cell>
          <cell r="BR617">
            <v>2562</v>
          </cell>
          <cell r="BS617">
            <v>2563</v>
          </cell>
          <cell r="BT617">
            <v>2564</v>
          </cell>
          <cell r="BU617">
            <v>2565</v>
          </cell>
          <cell r="BV617">
            <v>2566</v>
          </cell>
        </row>
        <row r="618">
          <cell r="A618" t="str">
            <v>CV</v>
          </cell>
          <cell r="B618" t="str">
            <v>Scania</v>
          </cell>
          <cell r="D618" t="str">
            <v>Leather BLACK/BROWN</v>
          </cell>
          <cell r="Z618">
            <v>5</v>
          </cell>
          <cell r="AA618">
            <v>5</v>
          </cell>
          <cell r="AB618">
            <v>5</v>
          </cell>
          <cell r="AC618">
            <v>5</v>
          </cell>
          <cell r="AD618">
            <v>-25</v>
          </cell>
          <cell r="AE618">
            <v>-25</v>
          </cell>
          <cell r="AF618">
            <v>-55</v>
          </cell>
          <cell r="AG618">
            <v>-115</v>
          </cell>
          <cell r="AH618">
            <v>-175</v>
          </cell>
          <cell r="AI618">
            <v>-205</v>
          </cell>
          <cell r="AJ618">
            <v>-235</v>
          </cell>
          <cell r="AK618">
            <v>-265</v>
          </cell>
          <cell r="AL618">
            <v>-325</v>
          </cell>
          <cell r="AM618">
            <v>-325</v>
          </cell>
          <cell r="AN618">
            <v>-325</v>
          </cell>
          <cell r="AO618">
            <v>-355</v>
          </cell>
          <cell r="AP618">
            <v>-385</v>
          </cell>
          <cell r="AQ618">
            <v>-385</v>
          </cell>
          <cell r="AR618">
            <v>-455</v>
          </cell>
          <cell r="AS618">
            <v>-455</v>
          </cell>
          <cell r="AT618">
            <v>-455</v>
          </cell>
          <cell r="AU618">
            <v>-515</v>
          </cell>
          <cell r="AV618">
            <v>-515</v>
          </cell>
          <cell r="AW618">
            <v>-545</v>
          </cell>
          <cell r="AX618">
            <v>-575</v>
          </cell>
          <cell r="AY618">
            <v>-605</v>
          </cell>
          <cell r="AZ618">
            <v>-635</v>
          </cell>
          <cell r="BA618">
            <v>-665</v>
          </cell>
          <cell r="BB618">
            <v>-665</v>
          </cell>
          <cell r="BC618">
            <v>-695</v>
          </cell>
          <cell r="BD618">
            <v>-725</v>
          </cell>
          <cell r="BE618">
            <v>-755</v>
          </cell>
          <cell r="BF618">
            <v>-815</v>
          </cell>
          <cell r="BG618">
            <v>-845</v>
          </cell>
          <cell r="BH618">
            <v>-875</v>
          </cell>
          <cell r="BI618">
            <v>-875</v>
          </cell>
          <cell r="BJ618">
            <v>-875</v>
          </cell>
          <cell r="BK618">
            <v>-935</v>
          </cell>
          <cell r="BL618">
            <v>-935</v>
          </cell>
          <cell r="BM618">
            <v>-935</v>
          </cell>
          <cell r="BN618">
            <v>-935</v>
          </cell>
          <cell r="BO618">
            <v>-935</v>
          </cell>
          <cell r="BP618">
            <v>-935</v>
          </cell>
          <cell r="BQ618">
            <v>-935</v>
          </cell>
          <cell r="BR618">
            <v>-935</v>
          </cell>
          <cell r="BS618">
            <v>-935</v>
          </cell>
          <cell r="BT618">
            <v>-935</v>
          </cell>
          <cell r="BU618">
            <v>-935</v>
          </cell>
          <cell r="BV618">
            <v>-935</v>
          </cell>
        </row>
        <row r="619">
          <cell r="A619" t="str">
            <v>CV</v>
          </cell>
          <cell r="B619" t="str">
            <v>Scania</v>
          </cell>
          <cell r="D619" t="str">
            <v>Leather V8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-30</v>
          </cell>
          <cell r="AF619">
            <v>-30</v>
          </cell>
          <cell r="AG619">
            <v>-30</v>
          </cell>
          <cell r="AH619">
            <v>-90</v>
          </cell>
          <cell r="AI619">
            <v>-120</v>
          </cell>
          <cell r="AJ619">
            <v>-120</v>
          </cell>
          <cell r="AK619">
            <v>-120</v>
          </cell>
          <cell r="AL619">
            <v>-120</v>
          </cell>
          <cell r="AM619">
            <v>-120</v>
          </cell>
          <cell r="AN619">
            <v>-120</v>
          </cell>
          <cell r="AO619">
            <v>-150</v>
          </cell>
          <cell r="AP619">
            <v>-150</v>
          </cell>
          <cell r="AQ619">
            <v>-180</v>
          </cell>
          <cell r="AR619">
            <v>-180</v>
          </cell>
          <cell r="AS619">
            <v>-180</v>
          </cell>
          <cell r="AT619">
            <v>-180</v>
          </cell>
          <cell r="AU619">
            <v>-240</v>
          </cell>
          <cell r="AV619">
            <v>-240</v>
          </cell>
          <cell r="AW619">
            <v>-270</v>
          </cell>
          <cell r="AX619">
            <v>-270</v>
          </cell>
          <cell r="AY619">
            <v>-300</v>
          </cell>
          <cell r="AZ619">
            <v>-300</v>
          </cell>
          <cell r="BA619">
            <v>-300</v>
          </cell>
          <cell r="BB619">
            <v>-300</v>
          </cell>
          <cell r="BC619">
            <v>-300</v>
          </cell>
          <cell r="BD619">
            <v>-300</v>
          </cell>
          <cell r="BE619">
            <v>-330</v>
          </cell>
          <cell r="BF619">
            <v>-330</v>
          </cell>
          <cell r="BG619">
            <v>-330</v>
          </cell>
          <cell r="BH619">
            <v>-360</v>
          </cell>
          <cell r="BI619">
            <v>-360</v>
          </cell>
          <cell r="BJ619">
            <v>-360</v>
          </cell>
          <cell r="BK619">
            <v>-360</v>
          </cell>
          <cell r="BL619">
            <v>-390</v>
          </cell>
          <cell r="BM619">
            <v>-390</v>
          </cell>
          <cell r="BN619">
            <v>-390</v>
          </cell>
          <cell r="BO619">
            <v>-390</v>
          </cell>
          <cell r="BP619">
            <v>-390</v>
          </cell>
          <cell r="BQ619">
            <v>-390</v>
          </cell>
          <cell r="BR619">
            <v>-390</v>
          </cell>
          <cell r="BS619">
            <v>-390</v>
          </cell>
          <cell r="BT619">
            <v>-390</v>
          </cell>
          <cell r="BU619">
            <v>-390</v>
          </cell>
          <cell r="BV619">
            <v>-390</v>
          </cell>
        </row>
        <row r="620">
          <cell r="A620" t="str">
            <v>CV</v>
          </cell>
          <cell r="B620" t="str">
            <v>Scania</v>
          </cell>
          <cell r="D620" t="str">
            <v>Velour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-80</v>
          </cell>
          <cell r="AE620">
            <v>-80</v>
          </cell>
          <cell r="AF620">
            <v>-80</v>
          </cell>
          <cell r="AG620">
            <v>-160</v>
          </cell>
          <cell r="AH620">
            <v>-160</v>
          </cell>
          <cell r="AI620">
            <v>-160</v>
          </cell>
          <cell r="AJ620">
            <v>-160</v>
          </cell>
          <cell r="AK620">
            <v>-240</v>
          </cell>
          <cell r="AL620">
            <v>-240</v>
          </cell>
          <cell r="AM620">
            <v>-240</v>
          </cell>
          <cell r="AN620">
            <v>-250</v>
          </cell>
          <cell r="AO620">
            <v>-250</v>
          </cell>
          <cell r="AP620">
            <v>-370</v>
          </cell>
          <cell r="AQ620">
            <v>-370</v>
          </cell>
          <cell r="AR620">
            <v>-370</v>
          </cell>
          <cell r="AS620">
            <v>-370</v>
          </cell>
          <cell r="AT620">
            <v>-450</v>
          </cell>
          <cell r="AU620">
            <v>-450</v>
          </cell>
          <cell r="AV620">
            <v>-450</v>
          </cell>
          <cell r="AW620">
            <v>-450</v>
          </cell>
          <cell r="AX620">
            <v>-530</v>
          </cell>
          <cell r="AY620">
            <v>-530</v>
          </cell>
          <cell r="AZ620">
            <v>-530</v>
          </cell>
          <cell r="BA620">
            <v>-530</v>
          </cell>
          <cell r="BB620">
            <v>-610</v>
          </cell>
          <cell r="BC620">
            <v>-610</v>
          </cell>
          <cell r="BD620">
            <v>-610</v>
          </cell>
          <cell r="BE620">
            <v>-610</v>
          </cell>
          <cell r="BF620">
            <v>-690</v>
          </cell>
          <cell r="BG620">
            <v>-690</v>
          </cell>
          <cell r="BH620">
            <v>-690</v>
          </cell>
          <cell r="BI620">
            <v>-690</v>
          </cell>
          <cell r="BJ620">
            <v>-810</v>
          </cell>
          <cell r="BK620">
            <v>-810</v>
          </cell>
          <cell r="BL620">
            <v>-810</v>
          </cell>
          <cell r="BM620">
            <v>-890</v>
          </cell>
          <cell r="BN620">
            <v>-890</v>
          </cell>
          <cell r="BO620">
            <v>-890</v>
          </cell>
          <cell r="BP620">
            <v>-970</v>
          </cell>
          <cell r="BQ620">
            <v>-970</v>
          </cell>
          <cell r="BR620">
            <v>-970</v>
          </cell>
          <cell r="BS620">
            <v>-970</v>
          </cell>
          <cell r="BT620">
            <v>-970</v>
          </cell>
          <cell r="BU620">
            <v>-970</v>
          </cell>
          <cell r="BV620">
            <v>-970</v>
          </cell>
        </row>
        <row r="621">
          <cell r="A621" t="str">
            <v>CV</v>
          </cell>
          <cell r="B621" t="str">
            <v>Scania</v>
          </cell>
          <cell r="D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</row>
        <row r="622">
          <cell r="A622" t="str">
            <v>CV</v>
          </cell>
          <cell r="B622" t="str">
            <v>Scania</v>
          </cell>
          <cell r="D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</row>
        <row r="623">
          <cell r="A623" t="str">
            <v>CV</v>
          </cell>
          <cell r="B623" t="str">
            <v>Scania</v>
          </cell>
          <cell r="D623" t="str">
            <v>STOCK</v>
          </cell>
          <cell r="Z623">
            <v>-380</v>
          </cell>
          <cell r="AA623">
            <v>-380</v>
          </cell>
          <cell r="AB623">
            <v>-380</v>
          </cell>
          <cell r="AC623">
            <v>-380</v>
          </cell>
          <cell r="AD623">
            <v>-490</v>
          </cell>
          <cell r="AE623">
            <v>-520</v>
          </cell>
          <cell r="AF623">
            <v>-550</v>
          </cell>
          <cell r="AG623">
            <v>-690</v>
          </cell>
          <cell r="AH623">
            <v>-810</v>
          </cell>
          <cell r="AI623">
            <v>-870</v>
          </cell>
          <cell r="AJ623">
            <v>-900</v>
          </cell>
          <cell r="AK623">
            <v>-1010</v>
          </cell>
          <cell r="AL623">
            <v>-1070</v>
          </cell>
          <cell r="AM623">
            <v>-1070</v>
          </cell>
          <cell r="AN623">
            <v>-1080</v>
          </cell>
          <cell r="AO623">
            <v>-1140</v>
          </cell>
          <cell r="AP623">
            <v>-1290</v>
          </cell>
          <cell r="AQ623">
            <v>-1320</v>
          </cell>
          <cell r="AR623">
            <v>-1390</v>
          </cell>
          <cell r="AS623">
            <v>-1390</v>
          </cell>
          <cell r="AT623">
            <v>-1470</v>
          </cell>
          <cell r="AU623">
            <v>-1590</v>
          </cell>
          <cell r="AV623">
            <v>-1590</v>
          </cell>
          <cell r="AW623">
            <v>-1650</v>
          </cell>
          <cell r="AX623">
            <v>-1760</v>
          </cell>
          <cell r="AY623">
            <v>-1820</v>
          </cell>
          <cell r="AZ623">
            <v>-1850</v>
          </cell>
          <cell r="BA623">
            <v>-1880</v>
          </cell>
          <cell r="BB623">
            <v>-1960</v>
          </cell>
          <cell r="BC623">
            <v>-1990</v>
          </cell>
          <cell r="BD623">
            <v>-2020</v>
          </cell>
          <cell r="BE623">
            <v>-2080</v>
          </cell>
          <cell r="BF623">
            <v>-2220</v>
          </cell>
          <cell r="BG623">
            <v>-2250</v>
          </cell>
          <cell r="BH623">
            <v>-2310</v>
          </cell>
          <cell r="BI623">
            <v>-2310</v>
          </cell>
          <cell r="BJ623">
            <v>-2430</v>
          </cell>
          <cell r="BK623">
            <v>-2490</v>
          </cell>
          <cell r="BL623">
            <v>-4450</v>
          </cell>
          <cell r="BM623">
            <v>-4530</v>
          </cell>
          <cell r="BN623">
            <v>-4530</v>
          </cell>
          <cell r="BO623">
            <v>-4530</v>
          </cell>
          <cell r="BP623">
            <v>-4610</v>
          </cell>
          <cell r="BQ623">
            <v>-4610</v>
          </cell>
          <cell r="BR623">
            <v>-4610</v>
          </cell>
          <cell r="BS623">
            <v>-4610</v>
          </cell>
          <cell r="BT623">
            <v>-4610</v>
          </cell>
          <cell r="BU623">
            <v>-4610</v>
          </cell>
          <cell r="BV623">
            <v>-4610</v>
          </cell>
        </row>
        <row r="624">
          <cell r="A624" t="str">
            <v>Blank</v>
          </cell>
          <cell r="B624" t="str">
            <v>Blank</v>
          </cell>
          <cell r="D624" t="str">
            <v>Blank</v>
          </cell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</row>
        <row r="625">
          <cell r="A625" t="str">
            <v>CV</v>
          </cell>
          <cell r="B625" t="str">
            <v>Scania FL</v>
          </cell>
          <cell r="D625" t="str">
            <v>Work days</v>
          </cell>
          <cell r="Z625">
            <v>5</v>
          </cell>
          <cell r="AA625">
            <v>5</v>
          </cell>
          <cell r="AB625">
            <v>5</v>
          </cell>
          <cell r="AC625">
            <v>5</v>
          </cell>
          <cell r="AD625">
            <v>3</v>
          </cell>
          <cell r="AE625">
            <v>5</v>
          </cell>
          <cell r="AF625">
            <v>5</v>
          </cell>
          <cell r="AG625">
            <v>5</v>
          </cell>
          <cell r="AH625">
            <v>5</v>
          </cell>
          <cell r="AI625">
            <v>5</v>
          </cell>
          <cell r="AJ625">
            <v>5</v>
          </cell>
          <cell r="AK625">
            <v>4</v>
          </cell>
          <cell r="AL625">
            <v>4</v>
          </cell>
          <cell r="AM625">
            <v>5</v>
          </cell>
          <cell r="AN625">
            <v>4</v>
          </cell>
          <cell r="AO625">
            <v>5</v>
          </cell>
          <cell r="AP625">
            <v>5</v>
          </cell>
          <cell r="AQ625">
            <v>5</v>
          </cell>
          <cell r="AR625">
            <v>5</v>
          </cell>
          <cell r="AS625">
            <v>5</v>
          </cell>
          <cell r="AT625">
            <v>5</v>
          </cell>
          <cell r="AU625">
            <v>5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5</v>
          </cell>
          <cell r="BA625">
            <v>5</v>
          </cell>
          <cell r="BB625">
            <v>0</v>
          </cell>
          <cell r="BC625">
            <v>5</v>
          </cell>
          <cell r="BD625">
            <v>5</v>
          </cell>
          <cell r="BE625">
            <v>5</v>
          </cell>
          <cell r="BF625">
            <v>5</v>
          </cell>
          <cell r="BG625">
            <v>5</v>
          </cell>
          <cell r="BH625">
            <v>5</v>
          </cell>
          <cell r="BI625">
            <v>5</v>
          </cell>
          <cell r="BJ625">
            <v>5</v>
          </cell>
          <cell r="BK625">
            <v>5</v>
          </cell>
          <cell r="BL625">
            <v>15</v>
          </cell>
          <cell r="BM625">
            <v>15</v>
          </cell>
          <cell r="BN625">
            <v>15</v>
          </cell>
          <cell r="BO625">
            <v>15</v>
          </cell>
          <cell r="BP625">
            <v>15</v>
          </cell>
          <cell r="BQ625">
            <v>15</v>
          </cell>
          <cell r="BR625">
            <v>15</v>
          </cell>
          <cell r="BS625">
            <v>3</v>
          </cell>
          <cell r="BT625">
            <v>3</v>
          </cell>
          <cell r="BU625">
            <v>3</v>
          </cell>
          <cell r="BV625">
            <v>3</v>
          </cell>
        </row>
        <row r="626">
          <cell r="A626" t="str">
            <v>CV</v>
          </cell>
          <cell r="B626" t="str">
            <v>Scania FL</v>
          </cell>
          <cell r="D626" t="str">
            <v>SHIFT A HC - operators</v>
          </cell>
          <cell r="Z626">
            <v>17</v>
          </cell>
          <cell r="AA626">
            <v>17</v>
          </cell>
          <cell r="AB626">
            <v>15</v>
          </cell>
          <cell r="AC626">
            <v>15</v>
          </cell>
          <cell r="AD626">
            <v>14</v>
          </cell>
          <cell r="AE626">
            <v>14</v>
          </cell>
          <cell r="AF626">
            <v>14</v>
          </cell>
          <cell r="AG626">
            <v>14</v>
          </cell>
          <cell r="AH626">
            <v>14</v>
          </cell>
          <cell r="AI626">
            <v>14</v>
          </cell>
          <cell r="AJ626">
            <v>14</v>
          </cell>
          <cell r="AK626">
            <v>14</v>
          </cell>
          <cell r="AL626">
            <v>14</v>
          </cell>
          <cell r="AM626">
            <v>14</v>
          </cell>
          <cell r="AN626">
            <v>14</v>
          </cell>
          <cell r="AO626">
            <v>14</v>
          </cell>
          <cell r="AP626">
            <v>14</v>
          </cell>
          <cell r="AQ626">
            <v>14</v>
          </cell>
          <cell r="AR626">
            <v>14</v>
          </cell>
          <cell r="AS626">
            <v>14</v>
          </cell>
          <cell r="AT626">
            <v>14</v>
          </cell>
          <cell r="AU626">
            <v>14</v>
          </cell>
          <cell r="AV626">
            <v>14</v>
          </cell>
          <cell r="AW626">
            <v>14</v>
          </cell>
          <cell r="AX626">
            <v>14</v>
          </cell>
          <cell r="AY626">
            <v>14</v>
          </cell>
          <cell r="AZ626">
            <v>14</v>
          </cell>
          <cell r="BA626">
            <v>14</v>
          </cell>
          <cell r="BB626">
            <v>14</v>
          </cell>
          <cell r="BC626">
            <v>14</v>
          </cell>
          <cell r="BD626">
            <v>14</v>
          </cell>
          <cell r="BE626">
            <v>14</v>
          </cell>
          <cell r="BF626">
            <v>14</v>
          </cell>
          <cell r="BG626">
            <v>14</v>
          </cell>
          <cell r="BH626">
            <v>14</v>
          </cell>
          <cell r="BI626">
            <v>14</v>
          </cell>
          <cell r="BJ626">
            <v>14</v>
          </cell>
          <cell r="BK626">
            <v>15</v>
          </cell>
          <cell r="BL626">
            <v>15</v>
          </cell>
          <cell r="BM626">
            <v>15</v>
          </cell>
          <cell r="BN626">
            <v>15</v>
          </cell>
          <cell r="BO626">
            <v>15</v>
          </cell>
          <cell r="BP626">
            <v>15</v>
          </cell>
          <cell r="BQ626">
            <v>15</v>
          </cell>
          <cell r="BR626">
            <v>15</v>
          </cell>
          <cell r="BS626">
            <v>3</v>
          </cell>
          <cell r="BT626">
            <v>3</v>
          </cell>
          <cell r="BU626">
            <v>3</v>
          </cell>
          <cell r="BV626">
            <v>3</v>
          </cell>
        </row>
        <row r="627">
          <cell r="A627" t="str">
            <v>CV</v>
          </cell>
          <cell r="B627" t="str">
            <v>Scania FL</v>
          </cell>
          <cell r="D627" t="str">
            <v>SHIFT B HC  - operators</v>
          </cell>
          <cell r="Z627">
            <v>0</v>
          </cell>
          <cell r="AA627">
            <v>10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</row>
        <row r="628">
          <cell r="A628" t="str">
            <v>CV</v>
          </cell>
          <cell r="B628" t="str">
            <v>Scania FL</v>
          </cell>
          <cell r="D628" t="str">
            <v>SHIFT C HC  - operators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</row>
        <row r="629">
          <cell r="A629" t="str">
            <v>CV</v>
          </cell>
          <cell r="B629" t="str">
            <v>Scania FL</v>
          </cell>
          <cell r="D629" t="str">
            <v>Total HC</v>
          </cell>
          <cell r="Z629">
            <v>17</v>
          </cell>
          <cell r="AA629">
            <v>27</v>
          </cell>
          <cell r="AB629">
            <v>15</v>
          </cell>
          <cell r="AC629">
            <v>15</v>
          </cell>
          <cell r="AD629">
            <v>14</v>
          </cell>
          <cell r="AE629">
            <v>14</v>
          </cell>
          <cell r="AF629">
            <v>14</v>
          </cell>
          <cell r="AG629">
            <v>14</v>
          </cell>
          <cell r="AH629">
            <v>14</v>
          </cell>
          <cell r="AI629">
            <v>14</v>
          </cell>
          <cell r="AJ629">
            <v>14</v>
          </cell>
          <cell r="AK629">
            <v>14</v>
          </cell>
          <cell r="AL629">
            <v>14</v>
          </cell>
          <cell r="AM629">
            <v>14</v>
          </cell>
          <cell r="AN629">
            <v>14</v>
          </cell>
          <cell r="AO629">
            <v>14</v>
          </cell>
          <cell r="AP629">
            <v>14</v>
          </cell>
          <cell r="AQ629">
            <v>14</v>
          </cell>
          <cell r="AR629">
            <v>14</v>
          </cell>
          <cell r="AS629">
            <v>14</v>
          </cell>
          <cell r="AT629">
            <v>14</v>
          </cell>
          <cell r="AU629">
            <v>14</v>
          </cell>
          <cell r="AV629">
            <v>14</v>
          </cell>
          <cell r="AW629">
            <v>14</v>
          </cell>
          <cell r="AX629">
            <v>14</v>
          </cell>
          <cell r="AY629">
            <v>14</v>
          </cell>
          <cell r="AZ629">
            <v>14</v>
          </cell>
          <cell r="BA629">
            <v>14</v>
          </cell>
          <cell r="BB629">
            <v>14</v>
          </cell>
          <cell r="BC629">
            <v>14</v>
          </cell>
          <cell r="BD629">
            <v>14</v>
          </cell>
          <cell r="BE629">
            <v>14</v>
          </cell>
          <cell r="BF629">
            <v>14</v>
          </cell>
          <cell r="BG629">
            <v>14</v>
          </cell>
          <cell r="BH629">
            <v>14</v>
          </cell>
          <cell r="BI629">
            <v>14</v>
          </cell>
          <cell r="BJ629">
            <v>14</v>
          </cell>
          <cell r="BK629">
            <v>15</v>
          </cell>
          <cell r="BL629">
            <v>15</v>
          </cell>
          <cell r="BM629">
            <v>15</v>
          </cell>
          <cell r="BN629">
            <v>15</v>
          </cell>
          <cell r="BO629">
            <v>15</v>
          </cell>
          <cell r="BP629">
            <v>15</v>
          </cell>
          <cell r="BQ629">
            <v>15</v>
          </cell>
          <cell r="BR629">
            <v>15</v>
          </cell>
          <cell r="BS629">
            <v>3</v>
          </cell>
          <cell r="BT629">
            <v>3</v>
          </cell>
          <cell r="BU629">
            <v>3</v>
          </cell>
          <cell r="BV629">
            <v>3</v>
          </cell>
        </row>
        <row r="630">
          <cell r="A630" t="str">
            <v>CV</v>
          </cell>
          <cell r="B630" t="str">
            <v>Scania FL</v>
          </cell>
          <cell r="D630" t="str">
            <v>SHIFT A HC  - efficiency</v>
          </cell>
          <cell r="Z630">
            <v>0.91</v>
          </cell>
          <cell r="AA630">
            <v>0.93</v>
          </cell>
          <cell r="AB630">
            <v>0.95000000000000007</v>
          </cell>
          <cell r="AC630">
            <v>0.97000000000000008</v>
          </cell>
          <cell r="AD630">
            <v>0.9900000000000001</v>
          </cell>
          <cell r="AE630">
            <v>1</v>
          </cell>
          <cell r="AF630">
            <v>1</v>
          </cell>
          <cell r="AG630">
            <v>1.05</v>
          </cell>
          <cell r="AH630">
            <v>1.06</v>
          </cell>
          <cell r="AI630">
            <v>1.07</v>
          </cell>
          <cell r="AJ630">
            <v>1.08</v>
          </cell>
          <cell r="AK630">
            <v>1.1000000000000001</v>
          </cell>
          <cell r="AL630">
            <v>1.1000000000000001</v>
          </cell>
          <cell r="AM630">
            <v>1.1000000000000001</v>
          </cell>
          <cell r="AN630">
            <v>1.1000000000000001</v>
          </cell>
          <cell r="AO630">
            <v>1.1000000000000001</v>
          </cell>
          <cell r="AP630">
            <v>1.1000000000000001</v>
          </cell>
          <cell r="AQ630">
            <v>1.1000000000000001</v>
          </cell>
          <cell r="AR630">
            <v>1.1000000000000001</v>
          </cell>
          <cell r="AS630">
            <v>1.1000000000000001</v>
          </cell>
          <cell r="AT630">
            <v>1.1000000000000001</v>
          </cell>
          <cell r="AU630">
            <v>1.1000000000000001</v>
          </cell>
          <cell r="AV630">
            <v>1.1000000000000001</v>
          </cell>
          <cell r="AW630">
            <v>1.1000000000000001</v>
          </cell>
          <cell r="AX630">
            <v>1.1000000000000001</v>
          </cell>
          <cell r="AY630">
            <v>1.1000000000000001</v>
          </cell>
          <cell r="AZ630">
            <v>1.1000000000000001</v>
          </cell>
          <cell r="BA630">
            <v>1.1000000000000001</v>
          </cell>
          <cell r="BB630">
            <v>1.1000000000000001</v>
          </cell>
          <cell r="BC630">
            <v>1.1000000000000001</v>
          </cell>
          <cell r="BD630">
            <v>1.1000000000000001</v>
          </cell>
          <cell r="BE630">
            <v>1.1000000000000001</v>
          </cell>
          <cell r="BF630">
            <v>1.1000000000000001</v>
          </cell>
          <cell r="BG630">
            <v>1.1000000000000001</v>
          </cell>
          <cell r="BH630">
            <v>1.1000000000000001</v>
          </cell>
          <cell r="BI630">
            <v>1.1000000000000001</v>
          </cell>
          <cell r="BJ630">
            <v>1.1000000000000001</v>
          </cell>
          <cell r="BK630">
            <v>1.2</v>
          </cell>
          <cell r="BL630">
            <v>1.2</v>
          </cell>
          <cell r="BM630">
            <v>1.2</v>
          </cell>
          <cell r="BN630">
            <v>1.2</v>
          </cell>
          <cell r="BO630">
            <v>1.2</v>
          </cell>
          <cell r="BP630">
            <v>1.2</v>
          </cell>
          <cell r="BQ630">
            <v>1.2</v>
          </cell>
          <cell r="BR630">
            <v>1.2</v>
          </cell>
          <cell r="BS630">
            <v>1.2</v>
          </cell>
          <cell r="BT630">
            <v>1.2</v>
          </cell>
          <cell r="BU630">
            <v>1.2</v>
          </cell>
          <cell r="BV630">
            <v>1.2</v>
          </cell>
        </row>
        <row r="631">
          <cell r="A631" t="str">
            <v>CV</v>
          </cell>
          <cell r="B631" t="str">
            <v>Scania FL</v>
          </cell>
          <cell r="D631" t="str">
            <v>SHIFT B HC  - efficiency</v>
          </cell>
          <cell r="Z631">
            <v>1</v>
          </cell>
          <cell r="AA631">
            <v>0.75</v>
          </cell>
          <cell r="AB631">
            <v>1</v>
          </cell>
          <cell r="AC631">
            <v>1</v>
          </cell>
          <cell r="AD631">
            <v>1</v>
          </cell>
          <cell r="AE631">
            <v>1</v>
          </cell>
          <cell r="AF631">
            <v>1</v>
          </cell>
          <cell r="AG631">
            <v>1</v>
          </cell>
          <cell r="AH631">
            <v>1</v>
          </cell>
          <cell r="AI631">
            <v>1</v>
          </cell>
          <cell r="AJ631">
            <v>1</v>
          </cell>
          <cell r="AK631">
            <v>1</v>
          </cell>
          <cell r="AL631">
            <v>1</v>
          </cell>
          <cell r="AM631">
            <v>1</v>
          </cell>
          <cell r="AN631">
            <v>1</v>
          </cell>
          <cell r="AO631">
            <v>1</v>
          </cell>
          <cell r="AP631">
            <v>1</v>
          </cell>
          <cell r="AQ631">
            <v>1</v>
          </cell>
          <cell r="AR631">
            <v>1</v>
          </cell>
          <cell r="AS631">
            <v>1</v>
          </cell>
          <cell r="AT631">
            <v>1</v>
          </cell>
          <cell r="AU631">
            <v>1</v>
          </cell>
          <cell r="AV631">
            <v>1</v>
          </cell>
          <cell r="AW631">
            <v>1</v>
          </cell>
          <cell r="AX631">
            <v>1</v>
          </cell>
          <cell r="AY631">
            <v>1</v>
          </cell>
          <cell r="AZ631">
            <v>1</v>
          </cell>
          <cell r="BA631">
            <v>1</v>
          </cell>
          <cell r="BB631">
            <v>1</v>
          </cell>
          <cell r="BC631">
            <v>1</v>
          </cell>
          <cell r="BD631">
            <v>1</v>
          </cell>
          <cell r="BE631">
            <v>1</v>
          </cell>
          <cell r="BF631">
            <v>1</v>
          </cell>
          <cell r="BG631">
            <v>1</v>
          </cell>
          <cell r="BH631">
            <v>1</v>
          </cell>
          <cell r="BI631">
            <v>1</v>
          </cell>
          <cell r="BJ631">
            <v>1</v>
          </cell>
          <cell r="BK631">
            <v>1</v>
          </cell>
          <cell r="BL631">
            <v>1</v>
          </cell>
          <cell r="BM631">
            <v>1</v>
          </cell>
          <cell r="BN631">
            <v>1</v>
          </cell>
          <cell r="BO631">
            <v>1</v>
          </cell>
          <cell r="BP631">
            <v>1</v>
          </cell>
          <cell r="BQ631">
            <v>1</v>
          </cell>
          <cell r="BR631">
            <v>1</v>
          </cell>
          <cell r="BS631">
            <v>1</v>
          </cell>
          <cell r="BT631">
            <v>1</v>
          </cell>
          <cell r="BU631">
            <v>1</v>
          </cell>
          <cell r="BV631">
            <v>1</v>
          </cell>
        </row>
        <row r="632">
          <cell r="A632" t="str">
            <v>CV</v>
          </cell>
          <cell r="B632" t="str">
            <v>Scania FL</v>
          </cell>
          <cell r="D632" t="str">
            <v>SHIFT C HC  - efficiency</v>
          </cell>
          <cell r="Z632">
            <v>1</v>
          </cell>
          <cell r="AA632">
            <v>1</v>
          </cell>
          <cell r="AB632">
            <v>1</v>
          </cell>
          <cell r="AC632">
            <v>1</v>
          </cell>
          <cell r="AD632">
            <v>1</v>
          </cell>
          <cell r="AE632">
            <v>1</v>
          </cell>
          <cell r="AF632">
            <v>1</v>
          </cell>
          <cell r="AG632">
            <v>1</v>
          </cell>
          <cell r="AH632">
            <v>1</v>
          </cell>
          <cell r="AI632">
            <v>1</v>
          </cell>
          <cell r="AJ632">
            <v>1</v>
          </cell>
          <cell r="AK632">
            <v>1</v>
          </cell>
          <cell r="AL632">
            <v>1</v>
          </cell>
          <cell r="AM632">
            <v>1</v>
          </cell>
          <cell r="AN632">
            <v>1</v>
          </cell>
          <cell r="AO632">
            <v>1</v>
          </cell>
          <cell r="AP632">
            <v>1</v>
          </cell>
          <cell r="AQ632">
            <v>1</v>
          </cell>
          <cell r="AR632">
            <v>1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1</v>
          </cell>
          <cell r="BB632">
            <v>1</v>
          </cell>
          <cell r="BC632">
            <v>1</v>
          </cell>
          <cell r="BD632">
            <v>1</v>
          </cell>
          <cell r="BE632">
            <v>1</v>
          </cell>
          <cell r="BF632">
            <v>1</v>
          </cell>
          <cell r="BG632">
            <v>1</v>
          </cell>
          <cell r="BH632">
            <v>1</v>
          </cell>
          <cell r="BI632">
            <v>1</v>
          </cell>
          <cell r="BJ632">
            <v>1</v>
          </cell>
          <cell r="BK632">
            <v>1</v>
          </cell>
          <cell r="BL632">
            <v>1</v>
          </cell>
          <cell r="BM632">
            <v>1</v>
          </cell>
          <cell r="BN632">
            <v>1</v>
          </cell>
          <cell r="BO632">
            <v>1</v>
          </cell>
          <cell r="BP632">
            <v>1</v>
          </cell>
          <cell r="BQ632">
            <v>1</v>
          </cell>
          <cell r="BR632">
            <v>1</v>
          </cell>
          <cell r="BS632">
            <v>1</v>
          </cell>
          <cell r="BT632">
            <v>1</v>
          </cell>
          <cell r="BU632">
            <v>1</v>
          </cell>
          <cell r="BV632">
            <v>1</v>
          </cell>
        </row>
        <row r="633">
          <cell r="A633" t="str">
            <v>CV</v>
          </cell>
          <cell r="B633" t="str">
            <v>Scania FL</v>
          </cell>
          <cell r="D633" t="str">
            <v>Total efficiency</v>
          </cell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</row>
        <row r="634">
          <cell r="A634" t="str">
            <v>CV</v>
          </cell>
          <cell r="B634" t="str">
            <v>Scania FL</v>
          </cell>
          <cell r="D634" t="str">
            <v>SHIFT A - output</v>
          </cell>
          <cell r="Z634">
            <v>255</v>
          </cell>
          <cell r="AA634">
            <v>260.60439560439562</v>
          </cell>
          <cell r="AB634">
            <v>234.89010989010987</v>
          </cell>
          <cell r="AC634">
            <v>239.83516483516482</v>
          </cell>
          <cell r="AD634">
            <v>228.46153846153845</v>
          </cell>
          <cell r="AE634">
            <v>230.76923076923075</v>
          </cell>
          <cell r="AF634">
            <v>230.76923076923075</v>
          </cell>
          <cell r="AG634">
            <v>242.30769230769229</v>
          </cell>
          <cell r="AH634">
            <v>244.61538461538461</v>
          </cell>
          <cell r="AI634">
            <v>246.92307692307691</v>
          </cell>
          <cell r="AJ634">
            <v>249.23076923076923</v>
          </cell>
          <cell r="AK634">
            <v>253.84615384615384</v>
          </cell>
          <cell r="AL634">
            <v>253.84615384615384</v>
          </cell>
          <cell r="AM634">
            <v>253.84615384615384</v>
          </cell>
          <cell r="AN634">
            <v>253.84615384615384</v>
          </cell>
          <cell r="AO634">
            <v>253.84615384615384</v>
          </cell>
          <cell r="AP634">
            <v>253.84615384615384</v>
          </cell>
          <cell r="AQ634">
            <v>253.84615384615384</v>
          </cell>
          <cell r="AR634">
            <v>253.84615384615384</v>
          </cell>
          <cell r="AS634">
            <v>253.84615384615384</v>
          </cell>
          <cell r="AT634">
            <v>253.84615384615384</v>
          </cell>
          <cell r="AU634">
            <v>253.84615384615384</v>
          </cell>
          <cell r="AV634">
            <v>253.84615384615384</v>
          </cell>
          <cell r="AW634">
            <v>253.84615384615384</v>
          </cell>
          <cell r="AX634">
            <v>253.84615384615384</v>
          </cell>
          <cell r="AY634">
            <v>253.84615384615384</v>
          </cell>
          <cell r="AZ634">
            <v>253.84615384615384</v>
          </cell>
          <cell r="BA634">
            <v>253.84615384615384</v>
          </cell>
          <cell r="BB634">
            <v>253.84615384615384</v>
          </cell>
          <cell r="BC634">
            <v>253.84615384615384</v>
          </cell>
          <cell r="BD634">
            <v>253.84615384615384</v>
          </cell>
          <cell r="BE634">
            <v>253.84615384615384</v>
          </cell>
          <cell r="BF634">
            <v>253.84615384615384</v>
          </cell>
          <cell r="BG634">
            <v>253.84615384615384</v>
          </cell>
          <cell r="BH634">
            <v>253.84615384615384</v>
          </cell>
          <cell r="BI634">
            <v>253.84615384615384</v>
          </cell>
          <cell r="BJ634">
            <v>253.84615384615384</v>
          </cell>
          <cell r="BK634">
            <v>296.70329670329664</v>
          </cell>
          <cell r="BL634">
            <v>296.70329670329664</v>
          </cell>
          <cell r="BM634">
            <v>296.70329670329664</v>
          </cell>
          <cell r="BN634">
            <v>296.70329670329664</v>
          </cell>
          <cell r="BO634">
            <v>296.70329670329664</v>
          </cell>
          <cell r="BP634">
            <v>296.70329670329664</v>
          </cell>
          <cell r="BQ634">
            <v>296.70329670329664</v>
          </cell>
          <cell r="BR634">
            <v>296.70329670329664</v>
          </cell>
          <cell r="BS634">
            <v>59.340659340659329</v>
          </cell>
          <cell r="BT634">
            <v>59.340659340659329</v>
          </cell>
          <cell r="BU634">
            <v>59.340659340659329</v>
          </cell>
          <cell r="BV634">
            <v>59.340659340659329</v>
          </cell>
        </row>
        <row r="635">
          <cell r="A635" t="str">
            <v>CV</v>
          </cell>
          <cell r="B635" t="str">
            <v>Scania FL</v>
          </cell>
          <cell r="D635" t="str">
            <v>SHIFT B  - output</v>
          </cell>
          <cell r="Z635">
            <v>0</v>
          </cell>
          <cell r="AA635">
            <v>123.62637362637361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</row>
        <row r="636">
          <cell r="A636" t="str">
            <v>CV</v>
          </cell>
          <cell r="B636" t="str">
            <v>Scania FL</v>
          </cell>
          <cell r="D636" t="str">
            <v>SHIFT C  - output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</row>
        <row r="637">
          <cell r="A637" t="str">
            <v>CV</v>
          </cell>
          <cell r="B637" t="str">
            <v>Scania FL</v>
          </cell>
          <cell r="D637" t="str">
            <v>Est. Output (Pcs day)</v>
          </cell>
          <cell r="E637">
            <v>27.3</v>
          </cell>
          <cell r="Z637">
            <v>255</v>
          </cell>
          <cell r="AA637">
            <v>384.23076923076923</v>
          </cell>
          <cell r="AB637">
            <v>234.89010989010987</v>
          </cell>
          <cell r="AC637">
            <v>239.83516483516482</v>
          </cell>
          <cell r="AD637">
            <v>228.46153846153845</v>
          </cell>
          <cell r="AE637">
            <v>230.76923076923075</v>
          </cell>
          <cell r="AF637">
            <v>230.76923076923075</v>
          </cell>
          <cell r="AG637">
            <v>242.30769230769229</v>
          </cell>
          <cell r="AH637">
            <v>244.61538461538461</v>
          </cell>
          <cell r="AI637">
            <v>246.92307692307691</v>
          </cell>
          <cell r="AJ637">
            <v>249.23076923076923</v>
          </cell>
          <cell r="AK637">
            <v>253.84615384615384</v>
          </cell>
          <cell r="AL637">
            <v>253.84615384615384</v>
          </cell>
          <cell r="AM637">
            <v>253.84615384615384</v>
          </cell>
          <cell r="AN637">
            <v>253.84615384615384</v>
          </cell>
          <cell r="AO637">
            <v>253.84615384615384</v>
          </cell>
          <cell r="AP637">
            <v>253.84615384615384</v>
          </cell>
          <cell r="AQ637">
            <v>253.84615384615384</v>
          </cell>
          <cell r="AR637">
            <v>253.84615384615384</v>
          </cell>
          <cell r="AS637">
            <v>253.84615384615384</v>
          </cell>
          <cell r="AT637">
            <v>253.84615384615384</v>
          </cell>
          <cell r="AU637">
            <v>253.84615384615384</v>
          </cell>
          <cell r="AV637">
            <v>253.84615384615384</v>
          </cell>
          <cell r="AW637">
            <v>253.84615384615384</v>
          </cell>
          <cell r="AX637">
            <v>253.84615384615384</v>
          </cell>
          <cell r="AY637">
            <v>253.84615384615384</v>
          </cell>
          <cell r="AZ637">
            <v>253.84615384615384</v>
          </cell>
          <cell r="BA637">
            <v>253.84615384615384</v>
          </cell>
          <cell r="BB637">
            <v>253.84615384615384</v>
          </cell>
          <cell r="BC637">
            <v>253.84615384615384</v>
          </cell>
          <cell r="BD637">
            <v>253.84615384615384</v>
          </cell>
          <cell r="BE637">
            <v>253.84615384615384</v>
          </cell>
          <cell r="BF637">
            <v>253.84615384615384</v>
          </cell>
          <cell r="BG637">
            <v>253.84615384615384</v>
          </cell>
          <cell r="BH637">
            <v>253.84615384615384</v>
          </cell>
          <cell r="BI637">
            <v>253.84615384615384</v>
          </cell>
          <cell r="BJ637">
            <v>253.84615384615384</v>
          </cell>
          <cell r="BK637">
            <v>296.70329670329664</v>
          </cell>
          <cell r="BL637">
            <v>296.70329670329664</v>
          </cell>
          <cell r="BM637">
            <v>296.70329670329664</v>
          </cell>
          <cell r="BN637">
            <v>296.70329670329664</v>
          </cell>
          <cell r="BO637">
            <v>296.70329670329664</v>
          </cell>
          <cell r="BP637">
            <v>296.70329670329664</v>
          </cell>
          <cell r="BQ637">
            <v>296.70329670329664</v>
          </cell>
          <cell r="BR637">
            <v>296.70329670329664</v>
          </cell>
          <cell r="BS637">
            <v>59.340659340659329</v>
          </cell>
          <cell r="BT637">
            <v>59.340659340659329</v>
          </cell>
          <cell r="BU637">
            <v>59.340659340659329</v>
          </cell>
          <cell r="BV637">
            <v>59.340659340659329</v>
          </cell>
        </row>
        <row r="638">
          <cell r="A638" t="str">
            <v>CV</v>
          </cell>
          <cell r="B638" t="str">
            <v>Scania FL</v>
          </cell>
          <cell r="D638" t="str">
            <v>Weekly Output PLAN</v>
          </cell>
          <cell r="E638" t="str">
            <v>SEW</v>
          </cell>
          <cell r="Z638">
            <v>1275</v>
          </cell>
          <cell r="AA638">
            <v>1921.1538461538462</v>
          </cell>
          <cell r="AB638">
            <v>1174.4505494505493</v>
          </cell>
          <cell r="AC638">
            <v>1199.1758241758241</v>
          </cell>
          <cell r="AD638">
            <v>685.38461538461536</v>
          </cell>
          <cell r="AE638">
            <v>1153.8461538461538</v>
          </cell>
          <cell r="AF638">
            <v>1153.8461538461538</v>
          </cell>
          <cell r="AG638">
            <v>1211.5384615384614</v>
          </cell>
          <cell r="AH638">
            <v>1223.0769230769231</v>
          </cell>
          <cell r="AI638">
            <v>1234.6153846153845</v>
          </cell>
          <cell r="AJ638">
            <v>1246.1538461538462</v>
          </cell>
          <cell r="AK638">
            <v>1015.3846153846154</v>
          </cell>
          <cell r="AL638">
            <v>1015.3846153846154</v>
          </cell>
          <cell r="AM638">
            <v>1269.2307692307693</v>
          </cell>
          <cell r="AN638">
            <v>1015.3846153846154</v>
          </cell>
          <cell r="AO638">
            <v>1269.2307692307693</v>
          </cell>
          <cell r="AP638">
            <v>1269.2307692307693</v>
          </cell>
          <cell r="AQ638">
            <v>1269.2307692307693</v>
          </cell>
          <cell r="AR638">
            <v>1269.2307692307693</v>
          </cell>
          <cell r="AS638">
            <v>1269.2307692307693</v>
          </cell>
          <cell r="AT638">
            <v>1269.2307692307693</v>
          </cell>
          <cell r="AU638">
            <v>1269.2307692307693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1269.2307692307693</v>
          </cell>
          <cell r="BA638">
            <v>1269.2307692307693</v>
          </cell>
          <cell r="BB638">
            <v>0</v>
          </cell>
          <cell r="BC638">
            <v>1269.2307692307693</v>
          </cell>
          <cell r="BD638">
            <v>1269.2307692307693</v>
          </cell>
          <cell r="BE638">
            <v>1269.2307692307693</v>
          </cell>
          <cell r="BF638">
            <v>1269.2307692307693</v>
          </cell>
          <cell r="BG638">
            <v>1269.2307692307693</v>
          </cell>
          <cell r="BH638">
            <v>1269.2307692307693</v>
          </cell>
          <cell r="BI638">
            <v>1269.2307692307693</v>
          </cell>
          <cell r="BJ638">
            <v>1269.2307692307693</v>
          </cell>
          <cell r="BK638">
            <v>1483.5164835164833</v>
          </cell>
          <cell r="BL638">
            <v>4450.5494505494498</v>
          </cell>
          <cell r="BM638">
            <v>4450.5494505494498</v>
          </cell>
          <cell r="BN638">
            <v>4450.5494505494498</v>
          </cell>
          <cell r="BO638">
            <v>4450.5494505494498</v>
          </cell>
          <cell r="BP638">
            <v>4450.5494505494498</v>
          </cell>
          <cell r="BQ638">
            <v>4450.5494505494498</v>
          </cell>
          <cell r="BR638">
            <v>4450.5494505494498</v>
          </cell>
          <cell r="BS638">
            <v>178.02197802197799</v>
          </cell>
          <cell r="BT638">
            <v>178.02197802197799</v>
          </cell>
          <cell r="BU638">
            <v>178.02197802197799</v>
          </cell>
          <cell r="BV638">
            <v>178.02197802197799</v>
          </cell>
        </row>
        <row r="639">
          <cell r="A639" t="str">
            <v>CV</v>
          </cell>
          <cell r="B639" t="str">
            <v>Scania FL</v>
          </cell>
          <cell r="D639" t="str">
            <v>EXCLUSIVE CLASSIC</v>
          </cell>
          <cell r="E639">
            <v>28.4175</v>
          </cell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</row>
        <row r="640">
          <cell r="A640" t="str">
            <v>CV</v>
          </cell>
          <cell r="B640" t="str">
            <v>Scania FL</v>
          </cell>
          <cell r="D640" t="str">
            <v>EXCLUSIVE HALO</v>
          </cell>
          <cell r="E640">
            <v>26.1873</v>
          </cell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</row>
        <row r="641">
          <cell r="A641" t="str">
            <v>CV</v>
          </cell>
          <cell r="B641" t="str">
            <v>Scania FL</v>
          </cell>
          <cell r="D641" t="str">
            <v>EXCLUSIVE V8</v>
          </cell>
          <cell r="E641">
            <v>25.551000000000002</v>
          </cell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</row>
        <row r="642">
          <cell r="A642" t="str">
            <v>CV</v>
          </cell>
          <cell r="B642" t="str">
            <v>Scania FL</v>
          </cell>
          <cell r="D642" t="str">
            <v>SELECTED</v>
          </cell>
          <cell r="E642">
            <v>25.618500000000001</v>
          </cell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</row>
        <row r="643">
          <cell r="A643" t="str">
            <v>CV</v>
          </cell>
          <cell r="B643" t="str">
            <v>Scania FL</v>
          </cell>
          <cell r="D643" t="str">
            <v xml:space="preserve">Comfort </v>
          </cell>
          <cell r="E643">
            <v>24.389099999999999</v>
          </cell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</row>
        <row r="644">
          <cell r="A644" t="str">
            <v>CV</v>
          </cell>
          <cell r="B644" t="str">
            <v>Scania FL</v>
          </cell>
          <cell r="D644" t="str">
            <v>Weekly Output PLAN - SUM of models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</row>
        <row r="645">
          <cell r="A645" t="str">
            <v>CV</v>
          </cell>
          <cell r="B645" t="str">
            <v>Scania FL</v>
          </cell>
          <cell r="D645" t="str">
            <v>Weekly Output CHECK with TO time multiple</v>
          </cell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</row>
        <row r="646">
          <cell r="A646" t="str">
            <v>CV</v>
          </cell>
          <cell r="B646" t="str">
            <v>Scania FL</v>
          </cell>
          <cell r="D646" t="str">
            <v>Weekly Output ACT</v>
          </cell>
          <cell r="Z646">
            <v>1275</v>
          </cell>
          <cell r="AA646">
            <v>1921.1538461538462</v>
          </cell>
          <cell r="AB646">
            <v>1174.4505494505493</v>
          </cell>
          <cell r="AC646">
            <v>1199.1758241758241</v>
          </cell>
          <cell r="AD646">
            <v>685.38461538461536</v>
          </cell>
          <cell r="AE646">
            <v>1153.8461538461538</v>
          </cell>
          <cell r="AF646">
            <v>1153.8461538461538</v>
          </cell>
          <cell r="AG646">
            <v>1211.5384615384614</v>
          </cell>
          <cell r="AH646">
            <v>1223.0769230769231</v>
          </cell>
          <cell r="AI646">
            <v>1234.6153846153845</v>
          </cell>
          <cell r="AJ646">
            <v>1246.1538461538462</v>
          </cell>
          <cell r="AK646">
            <v>1015.3846153846154</v>
          </cell>
          <cell r="AL646">
            <v>1015.3846153846154</v>
          </cell>
          <cell r="AM646">
            <v>1269.2307692307693</v>
          </cell>
          <cell r="AN646">
            <v>1015.3846153846154</v>
          </cell>
          <cell r="AO646">
            <v>1269.2307692307693</v>
          </cell>
          <cell r="AP646">
            <v>1269.2307692307693</v>
          </cell>
          <cell r="AQ646">
            <v>1269.2307692307693</v>
          </cell>
          <cell r="AR646">
            <v>1269.2307692307693</v>
          </cell>
          <cell r="AS646">
            <v>1269.2307692307693</v>
          </cell>
          <cell r="AT646">
            <v>1269.2307692307693</v>
          </cell>
          <cell r="AU646">
            <v>1269.2307692307693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1269.2307692307693</v>
          </cell>
          <cell r="BA646">
            <v>1269.2307692307693</v>
          </cell>
          <cell r="BB646">
            <v>0</v>
          </cell>
          <cell r="BC646">
            <v>1269.2307692307693</v>
          </cell>
          <cell r="BD646">
            <v>1269.2307692307693</v>
          </cell>
          <cell r="BE646">
            <v>1269.2307692307693</v>
          </cell>
          <cell r="BF646">
            <v>1269.2307692307693</v>
          </cell>
          <cell r="BG646">
            <v>1269.2307692307693</v>
          </cell>
          <cell r="BH646">
            <v>1269.2307692307693</v>
          </cell>
          <cell r="BI646">
            <v>1269.2307692307693</v>
          </cell>
          <cell r="BJ646">
            <v>1269.2307692307693</v>
          </cell>
          <cell r="BK646">
            <v>1483.5164835164833</v>
          </cell>
          <cell r="BL646">
            <v>4450.5494505494498</v>
          </cell>
          <cell r="BM646">
            <v>4450.5494505494498</v>
          </cell>
          <cell r="BN646">
            <v>4450.5494505494498</v>
          </cell>
          <cell r="BO646">
            <v>4450.5494505494498</v>
          </cell>
          <cell r="BP646">
            <v>4450.5494505494498</v>
          </cell>
          <cell r="BQ646">
            <v>4450.5494505494498</v>
          </cell>
          <cell r="BR646">
            <v>4450.5494505494498</v>
          </cell>
          <cell r="BS646">
            <v>178.02197802197799</v>
          </cell>
          <cell r="BT646">
            <v>178.02197802197799</v>
          </cell>
          <cell r="BU646">
            <v>178.02197802197799</v>
          </cell>
          <cell r="BV646">
            <v>178.02197802197799</v>
          </cell>
        </row>
        <row r="647">
          <cell r="A647" t="str">
            <v>CV</v>
          </cell>
          <cell r="B647" t="str">
            <v>Scania FL</v>
          </cell>
          <cell r="D647" t="str">
            <v>EXCLUSIVE CLASSIC</v>
          </cell>
          <cell r="Z647">
            <v>450</v>
          </cell>
          <cell r="AA647">
            <v>60</v>
          </cell>
          <cell r="AB647">
            <v>420</v>
          </cell>
          <cell r="AC647">
            <v>360</v>
          </cell>
          <cell r="AD647">
            <v>450</v>
          </cell>
          <cell r="AE647">
            <v>330</v>
          </cell>
          <cell r="AF647">
            <v>420</v>
          </cell>
          <cell r="AG647">
            <v>390</v>
          </cell>
          <cell r="AH647">
            <v>300</v>
          </cell>
          <cell r="AI647">
            <v>420</v>
          </cell>
          <cell r="AJ647">
            <v>480</v>
          </cell>
          <cell r="AK647">
            <v>330</v>
          </cell>
          <cell r="AL647">
            <v>360</v>
          </cell>
          <cell r="AM647">
            <v>390</v>
          </cell>
          <cell r="AN647">
            <v>180</v>
          </cell>
          <cell r="AO647">
            <v>390</v>
          </cell>
          <cell r="AP647">
            <v>480</v>
          </cell>
          <cell r="AQ647">
            <v>600</v>
          </cell>
          <cell r="AR647">
            <v>300</v>
          </cell>
          <cell r="AS647">
            <v>180</v>
          </cell>
          <cell r="AT647">
            <v>180</v>
          </cell>
          <cell r="AU647">
            <v>360</v>
          </cell>
          <cell r="AV647">
            <v>360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450</v>
          </cell>
          <cell r="BB647">
            <v>510</v>
          </cell>
          <cell r="BC647">
            <v>390</v>
          </cell>
          <cell r="BD647">
            <v>390</v>
          </cell>
          <cell r="BE647">
            <v>480</v>
          </cell>
          <cell r="BF647">
            <v>420</v>
          </cell>
          <cell r="BG647">
            <v>510</v>
          </cell>
          <cell r="BH647">
            <v>0</v>
          </cell>
          <cell r="BI647">
            <v>450</v>
          </cell>
          <cell r="BJ647">
            <v>450</v>
          </cell>
          <cell r="BK647">
            <v>480</v>
          </cell>
          <cell r="BL647">
            <v>420</v>
          </cell>
          <cell r="BM647">
            <v>420</v>
          </cell>
          <cell r="BN647">
            <v>450</v>
          </cell>
          <cell r="BO647">
            <v>450</v>
          </cell>
          <cell r="BP647">
            <v>390</v>
          </cell>
          <cell r="BQ647">
            <v>420</v>
          </cell>
          <cell r="BR647">
            <v>360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</row>
        <row r="648">
          <cell r="A648" t="str">
            <v>CV</v>
          </cell>
          <cell r="B648" t="str">
            <v>Scania FL</v>
          </cell>
          <cell r="D648" t="str">
            <v>EXCLUSIVE HALO</v>
          </cell>
          <cell r="Z648">
            <v>6</v>
          </cell>
          <cell r="AA648">
            <v>0</v>
          </cell>
          <cell r="AB648">
            <v>36</v>
          </cell>
          <cell r="AC648">
            <v>12</v>
          </cell>
          <cell r="AD648">
            <v>18</v>
          </cell>
          <cell r="AE648">
            <v>24</v>
          </cell>
          <cell r="AF648">
            <v>18</v>
          </cell>
          <cell r="AG648">
            <v>30</v>
          </cell>
          <cell r="AH648">
            <v>30</v>
          </cell>
          <cell r="AI648">
            <v>30</v>
          </cell>
          <cell r="AJ648">
            <v>36</v>
          </cell>
          <cell r="AK648">
            <v>24</v>
          </cell>
          <cell r="AL648">
            <v>42</v>
          </cell>
          <cell r="AM648">
            <v>42</v>
          </cell>
          <cell r="AN648">
            <v>24</v>
          </cell>
          <cell r="AO648">
            <v>54</v>
          </cell>
          <cell r="AP648">
            <v>72</v>
          </cell>
          <cell r="AQ648">
            <v>96</v>
          </cell>
          <cell r="AR648">
            <v>48</v>
          </cell>
          <cell r="AS648">
            <v>42</v>
          </cell>
          <cell r="AT648">
            <v>18</v>
          </cell>
          <cell r="AU648">
            <v>48</v>
          </cell>
          <cell r="AV648">
            <v>54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84</v>
          </cell>
          <cell r="BB648">
            <v>90</v>
          </cell>
          <cell r="BC648">
            <v>72</v>
          </cell>
          <cell r="BD648">
            <v>72</v>
          </cell>
          <cell r="BE648">
            <v>90</v>
          </cell>
          <cell r="BF648">
            <v>72</v>
          </cell>
          <cell r="BG648">
            <v>84</v>
          </cell>
          <cell r="BH648">
            <v>0</v>
          </cell>
          <cell r="BI648">
            <v>84</v>
          </cell>
          <cell r="BJ648">
            <v>72</v>
          </cell>
          <cell r="BK648">
            <v>90</v>
          </cell>
          <cell r="BL648">
            <v>72</v>
          </cell>
          <cell r="BM648">
            <v>78</v>
          </cell>
          <cell r="BN648">
            <v>78</v>
          </cell>
          <cell r="BO648">
            <v>72</v>
          </cell>
          <cell r="BP648">
            <v>84</v>
          </cell>
          <cell r="BQ648">
            <v>72</v>
          </cell>
          <cell r="BR648">
            <v>66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</row>
        <row r="649">
          <cell r="A649" t="str">
            <v>CV</v>
          </cell>
          <cell r="B649" t="str">
            <v>Scania FL</v>
          </cell>
          <cell r="D649" t="str">
            <v>EXCLUSIVE V8</v>
          </cell>
          <cell r="Z649">
            <v>210</v>
          </cell>
          <cell r="AA649">
            <v>60</v>
          </cell>
          <cell r="AB649">
            <v>246</v>
          </cell>
          <cell r="AC649">
            <v>180</v>
          </cell>
          <cell r="AD649">
            <v>168</v>
          </cell>
          <cell r="AE649">
            <v>162</v>
          </cell>
          <cell r="AF649">
            <v>150</v>
          </cell>
          <cell r="AG649">
            <v>150</v>
          </cell>
          <cell r="AH649">
            <v>90</v>
          </cell>
          <cell r="AI649">
            <v>198</v>
          </cell>
          <cell r="AJ649">
            <v>150</v>
          </cell>
          <cell r="AK649">
            <v>120</v>
          </cell>
          <cell r="AL649">
            <v>162</v>
          </cell>
          <cell r="AM649">
            <v>150</v>
          </cell>
          <cell r="AN649">
            <v>90</v>
          </cell>
          <cell r="AO649">
            <v>168</v>
          </cell>
          <cell r="AP649">
            <v>198</v>
          </cell>
          <cell r="AQ649">
            <v>300</v>
          </cell>
          <cell r="AR649">
            <v>132</v>
          </cell>
          <cell r="AS649">
            <v>96</v>
          </cell>
          <cell r="AT649">
            <v>102</v>
          </cell>
          <cell r="AU649">
            <v>180</v>
          </cell>
          <cell r="AV649">
            <v>132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228</v>
          </cell>
          <cell r="BB649">
            <v>210</v>
          </cell>
          <cell r="BC649">
            <v>180</v>
          </cell>
          <cell r="BD649">
            <v>180</v>
          </cell>
          <cell r="BE649">
            <v>264</v>
          </cell>
          <cell r="BF649">
            <v>180</v>
          </cell>
          <cell r="BG649">
            <v>210</v>
          </cell>
          <cell r="BH649">
            <v>0</v>
          </cell>
          <cell r="BI649">
            <v>192</v>
          </cell>
          <cell r="BJ649">
            <v>198</v>
          </cell>
          <cell r="BK649">
            <v>240</v>
          </cell>
          <cell r="BL649">
            <v>168</v>
          </cell>
          <cell r="BM649">
            <v>192</v>
          </cell>
          <cell r="BN649">
            <v>180</v>
          </cell>
          <cell r="BO649">
            <v>180</v>
          </cell>
          <cell r="BP649">
            <v>222</v>
          </cell>
          <cell r="BQ649">
            <v>180</v>
          </cell>
          <cell r="BR649">
            <v>132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</row>
        <row r="650">
          <cell r="A650" t="str">
            <v>CV</v>
          </cell>
          <cell r="B650" t="str">
            <v>Scania FL</v>
          </cell>
          <cell r="D650" t="str">
            <v>SELECTED</v>
          </cell>
          <cell r="Z650">
            <v>120</v>
          </cell>
          <cell r="AA650">
            <v>120</v>
          </cell>
          <cell r="AB650">
            <v>280</v>
          </cell>
          <cell r="AC650">
            <v>280</v>
          </cell>
          <cell r="AD650">
            <v>280</v>
          </cell>
          <cell r="AE650">
            <v>344</v>
          </cell>
          <cell r="AF650">
            <v>320</v>
          </cell>
          <cell r="AG650">
            <v>320</v>
          </cell>
          <cell r="AH650">
            <v>258</v>
          </cell>
          <cell r="AI650">
            <v>320</v>
          </cell>
          <cell r="AJ650">
            <v>400</v>
          </cell>
          <cell r="AK650">
            <v>378</v>
          </cell>
          <cell r="AL650">
            <v>360</v>
          </cell>
          <cell r="AM650">
            <v>360</v>
          </cell>
          <cell r="AN650">
            <v>218</v>
          </cell>
          <cell r="AO650">
            <v>480</v>
          </cell>
          <cell r="AP650">
            <v>600</v>
          </cell>
          <cell r="AQ650">
            <v>900</v>
          </cell>
          <cell r="AR650">
            <v>360</v>
          </cell>
          <cell r="AS650">
            <v>240</v>
          </cell>
          <cell r="AT650">
            <v>258</v>
          </cell>
          <cell r="AU650">
            <v>560</v>
          </cell>
          <cell r="AV650">
            <v>480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600</v>
          </cell>
          <cell r="BB650">
            <v>688</v>
          </cell>
          <cell r="BC650">
            <v>480</v>
          </cell>
          <cell r="BD650">
            <v>520</v>
          </cell>
          <cell r="BE650">
            <v>680</v>
          </cell>
          <cell r="BF650">
            <v>562</v>
          </cell>
          <cell r="BG650">
            <v>642</v>
          </cell>
          <cell r="BH650">
            <v>0</v>
          </cell>
          <cell r="BI650">
            <v>560</v>
          </cell>
          <cell r="BJ650">
            <v>520</v>
          </cell>
          <cell r="BK650">
            <v>688</v>
          </cell>
          <cell r="BL650">
            <v>520</v>
          </cell>
          <cell r="BM650">
            <v>556</v>
          </cell>
          <cell r="BN650">
            <v>562</v>
          </cell>
          <cell r="BO650">
            <v>520</v>
          </cell>
          <cell r="BP650">
            <v>602</v>
          </cell>
          <cell r="BQ650">
            <v>520</v>
          </cell>
          <cell r="BR650">
            <v>440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</row>
        <row r="651">
          <cell r="A651" t="str">
            <v>CV</v>
          </cell>
          <cell r="B651" t="str">
            <v>Scania FL</v>
          </cell>
          <cell r="D651" t="str">
            <v xml:space="preserve">Comfort </v>
          </cell>
          <cell r="Z651">
            <v>360</v>
          </cell>
          <cell r="AA651">
            <v>80</v>
          </cell>
          <cell r="AB651">
            <v>320</v>
          </cell>
          <cell r="AC651">
            <v>212</v>
          </cell>
          <cell r="AD651">
            <v>270</v>
          </cell>
          <cell r="AE651">
            <v>280</v>
          </cell>
          <cell r="AF651">
            <v>280</v>
          </cell>
          <cell r="AG651">
            <v>304</v>
          </cell>
          <cell r="AH651">
            <v>200</v>
          </cell>
          <cell r="AI651">
            <v>200</v>
          </cell>
          <cell r="AJ651">
            <v>172</v>
          </cell>
          <cell r="AK651">
            <v>132</v>
          </cell>
          <cell r="AL651">
            <v>132</v>
          </cell>
          <cell r="AM651">
            <v>160</v>
          </cell>
          <cell r="AN651">
            <v>86</v>
          </cell>
          <cell r="AO651">
            <v>132</v>
          </cell>
          <cell r="AP651">
            <v>138</v>
          </cell>
          <cell r="AQ651">
            <v>200</v>
          </cell>
          <cell r="AR651">
            <v>92</v>
          </cell>
          <cell r="AS651">
            <v>40</v>
          </cell>
          <cell r="AT651">
            <v>80</v>
          </cell>
          <cell r="AU651">
            <v>178</v>
          </cell>
          <cell r="AV651">
            <v>132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132</v>
          </cell>
          <cell r="BB651">
            <v>132</v>
          </cell>
          <cell r="BC651">
            <v>120</v>
          </cell>
          <cell r="BD651">
            <v>120</v>
          </cell>
          <cell r="BE651">
            <v>172</v>
          </cell>
          <cell r="BF651">
            <v>120</v>
          </cell>
          <cell r="BG651">
            <v>132</v>
          </cell>
          <cell r="BH651">
            <v>0</v>
          </cell>
          <cell r="BI651">
            <v>120</v>
          </cell>
          <cell r="BJ651">
            <v>132</v>
          </cell>
          <cell r="BK651">
            <v>160</v>
          </cell>
          <cell r="BL651">
            <v>126</v>
          </cell>
          <cell r="BM651">
            <v>120</v>
          </cell>
          <cell r="BN651">
            <v>92</v>
          </cell>
          <cell r="BO651">
            <v>120</v>
          </cell>
          <cell r="BP651">
            <v>132</v>
          </cell>
          <cell r="BQ651">
            <v>120</v>
          </cell>
          <cell r="BR651">
            <v>86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</row>
        <row r="652">
          <cell r="A652" t="str">
            <v>CV</v>
          </cell>
          <cell r="B652" t="str">
            <v>Scania FL</v>
          </cell>
          <cell r="D652" t="str">
            <v>Weekly demand</v>
          </cell>
          <cell r="Z652">
            <v>1146</v>
          </cell>
          <cell r="AA652">
            <v>320</v>
          </cell>
          <cell r="AB652">
            <v>1302</v>
          </cell>
          <cell r="AC652">
            <v>1044</v>
          </cell>
          <cell r="AD652">
            <v>1186</v>
          </cell>
          <cell r="AE652">
            <v>1140</v>
          </cell>
          <cell r="AF652">
            <v>1188</v>
          </cell>
          <cell r="AG652">
            <v>1194</v>
          </cell>
          <cell r="AH652">
            <v>878</v>
          </cell>
          <cell r="AI652">
            <v>1168</v>
          </cell>
          <cell r="AJ652">
            <v>1238</v>
          </cell>
          <cell r="AK652">
            <v>984</v>
          </cell>
          <cell r="AL652">
            <v>1056</v>
          </cell>
          <cell r="AM652">
            <v>1102</v>
          </cell>
          <cell r="AN652">
            <v>598</v>
          </cell>
          <cell r="AO652">
            <v>1224</v>
          </cell>
          <cell r="AP652">
            <v>1488</v>
          </cell>
          <cell r="AQ652">
            <v>2096</v>
          </cell>
          <cell r="AR652">
            <v>932</v>
          </cell>
          <cell r="AS652">
            <v>598</v>
          </cell>
          <cell r="AT652">
            <v>638</v>
          </cell>
          <cell r="AU652">
            <v>1326</v>
          </cell>
          <cell r="AV652">
            <v>1158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1494</v>
          </cell>
          <cell r="BB652">
            <v>1630</v>
          </cell>
          <cell r="BC652">
            <v>1242</v>
          </cell>
          <cell r="BD652">
            <v>1282</v>
          </cell>
          <cell r="BE652">
            <v>1686</v>
          </cell>
          <cell r="BF652">
            <v>1354</v>
          </cell>
          <cell r="BG652">
            <v>1578</v>
          </cell>
          <cell r="BH652">
            <v>0</v>
          </cell>
          <cell r="BI652">
            <v>1406</v>
          </cell>
          <cell r="BJ652">
            <v>1372</v>
          </cell>
          <cell r="BK652">
            <v>1658</v>
          </cell>
          <cell r="BL652">
            <v>37810</v>
          </cell>
          <cell r="BM652">
            <v>1366</v>
          </cell>
          <cell r="BN652">
            <v>1362</v>
          </cell>
          <cell r="BO652">
            <v>1342</v>
          </cell>
          <cell r="BP652">
            <v>1430</v>
          </cell>
          <cell r="BQ652">
            <v>1312</v>
          </cell>
          <cell r="BR652">
            <v>1084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</row>
        <row r="653">
          <cell r="A653" t="str">
            <v>CV</v>
          </cell>
          <cell r="B653" t="str">
            <v>Scania FL</v>
          </cell>
          <cell r="D653" t="str">
            <v>Stock Target</v>
          </cell>
          <cell r="Z653">
            <v>800</v>
          </cell>
          <cell r="AA653">
            <v>800</v>
          </cell>
          <cell r="AB653">
            <v>800</v>
          </cell>
          <cell r="AC653">
            <v>800</v>
          </cell>
          <cell r="AD653">
            <v>800</v>
          </cell>
          <cell r="AE653">
            <v>800</v>
          </cell>
          <cell r="AF653">
            <v>800</v>
          </cell>
          <cell r="AG653">
            <v>800</v>
          </cell>
          <cell r="AH653">
            <v>800</v>
          </cell>
          <cell r="AI653">
            <v>800</v>
          </cell>
          <cell r="AJ653">
            <v>2528</v>
          </cell>
          <cell r="AK653">
            <v>2529</v>
          </cell>
          <cell r="AL653">
            <v>2530</v>
          </cell>
          <cell r="AM653">
            <v>2531</v>
          </cell>
          <cell r="AN653">
            <v>2532</v>
          </cell>
          <cell r="AO653">
            <v>2533</v>
          </cell>
          <cell r="AP653">
            <v>2534</v>
          </cell>
          <cell r="AQ653">
            <v>2535</v>
          </cell>
          <cell r="AR653">
            <v>2536</v>
          </cell>
          <cell r="AS653">
            <v>2537</v>
          </cell>
          <cell r="AT653">
            <v>2538</v>
          </cell>
          <cell r="AU653">
            <v>2539</v>
          </cell>
          <cell r="AV653">
            <v>2540</v>
          </cell>
          <cell r="AW653">
            <v>2541</v>
          </cell>
          <cell r="AX653">
            <v>2542</v>
          </cell>
          <cell r="AY653">
            <v>2543</v>
          </cell>
          <cell r="AZ653">
            <v>2544</v>
          </cell>
          <cell r="BA653">
            <v>2545</v>
          </cell>
          <cell r="BB653">
            <v>2546</v>
          </cell>
          <cell r="BC653">
            <v>2547</v>
          </cell>
          <cell r="BD653">
            <v>2548</v>
          </cell>
          <cell r="BE653">
            <v>2549</v>
          </cell>
          <cell r="BF653">
            <v>2550</v>
          </cell>
          <cell r="BG653">
            <v>2551</v>
          </cell>
          <cell r="BH653">
            <v>2552</v>
          </cell>
          <cell r="BI653">
            <v>2553</v>
          </cell>
          <cell r="BJ653">
            <v>2554</v>
          </cell>
          <cell r="BK653">
            <v>2555</v>
          </cell>
          <cell r="BL653">
            <v>2556</v>
          </cell>
          <cell r="BM653">
            <v>2557</v>
          </cell>
          <cell r="BN653">
            <v>2558</v>
          </cell>
          <cell r="BO653">
            <v>2559</v>
          </cell>
          <cell r="BP653">
            <v>2560</v>
          </cell>
          <cell r="BQ653">
            <v>2561</v>
          </cell>
          <cell r="BR653">
            <v>2562</v>
          </cell>
          <cell r="BS653">
            <v>2563</v>
          </cell>
          <cell r="BT653">
            <v>2564</v>
          </cell>
          <cell r="BU653">
            <v>2565</v>
          </cell>
          <cell r="BV653">
            <v>2566</v>
          </cell>
        </row>
        <row r="654">
          <cell r="A654" t="str">
            <v>CV</v>
          </cell>
          <cell r="B654" t="str">
            <v>Scania FL</v>
          </cell>
          <cell r="D654" t="str">
            <v>EXCLUSIVE CLASSIC</v>
          </cell>
          <cell r="Z654">
            <v>300</v>
          </cell>
          <cell r="AA654">
            <v>240</v>
          </cell>
          <cell r="AB654">
            <v>-180</v>
          </cell>
          <cell r="AC654">
            <v>-540</v>
          </cell>
          <cell r="AD654">
            <v>-990</v>
          </cell>
          <cell r="AE654">
            <v>-1320</v>
          </cell>
          <cell r="AF654">
            <v>-1740</v>
          </cell>
          <cell r="AG654">
            <v>-2130</v>
          </cell>
          <cell r="AH654">
            <v>-2430</v>
          </cell>
          <cell r="AI654">
            <v>-2850</v>
          </cell>
          <cell r="AJ654">
            <v>-3330</v>
          </cell>
          <cell r="AK654">
            <v>-3660</v>
          </cell>
          <cell r="AL654">
            <v>-4020</v>
          </cell>
          <cell r="AM654">
            <v>-4410</v>
          </cell>
          <cell r="AN654">
            <v>-4590</v>
          </cell>
          <cell r="AO654">
            <v>-4980</v>
          </cell>
          <cell r="AP654">
            <v>-5460</v>
          </cell>
          <cell r="AQ654">
            <v>-6060</v>
          </cell>
          <cell r="AR654">
            <v>-6360</v>
          </cell>
          <cell r="AS654">
            <v>-6540</v>
          </cell>
          <cell r="AT654">
            <v>-6720</v>
          </cell>
          <cell r="AU654">
            <v>-7080</v>
          </cell>
          <cell r="AV654">
            <v>-7440</v>
          </cell>
          <cell r="AW654">
            <v>-7440</v>
          </cell>
          <cell r="AX654">
            <v>-7440</v>
          </cell>
          <cell r="AY654">
            <v>-7440</v>
          </cell>
          <cell r="AZ654">
            <v>-7440</v>
          </cell>
          <cell r="BA654">
            <v>-7890</v>
          </cell>
          <cell r="BB654">
            <v>-8400</v>
          </cell>
          <cell r="BC654">
            <v>-8790</v>
          </cell>
          <cell r="BD654">
            <v>-9180</v>
          </cell>
          <cell r="BE654">
            <v>-9660</v>
          </cell>
          <cell r="BF654">
            <v>-10080</v>
          </cell>
          <cell r="BG654">
            <v>-10590</v>
          </cell>
          <cell r="BH654">
            <v>-10590</v>
          </cell>
          <cell r="BI654">
            <v>-11040</v>
          </cell>
          <cell r="BJ654">
            <v>-11490</v>
          </cell>
          <cell r="BK654">
            <v>-11970</v>
          </cell>
          <cell r="BL654">
            <v>-12390</v>
          </cell>
          <cell r="BM654">
            <v>-12810</v>
          </cell>
          <cell r="BN654">
            <v>-13260</v>
          </cell>
          <cell r="BO654">
            <v>-13710</v>
          </cell>
          <cell r="BP654">
            <v>-14100</v>
          </cell>
          <cell r="BQ654">
            <v>-14520</v>
          </cell>
          <cell r="BR654">
            <v>-14880</v>
          </cell>
          <cell r="BS654">
            <v>-14880</v>
          </cell>
          <cell r="BT654">
            <v>-14880</v>
          </cell>
          <cell r="BU654">
            <v>-14880</v>
          </cell>
          <cell r="BV654">
            <v>-14880</v>
          </cell>
        </row>
        <row r="655">
          <cell r="A655" t="str">
            <v>CV</v>
          </cell>
          <cell r="B655" t="str">
            <v>Scania FL</v>
          </cell>
          <cell r="D655" t="str">
            <v>EXCLUSIVE HALO</v>
          </cell>
          <cell r="Z655">
            <v>0</v>
          </cell>
          <cell r="AA655">
            <v>0</v>
          </cell>
          <cell r="AB655">
            <v>-36</v>
          </cell>
          <cell r="AC655">
            <v>-48</v>
          </cell>
          <cell r="AD655">
            <v>-66</v>
          </cell>
          <cell r="AE655">
            <v>-90</v>
          </cell>
          <cell r="AF655">
            <v>-108</v>
          </cell>
          <cell r="AG655">
            <v>-138</v>
          </cell>
          <cell r="AH655">
            <v>-168</v>
          </cell>
          <cell r="AI655">
            <v>-198</v>
          </cell>
          <cell r="AJ655">
            <v>-234</v>
          </cell>
          <cell r="AK655">
            <v>-258</v>
          </cell>
          <cell r="AL655">
            <v>-300</v>
          </cell>
          <cell r="AM655">
            <v>-342</v>
          </cell>
          <cell r="AN655">
            <v>-366</v>
          </cell>
          <cell r="AO655">
            <v>-420</v>
          </cell>
          <cell r="AP655">
            <v>-492</v>
          </cell>
          <cell r="AQ655">
            <v>-588</v>
          </cell>
          <cell r="AR655">
            <v>-636</v>
          </cell>
          <cell r="AS655">
            <v>-678</v>
          </cell>
          <cell r="AT655">
            <v>-696</v>
          </cell>
          <cell r="AU655">
            <v>-744</v>
          </cell>
          <cell r="AV655">
            <v>-798</v>
          </cell>
          <cell r="AW655">
            <v>-798</v>
          </cell>
          <cell r="AX655">
            <v>-798</v>
          </cell>
          <cell r="AY655">
            <v>-798</v>
          </cell>
          <cell r="AZ655">
            <v>-798</v>
          </cell>
          <cell r="BA655">
            <v>-882</v>
          </cell>
          <cell r="BB655">
            <v>-972</v>
          </cell>
          <cell r="BC655">
            <v>-1044</v>
          </cell>
          <cell r="BD655">
            <v>-1116</v>
          </cell>
          <cell r="BE655">
            <v>-1206</v>
          </cell>
          <cell r="BF655">
            <v>-1278</v>
          </cell>
          <cell r="BG655">
            <v>-1362</v>
          </cell>
          <cell r="BH655">
            <v>-1362</v>
          </cell>
          <cell r="BI655">
            <v>-1446</v>
          </cell>
          <cell r="BJ655">
            <v>-1518</v>
          </cell>
          <cell r="BK655">
            <v>-1608</v>
          </cell>
          <cell r="BL655">
            <v>-1680</v>
          </cell>
          <cell r="BM655">
            <v>-1758</v>
          </cell>
          <cell r="BN655">
            <v>-1836</v>
          </cell>
          <cell r="BO655">
            <v>-1908</v>
          </cell>
          <cell r="BP655">
            <v>-1992</v>
          </cell>
          <cell r="BQ655">
            <v>-2064</v>
          </cell>
          <cell r="BR655">
            <v>-2130</v>
          </cell>
          <cell r="BS655">
            <v>-2130</v>
          </cell>
          <cell r="BT655">
            <v>-2130</v>
          </cell>
          <cell r="BU655">
            <v>-2130</v>
          </cell>
          <cell r="BV655">
            <v>-2130</v>
          </cell>
        </row>
        <row r="656">
          <cell r="A656" t="str">
            <v>CV</v>
          </cell>
          <cell r="B656" t="str">
            <v>Scania FL</v>
          </cell>
          <cell r="D656" t="str">
            <v>EXCLUSIVE V8</v>
          </cell>
          <cell r="Z656">
            <v>30</v>
          </cell>
          <cell r="AA656">
            <v>-30</v>
          </cell>
          <cell r="AB656">
            <v>-276</v>
          </cell>
          <cell r="AC656">
            <v>-456</v>
          </cell>
          <cell r="AD656">
            <v>-624</v>
          </cell>
          <cell r="AE656">
            <v>-786</v>
          </cell>
          <cell r="AF656">
            <v>-936</v>
          </cell>
          <cell r="AG656">
            <v>-1086</v>
          </cell>
          <cell r="AH656">
            <v>-1176</v>
          </cell>
          <cell r="AI656">
            <v>-1374</v>
          </cell>
          <cell r="AJ656">
            <v>-1524</v>
          </cell>
          <cell r="AK656">
            <v>-1644</v>
          </cell>
          <cell r="AL656">
            <v>-1806</v>
          </cell>
          <cell r="AM656">
            <v>-1956</v>
          </cell>
          <cell r="AN656">
            <v>-2046</v>
          </cell>
          <cell r="AO656">
            <v>-2214</v>
          </cell>
          <cell r="AP656">
            <v>-2412</v>
          </cell>
          <cell r="AQ656">
            <v>-2712</v>
          </cell>
          <cell r="AR656">
            <v>-2844</v>
          </cell>
          <cell r="AS656">
            <v>-2940</v>
          </cell>
          <cell r="AT656">
            <v>-3042</v>
          </cell>
          <cell r="AU656">
            <v>-3222</v>
          </cell>
          <cell r="AV656">
            <v>-3354</v>
          </cell>
          <cell r="AW656">
            <v>-3354</v>
          </cell>
          <cell r="AX656">
            <v>-3354</v>
          </cell>
          <cell r="AY656">
            <v>-3354</v>
          </cell>
          <cell r="AZ656">
            <v>-3354</v>
          </cell>
          <cell r="BA656">
            <v>-3582</v>
          </cell>
          <cell r="BB656">
            <v>-3792</v>
          </cell>
          <cell r="BC656">
            <v>-3972</v>
          </cell>
          <cell r="BD656">
            <v>-4152</v>
          </cell>
          <cell r="BE656">
            <v>-4416</v>
          </cell>
          <cell r="BF656">
            <v>-4596</v>
          </cell>
          <cell r="BG656">
            <v>-4806</v>
          </cell>
          <cell r="BH656">
            <v>-4806</v>
          </cell>
          <cell r="BI656">
            <v>-4998</v>
          </cell>
          <cell r="BJ656">
            <v>-5196</v>
          </cell>
          <cell r="BK656">
            <v>-5436</v>
          </cell>
          <cell r="BL656">
            <v>-5604</v>
          </cell>
          <cell r="BM656">
            <v>-5796</v>
          </cell>
          <cell r="BN656">
            <v>-5976</v>
          </cell>
          <cell r="BO656">
            <v>-6156</v>
          </cell>
          <cell r="BP656">
            <v>-6378</v>
          </cell>
          <cell r="BQ656">
            <v>-6558</v>
          </cell>
          <cell r="BR656">
            <v>-6690</v>
          </cell>
          <cell r="BS656">
            <v>-6690</v>
          </cell>
          <cell r="BT656">
            <v>-6690</v>
          </cell>
          <cell r="BU656">
            <v>-6690</v>
          </cell>
          <cell r="BV656">
            <v>-6690</v>
          </cell>
        </row>
        <row r="657">
          <cell r="A657" t="str">
            <v>CV</v>
          </cell>
          <cell r="B657" t="str">
            <v>Scania FL</v>
          </cell>
          <cell r="D657" t="str">
            <v>SELECTED</v>
          </cell>
          <cell r="Z657">
            <v>0</v>
          </cell>
          <cell r="AA657">
            <v>-120</v>
          </cell>
          <cell r="AB657">
            <v>-400</v>
          </cell>
          <cell r="AC657">
            <v>-680</v>
          </cell>
          <cell r="AD657">
            <v>-960</v>
          </cell>
          <cell r="AE657">
            <v>-1304</v>
          </cell>
          <cell r="AF657">
            <v>-1624</v>
          </cell>
          <cell r="AG657">
            <v>-1944</v>
          </cell>
          <cell r="AH657">
            <v>-2202</v>
          </cell>
          <cell r="AI657">
            <v>-2522</v>
          </cell>
          <cell r="AJ657">
            <v>-2922</v>
          </cell>
          <cell r="AK657">
            <v>-3300</v>
          </cell>
          <cell r="AL657">
            <v>-3660</v>
          </cell>
          <cell r="AM657">
            <v>-4020</v>
          </cell>
          <cell r="AN657">
            <v>-4238</v>
          </cell>
          <cell r="AO657">
            <v>-4718</v>
          </cell>
          <cell r="AP657">
            <v>-5318</v>
          </cell>
          <cell r="AQ657">
            <v>-6218</v>
          </cell>
          <cell r="AR657">
            <v>-6578</v>
          </cell>
          <cell r="AS657">
            <v>-6818</v>
          </cell>
          <cell r="AT657">
            <v>-7076</v>
          </cell>
          <cell r="AU657">
            <v>-7636</v>
          </cell>
          <cell r="AV657">
            <v>-8116</v>
          </cell>
          <cell r="AW657">
            <v>-8116</v>
          </cell>
          <cell r="AX657">
            <v>-8116</v>
          </cell>
          <cell r="AY657">
            <v>-8116</v>
          </cell>
          <cell r="AZ657">
            <v>-8116</v>
          </cell>
          <cell r="BA657">
            <v>-8716</v>
          </cell>
          <cell r="BB657">
            <v>-9404</v>
          </cell>
          <cell r="BC657">
            <v>-9884</v>
          </cell>
          <cell r="BD657">
            <v>-10404</v>
          </cell>
          <cell r="BE657">
            <v>-11084</v>
          </cell>
          <cell r="BF657">
            <v>-11646</v>
          </cell>
          <cell r="BG657">
            <v>-12288</v>
          </cell>
          <cell r="BH657">
            <v>-12288</v>
          </cell>
          <cell r="BI657">
            <v>-12848</v>
          </cell>
          <cell r="BJ657">
            <v>-13368</v>
          </cell>
          <cell r="BK657">
            <v>-14056</v>
          </cell>
          <cell r="BL657">
            <v>-14576</v>
          </cell>
          <cell r="BM657">
            <v>-15132</v>
          </cell>
          <cell r="BN657">
            <v>-15694</v>
          </cell>
          <cell r="BO657">
            <v>-16214</v>
          </cell>
          <cell r="BP657">
            <v>-16816</v>
          </cell>
          <cell r="BQ657">
            <v>-17336</v>
          </cell>
          <cell r="BR657">
            <v>-17776</v>
          </cell>
          <cell r="BS657">
            <v>-17776</v>
          </cell>
          <cell r="BT657">
            <v>-17776</v>
          </cell>
          <cell r="BU657">
            <v>-17776</v>
          </cell>
          <cell r="BV657">
            <v>-17776</v>
          </cell>
        </row>
        <row r="658">
          <cell r="A658" t="str">
            <v>CV</v>
          </cell>
          <cell r="B658" t="str">
            <v>Scania FL</v>
          </cell>
          <cell r="D658" t="str">
            <v xml:space="preserve">Comfort </v>
          </cell>
          <cell r="Z658">
            <v>40</v>
          </cell>
          <cell r="AA658">
            <v>-40</v>
          </cell>
          <cell r="AB658">
            <v>-360</v>
          </cell>
          <cell r="AC658">
            <v>-572</v>
          </cell>
          <cell r="AD658">
            <v>-842</v>
          </cell>
          <cell r="AE658">
            <v>-1122</v>
          </cell>
          <cell r="AF658">
            <v>-1402</v>
          </cell>
          <cell r="AG658">
            <v>-1706</v>
          </cell>
          <cell r="AH658">
            <v>-1906</v>
          </cell>
          <cell r="AI658">
            <v>-2106</v>
          </cell>
          <cell r="AJ658">
            <v>-2278</v>
          </cell>
          <cell r="AK658">
            <v>-2410</v>
          </cell>
          <cell r="AL658">
            <v>-2542</v>
          </cell>
          <cell r="AM658">
            <v>-2702</v>
          </cell>
          <cell r="AN658">
            <v>-2788</v>
          </cell>
          <cell r="AO658">
            <v>-2920</v>
          </cell>
          <cell r="AP658">
            <v>-3058</v>
          </cell>
          <cell r="AQ658">
            <v>-3258</v>
          </cell>
          <cell r="AR658">
            <v>-3350</v>
          </cell>
          <cell r="AS658">
            <v>-3390</v>
          </cell>
          <cell r="AT658">
            <v>-3470</v>
          </cell>
          <cell r="AU658">
            <v>-3648</v>
          </cell>
          <cell r="AV658">
            <v>-3780</v>
          </cell>
          <cell r="AW658">
            <v>-3780</v>
          </cell>
          <cell r="AX658">
            <v>-3780</v>
          </cell>
          <cell r="AY658">
            <v>-3780</v>
          </cell>
          <cell r="AZ658">
            <v>-3780</v>
          </cell>
          <cell r="BA658">
            <v>-3912</v>
          </cell>
          <cell r="BB658">
            <v>-4044</v>
          </cell>
          <cell r="BC658">
            <v>-4164</v>
          </cell>
          <cell r="BD658">
            <v>-4284</v>
          </cell>
          <cell r="BE658">
            <v>-4456</v>
          </cell>
          <cell r="BF658">
            <v>-4576</v>
          </cell>
          <cell r="BG658">
            <v>-4708</v>
          </cell>
          <cell r="BH658">
            <v>-4708</v>
          </cell>
          <cell r="BI658">
            <v>-4828</v>
          </cell>
          <cell r="BJ658">
            <v>-4960</v>
          </cell>
          <cell r="BK658">
            <v>-5120</v>
          </cell>
          <cell r="BL658">
            <v>-5246</v>
          </cell>
          <cell r="BM658">
            <v>-5366</v>
          </cell>
          <cell r="BN658">
            <v>-5458</v>
          </cell>
          <cell r="BO658">
            <v>-5578</v>
          </cell>
          <cell r="BP658">
            <v>-5710</v>
          </cell>
          <cell r="BQ658">
            <v>-5830</v>
          </cell>
          <cell r="BR658">
            <v>-5916</v>
          </cell>
          <cell r="BS658">
            <v>-5916</v>
          </cell>
          <cell r="BT658">
            <v>-5916</v>
          </cell>
          <cell r="BU658">
            <v>-5916</v>
          </cell>
          <cell r="BV658">
            <v>-5916</v>
          </cell>
        </row>
        <row r="659">
          <cell r="A659" t="str">
            <v>CV</v>
          </cell>
          <cell r="B659" t="str">
            <v>Scania FL</v>
          </cell>
          <cell r="D659" t="str">
            <v>STOCK</v>
          </cell>
          <cell r="Z659">
            <v>370</v>
          </cell>
          <cell r="AA659">
            <v>1971.1538461538462</v>
          </cell>
          <cell r="AB659">
            <v>1843.6043956043954</v>
          </cell>
          <cell r="AC659">
            <v>1998.7802197802196</v>
          </cell>
          <cell r="AD659">
            <v>1498.164835164835</v>
          </cell>
          <cell r="AE659">
            <v>1512.0109890109889</v>
          </cell>
          <cell r="AF659">
            <v>1477.8571428571427</v>
          </cell>
          <cell r="AG659">
            <v>1495.3956043956041</v>
          </cell>
          <cell r="AH659">
            <v>1840.4725274725272</v>
          </cell>
          <cell r="AI659">
            <v>1907.0879120879117</v>
          </cell>
          <cell r="AJ659">
            <v>1915.2417582417579</v>
          </cell>
          <cell r="AK659">
            <v>1946.6263736263732</v>
          </cell>
          <cell r="AL659">
            <v>1906.0109890109884</v>
          </cell>
          <cell r="AM659">
            <v>2073.2417582417575</v>
          </cell>
          <cell r="AN659">
            <v>2490.6263736263727</v>
          </cell>
          <cell r="AO659">
            <v>2535.8571428571422</v>
          </cell>
          <cell r="AP659">
            <v>2317.0879120879117</v>
          </cell>
          <cell r="AQ659">
            <v>1490.318681318681</v>
          </cell>
          <cell r="AR659">
            <v>1827.5494505494503</v>
          </cell>
          <cell r="AS659">
            <v>2498.7802197802193</v>
          </cell>
          <cell r="AT659">
            <v>3130.0109890109889</v>
          </cell>
          <cell r="AU659">
            <v>3073.2417582417584</v>
          </cell>
          <cell r="AV659">
            <v>1915.2417582417584</v>
          </cell>
          <cell r="AW659">
            <v>1915.2417582417584</v>
          </cell>
          <cell r="AX659">
            <v>1915.2417582417584</v>
          </cell>
          <cell r="AY659">
            <v>1915.2417582417584</v>
          </cell>
          <cell r="AZ659">
            <v>3184.4725274725279</v>
          </cell>
          <cell r="BA659">
            <v>2959.7032967032974</v>
          </cell>
          <cell r="BB659">
            <v>1329.7032967032974</v>
          </cell>
          <cell r="BC659">
            <v>1356.9340659340667</v>
          </cell>
          <cell r="BD659">
            <v>1344.1648351648359</v>
          </cell>
          <cell r="BE659">
            <v>927.39560439560523</v>
          </cell>
          <cell r="BF659">
            <v>842.62637362637452</v>
          </cell>
          <cell r="BG659">
            <v>533.8571428571438</v>
          </cell>
          <cell r="BH659">
            <v>1803.0879120879131</v>
          </cell>
          <cell r="BI659">
            <v>1666.3186813186824</v>
          </cell>
          <cell r="BJ659">
            <v>1563.5494505494516</v>
          </cell>
          <cell r="BK659">
            <v>1389.0659340659349</v>
          </cell>
          <cell r="BL659">
            <v>-31970.384615384617</v>
          </cell>
          <cell r="BM659">
            <v>-28885.835164835167</v>
          </cell>
          <cell r="BN659">
            <v>-25797.285714285717</v>
          </cell>
          <cell r="BO659">
            <v>-22688.736263736268</v>
          </cell>
          <cell r="BP659">
            <v>-19668.186813186818</v>
          </cell>
          <cell r="BQ659">
            <v>-16529.637362637368</v>
          </cell>
          <cell r="BR659">
            <v>-13163.087912087918</v>
          </cell>
          <cell r="BS659">
            <v>-12985.06593406594</v>
          </cell>
          <cell r="BT659">
            <v>-12807.043956043963</v>
          </cell>
          <cell r="BU659">
            <v>-12629.021978021985</v>
          </cell>
          <cell r="BV659">
            <v>-12451.000000000007</v>
          </cell>
        </row>
        <row r="660">
          <cell r="A660" t="str">
            <v>Blank</v>
          </cell>
          <cell r="B660" t="str">
            <v>Blank</v>
          </cell>
          <cell r="D660" t="str">
            <v>Blank</v>
          </cell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</row>
        <row r="661">
          <cell r="A661" t="str">
            <v>CV</v>
          </cell>
          <cell r="B661" t="str">
            <v>Renault</v>
          </cell>
          <cell r="D661" t="str">
            <v>Work days</v>
          </cell>
          <cell r="Z661">
            <v>5</v>
          </cell>
          <cell r="AA661">
            <v>5</v>
          </cell>
          <cell r="AB661">
            <v>5</v>
          </cell>
          <cell r="AC661">
            <v>5</v>
          </cell>
          <cell r="AD661">
            <v>3</v>
          </cell>
          <cell r="AE661">
            <v>5</v>
          </cell>
          <cell r="AF661">
            <v>5</v>
          </cell>
          <cell r="AG661">
            <v>5</v>
          </cell>
          <cell r="AH661">
            <v>5</v>
          </cell>
          <cell r="AI661">
            <v>5</v>
          </cell>
          <cell r="AJ661">
            <v>5</v>
          </cell>
          <cell r="AK661">
            <v>4</v>
          </cell>
          <cell r="AL661">
            <v>4</v>
          </cell>
          <cell r="AM661">
            <v>5</v>
          </cell>
          <cell r="AN661">
            <v>4</v>
          </cell>
          <cell r="AO661">
            <v>5</v>
          </cell>
          <cell r="AP661">
            <v>6</v>
          </cell>
          <cell r="AQ661">
            <v>6</v>
          </cell>
          <cell r="AR661">
            <v>6</v>
          </cell>
          <cell r="AS661">
            <v>6</v>
          </cell>
          <cell r="AT661">
            <v>6</v>
          </cell>
          <cell r="AU661">
            <v>6</v>
          </cell>
          <cell r="AV661">
            <v>6</v>
          </cell>
          <cell r="AW661">
            <v>6</v>
          </cell>
          <cell r="AX661">
            <v>6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5</v>
          </cell>
          <cell r="BD661">
            <v>5</v>
          </cell>
          <cell r="BE661">
            <v>5</v>
          </cell>
          <cell r="BF661">
            <v>5</v>
          </cell>
          <cell r="BG661">
            <v>5</v>
          </cell>
          <cell r="BH661">
            <v>5</v>
          </cell>
          <cell r="BI661">
            <v>5</v>
          </cell>
          <cell r="BJ661">
            <v>5</v>
          </cell>
          <cell r="BK661">
            <v>5</v>
          </cell>
          <cell r="BL661">
            <v>5</v>
          </cell>
          <cell r="BM661">
            <v>5</v>
          </cell>
          <cell r="BN661">
            <v>5</v>
          </cell>
          <cell r="BO661">
            <v>5</v>
          </cell>
          <cell r="BP661">
            <v>5</v>
          </cell>
          <cell r="BQ661">
            <v>5</v>
          </cell>
          <cell r="BR661">
            <v>5</v>
          </cell>
          <cell r="BS661">
            <v>5</v>
          </cell>
          <cell r="BT661">
            <v>5</v>
          </cell>
          <cell r="BU661">
            <v>5</v>
          </cell>
          <cell r="BV661">
            <v>5</v>
          </cell>
        </row>
        <row r="662">
          <cell r="A662" t="str">
            <v>CV</v>
          </cell>
          <cell r="B662" t="str">
            <v>Renault</v>
          </cell>
          <cell r="D662" t="str">
            <v>SHIFT A HC - operators</v>
          </cell>
          <cell r="Z662">
            <v>11</v>
          </cell>
          <cell r="AA662">
            <v>13</v>
          </cell>
          <cell r="AB662">
            <v>11</v>
          </cell>
          <cell r="AC662">
            <v>11</v>
          </cell>
          <cell r="AD662">
            <v>11</v>
          </cell>
          <cell r="AE662">
            <v>11</v>
          </cell>
          <cell r="AF662">
            <v>11</v>
          </cell>
          <cell r="AG662">
            <v>11</v>
          </cell>
          <cell r="AH662">
            <v>11</v>
          </cell>
          <cell r="AI662">
            <v>11</v>
          </cell>
          <cell r="AJ662">
            <v>11</v>
          </cell>
          <cell r="AK662">
            <v>11</v>
          </cell>
          <cell r="AL662">
            <v>11</v>
          </cell>
          <cell r="AM662">
            <v>11</v>
          </cell>
          <cell r="AN662">
            <v>11</v>
          </cell>
          <cell r="AO662">
            <v>11</v>
          </cell>
          <cell r="AP662">
            <v>10</v>
          </cell>
          <cell r="AQ662">
            <v>10</v>
          </cell>
          <cell r="AR662">
            <v>10</v>
          </cell>
          <cell r="AS662">
            <v>10</v>
          </cell>
          <cell r="AT662">
            <v>10</v>
          </cell>
          <cell r="AU662">
            <v>10</v>
          </cell>
          <cell r="AV662">
            <v>10</v>
          </cell>
          <cell r="AW662">
            <v>10</v>
          </cell>
          <cell r="AX662">
            <v>10</v>
          </cell>
          <cell r="AY662">
            <v>10</v>
          </cell>
          <cell r="AZ662">
            <v>10</v>
          </cell>
          <cell r="BA662">
            <v>10</v>
          </cell>
          <cell r="BB662">
            <v>10</v>
          </cell>
          <cell r="BC662">
            <v>10</v>
          </cell>
          <cell r="BD662">
            <v>10</v>
          </cell>
          <cell r="BE662">
            <v>10</v>
          </cell>
          <cell r="BF662">
            <v>10</v>
          </cell>
          <cell r="BG662">
            <v>10</v>
          </cell>
          <cell r="BH662">
            <v>10</v>
          </cell>
          <cell r="BI662">
            <v>10</v>
          </cell>
          <cell r="BJ662">
            <v>10</v>
          </cell>
          <cell r="BK662">
            <v>10</v>
          </cell>
          <cell r="BL662">
            <v>10</v>
          </cell>
          <cell r="BM662">
            <v>10</v>
          </cell>
          <cell r="BN662">
            <v>10</v>
          </cell>
          <cell r="BO662">
            <v>10</v>
          </cell>
          <cell r="BP662">
            <v>10</v>
          </cell>
          <cell r="BQ662">
            <v>10</v>
          </cell>
          <cell r="BR662">
            <v>10</v>
          </cell>
          <cell r="BS662">
            <v>10</v>
          </cell>
          <cell r="BT662">
            <v>10</v>
          </cell>
          <cell r="BU662">
            <v>10</v>
          </cell>
          <cell r="BV662">
            <v>10</v>
          </cell>
        </row>
        <row r="663">
          <cell r="A663" t="str">
            <v>CV</v>
          </cell>
          <cell r="B663" t="str">
            <v>Renault</v>
          </cell>
          <cell r="D663" t="str">
            <v>SHIFT B HC  - operators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</row>
        <row r="664">
          <cell r="A664" t="str">
            <v>CV</v>
          </cell>
          <cell r="B664" t="str">
            <v>Renault</v>
          </cell>
          <cell r="D664" t="str">
            <v>SHIFT C HC  - operators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</row>
        <row r="665">
          <cell r="A665" t="str">
            <v>CV</v>
          </cell>
          <cell r="B665" t="str">
            <v>Renault</v>
          </cell>
          <cell r="D665" t="str">
            <v>Total HC</v>
          </cell>
          <cell r="Z665">
            <v>11</v>
          </cell>
          <cell r="AA665">
            <v>13</v>
          </cell>
          <cell r="AB665">
            <v>11</v>
          </cell>
          <cell r="AC665">
            <v>11</v>
          </cell>
          <cell r="AD665">
            <v>11</v>
          </cell>
          <cell r="AE665">
            <v>11</v>
          </cell>
          <cell r="AF665">
            <v>11</v>
          </cell>
          <cell r="AG665">
            <v>11</v>
          </cell>
          <cell r="AH665">
            <v>11</v>
          </cell>
          <cell r="AI665">
            <v>11</v>
          </cell>
          <cell r="AJ665">
            <v>11</v>
          </cell>
          <cell r="AK665">
            <v>11</v>
          </cell>
          <cell r="AL665">
            <v>11</v>
          </cell>
          <cell r="AM665">
            <v>11</v>
          </cell>
          <cell r="AN665">
            <v>11</v>
          </cell>
          <cell r="AO665">
            <v>11</v>
          </cell>
          <cell r="AP665">
            <v>10</v>
          </cell>
          <cell r="AQ665">
            <v>10</v>
          </cell>
          <cell r="AR665">
            <v>10</v>
          </cell>
          <cell r="AS665">
            <v>10</v>
          </cell>
          <cell r="AT665">
            <v>10</v>
          </cell>
          <cell r="AU665">
            <v>10</v>
          </cell>
          <cell r="AV665">
            <v>10</v>
          </cell>
          <cell r="AW665">
            <v>10</v>
          </cell>
          <cell r="AX665">
            <v>10</v>
          </cell>
          <cell r="AY665">
            <v>10</v>
          </cell>
          <cell r="AZ665">
            <v>10</v>
          </cell>
          <cell r="BA665">
            <v>10</v>
          </cell>
          <cell r="BB665">
            <v>10</v>
          </cell>
          <cell r="BC665">
            <v>10</v>
          </cell>
          <cell r="BD665">
            <v>10</v>
          </cell>
          <cell r="BE665">
            <v>10</v>
          </cell>
          <cell r="BF665">
            <v>10</v>
          </cell>
          <cell r="BG665">
            <v>10</v>
          </cell>
          <cell r="BH665">
            <v>10</v>
          </cell>
          <cell r="BI665">
            <v>10</v>
          </cell>
          <cell r="BJ665">
            <v>10</v>
          </cell>
          <cell r="BK665">
            <v>10</v>
          </cell>
          <cell r="BL665">
            <v>10</v>
          </cell>
          <cell r="BM665">
            <v>10</v>
          </cell>
          <cell r="BN665">
            <v>10</v>
          </cell>
          <cell r="BO665">
            <v>10</v>
          </cell>
          <cell r="BP665">
            <v>10</v>
          </cell>
          <cell r="BQ665">
            <v>10</v>
          </cell>
          <cell r="BR665">
            <v>10</v>
          </cell>
          <cell r="BS665">
            <v>10</v>
          </cell>
          <cell r="BT665">
            <v>10</v>
          </cell>
          <cell r="BU665">
            <v>10</v>
          </cell>
          <cell r="BV665">
            <v>10</v>
          </cell>
        </row>
        <row r="666">
          <cell r="A666" t="str">
            <v>CV</v>
          </cell>
          <cell r="B666" t="str">
            <v>Renault</v>
          </cell>
          <cell r="D666" t="str">
            <v>SHIFT A HC  - efficiency</v>
          </cell>
          <cell r="Z666">
            <v>1.2</v>
          </cell>
          <cell r="AA666">
            <v>1.1000000000000001</v>
          </cell>
          <cell r="AB666">
            <v>1.2</v>
          </cell>
          <cell r="AC666">
            <v>1.2</v>
          </cell>
          <cell r="AD666">
            <v>1.2</v>
          </cell>
          <cell r="AE666">
            <v>1.2</v>
          </cell>
          <cell r="AF666">
            <v>1.2</v>
          </cell>
          <cell r="AG666">
            <v>1.2</v>
          </cell>
          <cell r="AH666">
            <v>1.2</v>
          </cell>
          <cell r="AI666">
            <v>1.2</v>
          </cell>
          <cell r="AJ666">
            <v>1.2</v>
          </cell>
          <cell r="AK666">
            <v>1.2</v>
          </cell>
          <cell r="AL666">
            <v>1.2</v>
          </cell>
          <cell r="AM666">
            <v>1.2</v>
          </cell>
          <cell r="AN666">
            <v>1.2</v>
          </cell>
          <cell r="AO666">
            <v>1.2</v>
          </cell>
          <cell r="AP666">
            <v>1.2</v>
          </cell>
          <cell r="AQ666">
            <v>1.2</v>
          </cell>
          <cell r="AR666">
            <v>1.2</v>
          </cell>
          <cell r="AS666">
            <v>1.2</v>
          </cell>
          <cell r="AT666">
            <v>1.2</v>
          </cell>
          <cell r="AU666">
            <v>1.2</v>
          </cell>
          <cell r="AV666">
            <v>1.2</v>
          </cell>
          <cell r="AW666">
            <v>1.2</v>
          </cell>
          <cell r="AX666">
            <v>1.2</v>
          </cell>
          <cell r="AY666">
            <v>1.2</v>
          </cell>
          <cell r="AZ666">
            <v>1.2</v>
          </cell>
          <cell r="BA666">
            <v>1.2</v>
          </cell>
          <cell r="BB666">
            <v>1.2</v>
          </cell>
          <cell r="BC666">
            <v>1.2</v>
          </cell>
          <cell r="BD666">
            <v>1.2</v>
          </cell>
          <cell r="BE666">
            <v>1.2</v>
          </cell>
          <cell r="BF666">
            <v>1.2</v>
          </cell>
          <cell r="BG666">
            <v>1.2</v>
          </cell>
          <cell r="BH666">
            <v>1.2</v>
          </cell>
          <cell r="BI666">
            <v>1.2</v>
          </cell>
          <cell r="BJ666">
            <v>1.2</v>
          </cell>
          <cell r="BK666">
            <v>1.2</v>
          </cell>
          <cell r="BL666">
            <v>1.2</v>
          </cell>
          <cell r="BM666">
            <v>1.2</v>
          </cell>
          <cell r="BN666">
            <v>1.2</v>
          </cell>
          <cell r="BO666">
            <v>1.2</v>
          </cell>
          <cell r="BP666">
            <v>1.2</v>
          </cell>
          <cell r="BQ666">
            <v>1.2</v>
          </cell>
          <cell r="BR666">
            <v>1.2</v>
          </cell>
          <cell r="BS666">
            <v>1.2</v>
          </cell>
          <cell r="BT666">
            <v>1.2</v>
          </cell>
          <cell r="BU666">
            <v>1.2</v>
          </cell>
          <cell r="BV666">
            <v>1.2</v>
          </cell>
        </row>
        <row r="667">
          <cell r="A667" t="str">
            <v>CV</v>
          </cell>
          <cell r="B667" t="str">
            <v>Renault</v>
          </cell>
          <cell r="D667" t="str">
            <v>SHIFT B HC  - efficiency</v>
          </cell>
          <cell r="Z667">
            <v>1</v>
          </cell>
          <cell r="AA667">
            <v>1</v>
          </cell>
          <cell r="AB667">
            <v>1</v>
          </cell>
          <cell r="AC667">
            <v>1</v>
          </cell>
          <cell r="AD667">
            <v>1</v>
          </cell>
          <cell r="AE667">
            <v>1</v>
          </cell>
          <cell r="AF667">
            <v>1</v>
          </cell>
          <cell r="AG667">
            <v>1</v>
          </cell>
          <cell r="AH667">
            <v>1</v>
          </cell>
          <cell r="AI667">
            <v>1</v>
          </cell>
          <cell r="AJ667">
            <v>1</v>
          </cell>
          <cell r="AK667">
            <v>1</v>
          </cell>
          <cell r="AL667">
            <v>1</v>
          </cell>
          <cell r="AM667">
            <v>1</v>
          </cell>
          <cell r="AN667">
            <v>1</v>
          </cell>
          <cell r="AO667">
            <v>1</v>
          </cell>
          <cell r="AP667">
            <v>1</v>
          </cell>
          <cell r="AQ667">
            <v>1</v>
          </cell>
          <cell r="AR667">
            <v>1</v>
          </cell>
          <cell r="AS667">
            <v>1</v>
          </cell>
          <cell r="AT667">
            <v>1</v>
          </cell>
          <cell r="AU667">
            <v>1</v>
          </cell>
          <cell r="AV667">
            <v>1</v>
          </cell>
          <cell r="AW667">
            <v>1</v>
          </cell>
          <cell r="AX667">
            <v>1</v>
          </cell>
          <cell r="AY667">
            <v>1</v>
          </cell>
          <cell r="AZ667">
            <v>1</v>
          </cell>
          <cell r="BA667">
            <v>1</v>
          </cell>
          <cell r="BB667">
            <v>1</v>
          </cell>
          <cell r="BC667">
            <v>1</v>
          </cell>
          <cell r="BD667">
            <v>1</v>
          </cell>
          <cell r="BE667">
            <v>1</v>
          </cell>
          <cell r="BF667">
            <v>1</v>
          </cell>
          <cell r="BG667">
            <v>1</v>
          </cell>
          <cell r="BH667">
            <v>1</v>
          </cell>
          <cell r="BI667">
            <v>1</v>
          </cell>
          <cell r="BJ667">
            <v>1</v>
          </cell>
          <cell r="BK667">
            <v>1</v>
          </cell>
          <cell r="BL667">
            <v>1</v>
          </cell>
          <cell r="BM667">
            <v>1</v>
          </cell>
          <cell r="BN667">
            <v>1</v>
          </cell>
          <cell r="BO667">
            <v>1</v>
          </cell>
          <cell r="BP667">
            <v>1</v>
          </cell>
          <cell r="BQ667">
            <v>1</v>
          </cell>
          <cell r="BR667">
            <v>1</v>
          </cell>
          <cell r="BS667">
            <v>1</v>
          </cell>
          <cell r="BT667">
            <v>1</v>
          </cell>
          <cell r="BU667">
            <v>1</v>
          </cell>
          <cell r="BV667">
            <v>1</v>
          </cell>
        </row>
        <row r="668">
          <cell r="A668" t="str">
            <v>CV</v>
          </cell>
          <cell r="B668" t="str">
            <v>Renault</v>
          </cell>
          <cell r="D668" t="str">
            <v>SHIFT C HC  - efficiency</v>
          </cell>
          <cell r="Z668">
            <v>1</v>
          </cell>
          <cell r="AA668">
            <v>1</v>
          </cell>
          <cell r="AB668">
            <v>1</v>
          </cell>
          <cell r="AC668">
            <v>1</v>
          </cell>
          <cell r="AD668">
            <v>1</v>
          </cell>
          <cell r="AE668">
            <v>1</v>
          </cell>
          <cell r="AF668">
            <v>1</v>
          </cell>
          <cell r="AG668">
            <v>1</v>
          </cell>
          <cell r="AH668">
            <v>1</v>
          </cell>
          <cell r="AI668">
            <v>1</v>
          </cell>
          <cell r="AJ668">
            <v>1</v>
          </cell>
          <cell r="AK668">
            <v>1</v>
          </cell>
          <cell r="AL668">
            <v>1</v>
          </cell>
          <cell r="AM668">
            <v>1</v>
          </cell>
          <cell r="AN668">
            <v>1</v>
          </cell>
          <cell r="AO668">
            <v>1</v>
          </cell>
          <cell r="AP668">
            <v>1</v>
          </cell>
          <cell r="AQ668">
            <v>1</v>
          </cell>
          <cell r="AR668">
            <v>1</v>
          </cell>
          <cell r="AS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1</v>
          </cell>
          <cell r="AX668">
            <v>1</v>
          </cell>
          <cell r="AY668">
            <v>1</v>
          </cell>
          <cell r="AZ668">
            <v>1</v>
          </cell>
          <cell r="BA668">
            <v>1</v>
          </cell>
          <cell r="BB668">
            <v>1</v>
          </cell>
          <cell r="BC668">
            <v>1</v>
          </cell>
          <cell r="BD668">
            <v>1</v>
          </cell>
          <cell r="BE668">
            <v>1</v>
          </cell>
          <cell r="BF668">
            <v>1</v>
          </cell>
          <cell r="BG668">
            <v>1</v>
          </cell>
          <cell r="BH668">
            <v>1</v>
          </cell>
          <cell r="BI668">
            <v>1</v>
          </cell>
          <cell r="BJ668">
            <v>1</v>
          </cell>
          <cell r="BK668">
            <v>1</v>
          </cell>
          <cell r="BL668">
            <v>1</v>
          </cell>
          <cell r="BM668">
            <v>1</v>
          </cell>
          <cell r="BN668">
            <v>1</v>
          </cell>
          <cell r="BO668">
            <v>1</v>
          </cell>
          <cell r="BP668">
            <v>1</v>
          </cell>
          <cell r="BQ668">
            <v>1</v>
          </cell>
          <cell r="BR668">
            <v>1</v>
          </cell>
          <cell r="BS668">
            <v>1</v>
          </cell>
          <cell r="BT668">
            <v>1</v>
          </cell>
          <cell r="BU668">
            <v>1</v>
          </cell>
          <cell r="BV668">
            <v>1</v>
          </cell>
        </row>
        <row r="669">
          <cell r="A669" t="str">
            <v>CV</v>
          </cell>
          <cell r="B669" t="str">
            <v>Renault</v>
          </cell>
          <cell r="D669" t="str">
            <v>Total efficiency</v>
          </cell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</row>
        <row r="670">
          <cell r="A670" t="str">
            <v>CV</v>
          </cell>
          <cell r="B670" t="str">
            <v>Renault</v>
          </cell>
          <cell r="D670" t="str">
            <v>SHIFT A - output</v>
          </cell>
          <cell r="Z670">
            <v>299.84856133266032</v>
          </cell>
          <cell r="AA670">
            <v>324.83594144371534</v>
          </cell>
          <cell r="AB670">
            <v>299.84856133266032</v>
          </cell>
          <cell r="AC670">
            <v>299.84856133266032</v>
          </cell>
          <cell r="AD670">
            <v>299.84856133266032</v>
          </cell>
          <cell r="AE670">
            <v>299.84856133266032</v>
          </cell>
          <cell r="AF670">
            <v>299.84856133266032</v>
          </cell>
          <cell r="AG670">
            <v>299.84856133266032</v>
          </cell>
          <cell r="AH670">
            <v>299.84856133266032</v>
          </cell>
          <cell r="AI670">
            <v>299.84856133266032</v>
          </cell>
          <cell r="AJ670">
            <v>299.84856133266032</v>
          </cell>
          <cell r="AK670">
            <v>299.84856133266032</v>
          </cell>
          <cell r="AL670">
            <v>299.84856133266032</v>
          </cell>
          <cell r="AM670">
            <v>299.84856133266032</v>
          </cell>
          <cell r="AN670">
            <v>299.84856133266032</v>
          </cell>
          <cell r="AO670">
            <v>299.84856133266032</v>
          </cell>
          <cell r="AP670">
            <v>272.58960121150938</v>
          </cell>
          <cell r="AQ670">
            <v>272.58960121150938</v>
          </cell>
          <cell r="AR670">
            <v>272.58960121150938</v>
          </cell>
          <cell r="AS670">
            <v>272.58960121150938</v>
          </cell>
          <cell r="AT670">
            <v>272.58960121150938</v>
          </cell>
          <cell r="AU670">
            <v>272.58960121150938</v>
          </cell>
          <cell r="AV670">
            <v>272.58960121150938</v>
          </cell>
          <cell r="AW670">
            <v>272.58960121150938</v>
          </cell>
          <cell r="AX670">
            <v>272.58960121150938</v>
          </cell>
          <cell r="AY670">
            <v>272.58960121150938</v>
          </cell>
          <cell r="AZ670">
            <v>272.58960121150938</v>
          </cell>
          <cell r="BA670">
            <v>272.58960121150938</v>
          </cell>
          <cell r="BB670">
            <v>272.58960121150938</v>
          </cell>
          <cell r="BC670">
            <v>272.58960121150938</v>
          </cell>
          <cell r="BD670">
            <v>272.58960121150938</v>
          </cell>
          <cell r="BE670">
            <v>272.58960121150938</v>
          </cell>
          <cell r="BF670">
            <v>272.58960121150938</v>
          </cell>
          <cell r="BG670">
            <v>272.58960121150938</v>
          </cell>
          <cell r="BH670">
            <v>272.58960121150938</v>
          </cell>
          <cell r="BI670">
            <v>272.58960121150938</v>
          </cell>
          <cell r="BJ670">
            <v>272.58960121150938</v>
          </cell>
          <cell r="BK670">
            <v>272.58960121150938</v>
          </cell>
          <cell r="BL670">
            <v>272.58960121150938</v>
          </cell>
          <cell r="BM670">
            <v>272.58960121150938</v>
          </cell>
          <cell r="BN670">
            <v>272.58960121150938</v>
          </cell>
          <cell r="BO670">
            <v>272.58960121150938</v>
          </cell>
          <cell r="BP670">
            <v>272.58960121150938</v>
          </cell>
          <cell r="BQ670">
            <v>272.58960121150938</v>
          </cell>
          <cell r="BR670">
            <v>272.58960121150938</v>
          </cell>
          <cell r="BS670">
            <v>272.58960121150938</v>
          </cell>
          <cell r="BT670">
            <v>272.58960121150938</v>
          </cell>
          <cell r="BU670">
            <v>272.58960121150938</v>
          </cell>
          <cell r="BV670">
            <v>272.58960121150938</v>
          </cell>
        </row>
        <row r="671">
          <cell r="A671" t="str">
            <v>CV</v>
          </cell>
          <cell r="B671" t="str">
            <v>Renault</v>
          </cell>
          <cell r="D671" t="str">
            <v>SHIFT B  - output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</row>
        <row r="672">
          <cell r="A672" t="str">
            <v>CV</v>
          </cell>
          <cell r="B672" t="str">
            <v>Renault</v>
          </cell>
          <cell r="D672" t="str">
            <v>SHIFT C  - output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</row>
        <row r="673">
          <cell r="A673" t="str">
            <v>CV</v>
          </cell>
          <cell r="B673" t="str">
            <v>Renault</v>
          </cell>
          <cell r="D673" t="str">
            <v>Est. Output (Pcs day)</v>
          </cell>
          <cell r="E673">
            <v>19.809999999999999</v>
          </cell>
          <cell r="Z673">
            <v>299.84856133266032</v>
          </cell>
          <cell r="AA673">
            <v>324.83594144371534</v>
          </cell>
          <cell r="AB673">
            <v>299.84856133266032</v>
          </cell>
          <cell r="AC673">
            <v>299.84856133266032</v>
          </cell>
          <cell r="AD673">
            <v>299.84856133266032</v>
          </cell>
          <cell r="AE673">
            <v>299.84856133266032</v>
          </cell>
          <cell r="AF673">
            <v>299.84856133266032</v>
          </cell>
          <cell r="AG673">
            <v>299.84856133266032</v>
          </cell>
          <cell r="AH673">
            <v>299.84856133266032</v>
          </cell>
          <cell r="AI673">
            <v>299.84856133266032</v>
          </cell>
          <cell r="AJ673">
            <v>299.84856133266032</v>
          </cell>
          <cell r="AK673">
            <v>299.84856133266032</v>
          </cell>
          <cell r="AL673">
            <v>299.84856133266032</v>
          </cell>
          <cell r="AM673">
            <v>299.84856133266032</v>
          </cell>
          <cell r="AN673">
            <v>299.84856133266032</v>
          </cell>
          <cell r="AO673">
            <v>299.84856133266032</v>
          </cell>
          <cell r="AP673">
            <v>272.58960121150938</v>
          </cell>
          <cell r="AQ673">
            <v>272.58960121150938</v>
          </cell>
          <cell r="AR673">
            <v>272.58960121150938</v>
          </cell>
          <cell r="AS673">
            <v>272.58960121150938</v>
          </cell>
          <cell r="AT673">
            <v>272.58960121150938</v>
          </cell>
          <cell r="AU673">
            <v>272.58960121150938</v>
          </cell>
          <cell r="AV673">
            <v>272.58960121150938</v>
          </cell>
          <cell r="AW673">
            <v>272.58960121150938</v>
          </cell>
          <cell r="AX673">
            <v>272.58960121150938</v>
          </cell>
          <cell r="AY673">
            <v>272.58960121150938</v>
          </cell>
          <cell r="AZ673">
            <v>272.58960121150938</v>
          </cell>
          <cell r="BA673">
            <v>272.58960121150938</v>
          </cell>
          <cell r="BB673">
            <v>272.58960121150938</v>
          </cell>
          <cell r="BC673">
            <v>272.58960121150938</v>
          </cell>
          <cell r="BD673">
            <v>272.58960121150938</v>
          </cell>
          <cell r="BE673">
            <v>272.58960121150938</v>
          </cell>
          <cell r="BF673">
            <v>272.58960121150938</v>
          </cell>
          <cell r="BG673">
            <v>272.58960121150938</v>
          </cell>
          <cell r="BH673">
            <v>272.58960121150938</v>
          </cell>
          <cell r="BI673">
            <v>272.58960121150938</v>
          </cell>
          <cell r="BJ673">
            <v>272.58960121150938</v>
          </cell>
          <cell r="BK673">
            <v>272.58960121150938</v>
          </cell>
          <cell r="BL673">
            <v>272.58960121150938</v>
          </cell>
          <cell r="BM673">
            <v>272.58960121150938</v>
          </cell>
          <cell r="BN673">
            <v>272.58960121150938</v>
          </cell>
          <cell r="BO673">
            <v>272.58960121150938</v>
          </cell>
          <cell r="BP673">
            <v>272.58960121150938</v>
          </cell>
          <cell r="BQ673">
            <v>272.58960121150938</v>
          </cell>
          <cell r="BR673">
            <v>272.58960121150938</v>
          </cell>
          <cell r="BS673">
            <v>272.58960121150938</v>
          </cell>
          <cell r="BT673">
            <v>272.58960121150938</v>
          </cell>
          <cell r="BU673">
            <v>272.58960121150938</v>
          </cell>
          <cell r="BV673">
            <v>272.58960121150938</v>
          </cell>
        </row>
        <row r="674">
          <cell r="A674" t="str">
            <v>CV</v>
          </cell>
          <cell r="B674" t="str">
            <v>Renault</v>
          </cell>
          <cell r="D674" t="str">
            <v>Weekly Output PLAN</v>
          </cell>
          <cell r="E674" t="str">
            <v>SEW</v>
          </cell>
          <cell r="Z674">
            <v>1499.2428066633015</v>
          </cell>
          <cell r="AA674">
            <v>1624.1797072185768</v>
          </cell>
          <cell r="AB674">
            <v>1499.2428066633015</v>
          </cell>
          <cell r="AC674">
            <v>1499.2428066633015</v>
          </cell>
          <cell r="AD674">
            <v>899.54568399798097</v>
          </cell>
          <cell r="AE674">
            <v>1499.2428066633015</v>
          </cell>
          <cell r="AF674">
            <v>1499.2428066633015</v>
          </cell>
          <cell r="AG674">
            <v>1499.2428066633015</v>
          </cell>
          <cell r="AH674">
            <v>1499.2428066633015</v>
          </cell>
          <cell r="AI674">
            <v>1499.2428066633015</v>
          </cell>
          <cell r="AJ674">
            <v>1499.2428066633015</v>
          </cell>
          <cell r="AK674">
            <v>1199.3942453306413</v>
          </cell>
          <cell r="AL674">
            <v>1199.3942453306413</v>
          </cell>
          <cell r="AM674">
            <v>1499.2428066633015</v>
          </cell>
          <cell r="AN674">
            <v>1199.3942453306413</v>
          </cell>
          <cell r="AO674">
            <v>1499.2428066633015</v>
          </cell>
          <cell r="AP674">
            <v>1635.5376072690563</v>
          </cell>
          <cell r="AQ674">
            <v>1635.5376072690563</v>
          </cell>
          <cell r="AR674">
            <v>1635.5376072690563</v>
          </cell>
          <cell r="AS674">
            <v>1635.5376072690563</v>
          </cell>
          <cell r="AT674">
            <v>1635.5376072690563</v>
          </cell>
          <cell r="AU674">
            <v>1635.5376072690563</v>
          </cell>
          <cell r="AV674">
            <v>1635.5376072690563</v>
          </cell>
          <cell r="AW674">
            <v>1635.5376072690563</v>
          </cell>
          <cell r="AX674">
            <v>1635.5376072690563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1362.948006057547</v>
          </cell>
          <cell r="BD674">
            <v>1362.948006057547</v>
          </cell>
          <cell r="BE674">
            <v>1362.948006057547</v>
          </cell>
          <cell r="BF674">
            <v>1362.948006057547</v>
          </cell>
          <cell r="BG674">
            <v>1362.948006057547</v>
          </cell>
          <cell r="BH674">
            <v>1362.948006057547</v>
          </cell>
          <cell r="BI674">
            <v>1362.948006057547</v>
          </cell>
          <cell r="BJ674">
            <v>1362.948006057547</v>
          </cell>
          <cell r="BK674">
            <v>1362.948006057547</v>
          </cell>
          <cell r="BL674">
            <v>1362.948006057547</v>
          </cell>
          <cell r="BM674">
            <v>1362.948006057547</v>
          </cell>
          <cell r="BN674">
            <v>1362.948006057547</v>
          </cell>
          <cell r="BO674">
            <v>1362.948006057547</v>
          </cell>
          <cell r="BP674">
            <v>1362.948006057547</v>
          </cell>
          <cell r="BQ674">
            <v>1362.948006057547</v>
          </cell>
          <cell r="BR674">
            <v>1362.948006057547</v>
          </cell>
          <cell r="BS674">
            <v>1362.948006057547</v>
          </cell>
          <cell r="BT674">
            <v>1362.948006057547</v>
          </cell>
          <cell r="BU674">
            <v>1362.948006057547</v>
          </cell>
          <cell r="BV674">
            <v>1362.948006057547</v>
          </cell>
        </row>
        <row r="675">
          <cell r="A675" t="str">
            <v>CV</v>
          </cell>
          <cell r="B675" t="str">
            <v>Renault</v>
          </cell>
          <cell r="D675" t="str">
            <v>FAB</v>
          </cell>
          <cell r="E675">
            <v>18.027000000000001</v>
          </cell>
          <cell r="Z675">
            <v>1123.2614461440978</v>
          </cell>
          <cell r="AA675">
            <v>1216.866566656106</v>
          </cell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</row>
        <row r="676">
          <cell r="A676" t="str">
            <v>CV</v>
          </cell>
          <cell r="B676" t="str">
            <v>Renault</v>
          </cell>
          <cell r="D676" t="str">
            <v>LTH</v>
          </cell>
          <cell r="E676">
            <v>28.282</v>
          </cell>
          <cell r="Z676">
            <v>227.85018658438992</v>
          </cell>
          <cell r="AA676">
            <v>246.83770213308912</v>
          </cell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</row>
        <row r="677">
          <cell r="A677" t="str">
            <v>CV</v>
          </cell>
          <cell r="B677" t="str">
            <v>Renault</v>
          </cell>
          <cell r="D677" t="str">
            <v>MIL</v>
          </cell>
          <cell r="E677">
            <v>13.11</v>
          </cell>
          <cell r="Z677">
            <v>14.50474871990853</v>
          </cell>
          <cell r="AA677">
            <v>15.713477779900909</v>
          </cell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</row>
        <row r="678">
          <cell r="A678" t="str">
            <v>CV</v>
          </cell>
          <cell r="B678" t="str">
            <v>Renault</v>
          </cell>
          <cell r="D678" t="str">
            <v>NECKREST</v>
          </cell>
          <cell r="E678">
            <v>7.1059999999999999</v>
          </cell>
          <cell r="Z678">
            <v>0</v>
          </cell>
          <cell r="AA678">
            <v>0</v>
          </cell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</row>
        <row r="679">
          <cell r="A679" t="str">
            <v>CV</v>
          </cell>
          <cell r="B679" t="str">
            <v>Renault</v>
          </cell>
          <cell r="D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</row>
        <row r="680">
          <cell r="A680" t="str">
            <v>CV</v>
          </cell>
          <cell r="B680" t="str">
            <v>Renault</v>
          </cell>
          <cell r="D680" t="str">
            <v>Weekly Output PLAN - SUM of models</v>
          </cell>
          <cell r="Z680">
            <v>1365.6163814483962</v>
          </cell>
          <cell r="AA680">
            <v>1479.4177465690959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</row>
        <row r="681">
          <cell r="A681" t="str">
            <v>CV</v>
          </cell>
          <cell r="B681" t="str">
            <v>Renault</v>
          </cell>
          <cell r="D681" t="str">
            <v>Weekly Output CHECK with TO time multiple</v>
          </cell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</row>
        <row r="682">
          <cell r="A682" t="str">
            <v>CV</v>
          </cell>
          <cell r="B682" t="str">
            <v>Renault</v>
          </cell>
          <cell r="D682" t="str">
            <v>Weekly Output ACT</v>
          </cell>
          <cell r="Z682">
            <v>1499.2428066633015</v>
          </cell>
          <cell r="AA682">
            <v>1624.1797072185768</v>
          </cell>
          <cell r="AB682">
            <v>1499.2428066633015</v>
          </cell>
          <cell r="AC682">
            <v>1499.2428066633015</v>
          </cell>
          <cell r="AD682">
            <v>899.54568399798097</v>
          </cell>
          <cell r="AE682">
            <v>1499.2428066633015</v>
          </cell>
          <cell r="AF682">
            <v>1499.2428066633015</v>
          </cell>
          <cell r="AG682">
            <v>1499.2428066633015</v>
          </cell>
          <cell r="AH682">
            <v>1499.2428066633015</v>
          </cell>
          <cell r="AI682">
            <v>1499.2428066633015</v>
          </cell>
          <cell r="AJ682">
            <v>1499.2428066633015</v>
          </cell>
          <cell r="AK682">
            <v>1199.3942453306413</v>
          </cell>
          <cell r="AL682">
            <v>1199.3942453306413</v>
          </cell>
          <cell r="AM682">
            <v>1499.2428066633015</v>
          </cell>
          <cell r="AN682">
            <v>1199.3942453306413</v>
          </cell>
          <cell r="AO682">
            <v>1499.2428066633015</v>
          </cell>
          <cell r="AP682">
            <v>1635.5376072690563</v>
          </cell>
          <cell r="AQ682">
            <v>1635.5376072690563</v>
          </cell>
          <cell r="AR682">
            <v>1635.5376072690563</v>
          </cell>
          <cell r="AS682">
            <v>1635.5376072690563</v>
          </cell>
          <cell r="AT682">
            <v>1635.5376072690563</v>
          </cell>
          <cell r="AU682">
            <v>1635.5376072690563</v>
          </cell>
          <cell r="AV682">
            <v>1635.5376072690563</v>
          </cell>
          <cell r="AW682">
            <v>1635.5376072690563</v>
          </cell>
          <cell r="AX682">
            <v>1635.5376072690563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1362.948006057547</v>
          </cell>
          <cell r="BD682">
            <v>1362.948006057547</v>
          </cell>
          <cell r="BE682">
            <v>1362.948006057547</v>
          </cell>
          <cell r="BF682">
            <v>1362.948006057547</v>
          </cell>
          <cell r="BG682">
            <v>1362.948006057547</v>
          </cell>
          <cell r="BH682">
            <v>1362.948006057547</v>
          </cell>
          <cell r="BI682">
            <v>1362.948006057547</v>
          </cell>
          <cell r="BJ682">
            <v>1362.948006057547</v>
          </cell>
          <cell r="BK682">
            <v>1362.948006057547</v>
          </cell>
          <cell r="BL682">
            <v>1362.948006057547</v>
          </cell>
          <cell r="BM682">
            <v>1362.948006057547</v>
          </cell>
          <cell r="BN682">
            <v>1362.948006057547</v>
          </cell>
          <cell r="BO682">
            <v>1362.948006057547</v>
          </cell>
          <cell r="BP682">
            <v>1362.948006057547</v>
          </cell>
          <cell r="BQ682">
            <v>1362.948006057547</v>
          </cell>
          <cell r="BR682">
            <v>1362.948006057547</v>
          </cell>
          <cell r="BS682">
            <v>1362.948006057547</v>
          </cell>
          <cell r="BT682">
            <v>1362.948006057547</v>
          </cell>
          <cell r="BU682">
            <v>1362.948006057547</v>
          </cell>
          <cell r="BV682">
            <v>1362.948006057547</v>
          </cell>
        </row>
        <row r="683">
          <cell r="A683" t="str">
            <v>CV</v>
          </cell>
          <cell r="B683" t="str">
            <v>Renault</v>
          </cell>
          <cell r="D683" t="str">
            <v>FAB</v>
          </cell>
          <cell r="Z683">
            <v>1492.5</v>
          </cell>
          <cell r="AA683">
            <v>182.5</v>
          </cell>
          <cell r="AB683">
            <v>900</v>
          </cell>
          <cell r="AC683">
            <v>1170</v>
          </cell>
          <cell r="AD683">
            <v>1212.5</v>
          </cell>
          <cell r="AE683">
            <v>845</v>
          </cell>
          <cell r="AF683">
            <v>1112.5</v>
          </cell>
          <cell r="AG683">
            <v>1210</v>
          </cell>
          <cell r="AH683">
            <v>1140</v>
          </cell>
          <cell r="AI683">
            <v>1215</v>
          </cell>
          <cell r="AJ683">
            <v>1237.5</v>
          </cell>
          <cell r="AK683">
            <v>785</v>
          </cell>
          <cell r="AL683">
            <v>1257.5</v>
          </cell>
          <cell r="AM683">
            <v>1065</v>
          </cell>
          <cell r="AN683">
            <v>485</v>
          </cell>
          <cell r="AO683">
            <v>1277.5</v>
          </cell>
          <cell r="AP683">
            <v>1162.5</v>
          </cell>
          <cell r="AQ683">
            <v>1022.5</v>
          </cell>
          <cell r="AR683">
            <v>1315</v>
          </cell>
          <cell r="AS683">
            <v>1320</v>
          </cell>
          <cell r="AT683">
            <v>1042.5</v>
          </cell>
          <cell r="AU683">
            <v>1265</v>
          </cell>
          <cell r="AV683">
            <v>1085</v>
          </cell>
          <cell r="AW683">
            <v>0</v>
          </cell>
          <cell r="AX683">
            <v>0</v>
          </cell>
          <cell r="AY683">
            <v>20</v>
          </cell>
          <cell r="AZ683">
            <v>60</v>
          </cell>
          <cell r="BA683">
            <v>732.5</v>
          </cell>
          <cell r="BB683">
            <v>1357.5</v>
          </cell>
          <cell r="BC683">
            <v>1115</v>
          </cell>
          <cell r="BD683">
            <v>1330</v>
          </cell>
          <cell r="BE683">
            <v>1282.5</v>
          </cell>
          <cell r="BF683">
            <v>1125</v>
          </cell>
          <cell r="BG683">
            <v>1275</v>
          </cell>
          <cell r="BH683">
            <v>1360</v>
          </cell>
          <cell r="BI683">
            <v>1322.5</v>
          </cell>
          <cell r="BJ683">
            <v>1622.5</v>
          </cell>
          <cell r="BK683">
            <v>1420</v>
          </cell>
          <cell r="BL683">
            <v>1142.5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</row>
        <row r="684">
          <cell r="A684" t="str">
            <v>CV</v>
          </cell>
          <cell r="B684" t="str">
            <v>Renault</v>
          </cell>
          <cell r="D684" t="str">
            <v>LTH</v>
          </cell>
          <cell r="Z684">
            <v>195</v>
          </cell>
          <cell r="AA684">
            <v>60</v>
          </cell>
          <cell r="AB684">
            <v>207.5</v>
          </cell>
          <cell r="AC684">
            <v>287.5</v>
          </cell>
          <cell r="AD684">
            <v>220</v>
          </cell>
          <cell r="AE684">
            <v>255</v>
          </cell>
          <cell r="AF684">
            <v>225</v>
          </cell>
          <cell r="AG684">
            <v>220</v>
          </cell>
          <cell r="AH684">
            <v>312.5</v>
          </cell>
          <cell r="AI684">
            <v>275</v>
          </cell>
          <cell r="AJ684">
            <v>217.5</v>
          </cell>
          <cell r="AK684">
            <v>200</v>
          </cell>
          <cell r="AL684">
            <v>230</v>
          </cell>
          <cell r="AM684">
            <v>167.5</v>
          </cell>
          <cell r="AN684">
            <v>87.5</v>
          </cell>
          <cell r="AO684">
            <v>267.5</v>
          </cell>
          <cell r="AP684">
            <v>217.5</v>
          </cell>
          <cell r="AQ684">
            <v>215</v>
          </cell>
          <cell r="AR684">
            <v>277.5</v>
          </cell>
          <cell r="AS684">
            <v>240</v>
          </cell>
          <cell r="AT684">
            <v>282.5</v>
          </cell>
          <cell r="AU684">
            <v>277.5</v>
          </cell>
          <cell r="AV684">
            <v>238.5</v>
          </cell>
          <cell r="AW684">
            <v>0</v>
          </cell>
          <cell r="AX684">
            <v>0</v>
          </cell>
          <cell r="AY684">
            <v>0</v>
          </cell>
          <cell r="AZ684">
            <v>30</v>
          </cell>
          <cell r="BA684">
            <v>158</v>
          </cell>
          <cell r="BB684">
            <v>344</v>
          </cell>
          <cell r="BC684">
            <v>263.5</v>
          </cell>
          <cell r="BD684">
            <v>254</v>
          </cell>
          <cell r="BE684">
            <v>337.5</v>
          </cell>
          <cell r="BF684">
            <v>230</v>
          </cell>
          <cell r="BG684">
            <v>278</v>
          </cell>
          <cell r="BH684">
            <v>280</v>
          </cell>
          <cell r="BI684">
            <v>212.5</v>
          </cell>
          <cell r="BJ684">
            <v>272.5</v>
          </cell>
          <cell r="BK684">
            <v>275</v>
          </cell>
          <cell r="BL684">
            <v>260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</row>
        <row r="685">
          <cell r="A685" t="str">
            <v>CV</v>
          </cell>
          <cell r="B685" t="str">
            <v>Renault</v>
          </cell>
          <cell r="D685" t="str">
            <v>MIL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15</v>
          </cell>
          <cell r="AK685">
            <v>0</v>
          </cell>
          <cell r="AL685">
            <v>2</v>
          </cell>
          <cell r="AM685">
            <v>2</v>
          </cell>
          <cell r="AN685">
            <v>0</v>
          </cell>
          <cell r="AO685">
            <v>0</v>
          </cell>
          <cell r="AP685">
            <v>0</v>
          </cell>
          <cell r="AQ685">
            <v>2</v>
          </cell>
          <cell r="AR685">
            <v>6</v>
          </cell>
          <cell r="AS685">
            <v>6</v>
          </cell>
          <cell r="AT685">
            <v>4</v>
          </cell>
          <cell r="AU685">
            <v>10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8</v>
          </cell>
          <cell r="BB685">
            <v>4</v>
          </cell>
          <cell r="BC685">
            <v>2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</row>
        <row r="686">
          <cell r="A686" t="str">
            <v>CV</v>
          </cell>
          <cell r="B686" t="str">
            <v>Renault</v>
          </cell>
          <cell r="D686" t="str">
            <v>NECKREST</v>
          </cell>
          <cell r="Z686">
            <v>300</v>
          </cell>
          <cell r="AA686">
            <v>60</v>
          </cell>
          <cell r="AB686">
            <v>180</v>
          </cell>
          <cell r="AC686">
            <v>240</v>
          </cell>
          <cell r="AD686">
            <v>240</v>
          </cell>
          <cell r="AE686">
            <v>180</v>
          </cell>
          <cell r="AF686">
            <v>240</v>
          </cell>
          <cell r="AG686">
            <v>240</v>
          </cell>
          <cell r="AH686">
            <v>240</v>
          </cell>
          <cell r="AI686">
            <v>240</v>
          </cell>
          <cell r="AJ686">
            <v>240</v>
          </cell>
          <cell r="AK686">
            <v>180</v>
          </cell>
          <cell r="AL686">
            <v>240</v>
          </cell>
          <cell r="AM686">
            <v>180</v>
          </cell>
          <cell r="AN686">
            <v>120</v>
          </cell>
          <cell r="AO686">
            <v>240</v>
          </cell>
          <cell r="AP686">
            <v>360</v>
          </cell>
          <cell r="AQ686">
            <v>300</v>
          </cell>
          <cell r="AR686">
            <v>240</v>
          </cell>
          <cell r="AS686">
            <v>240</v>
          </cell>
          <cell r="AT686">
            <v>360</v>
          </cell>
          <cell r="AU686">
            <v>240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180</v>
          </cell>
          <cell r="BA686">
            <v>240</v>
          </cell>
          <cell r="BB686">
            <v>300</v>
          </cell>
          <cell r="BC686">
            <v>240</v>
          </cell>
          <cell r="BD686">
            <v>300</v>
          </cell>
          <cell r="BE686">
            <v>240</v>
          </cell>
          <cell r="BF686">
            <v>300</v>
          </cell>
          <cell r="BG686">
            <v>240</v>
          </cell>
          <cell r="BH686">
            <v>240</v>
          </cell>
          <cell r="BI686">
            <v>360</v>
          </cell>
          <cell r="BJ686">
            <v>300</v>
          </cell>
          <cell r="BK686">
            <v>240</v>
          </cell>
          <cell r="BL686">
            <v>360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</row>
        <row r="687">
          <cell r="A687" t="str">
            <v>CV</v>
          </cell>
          <cell r="B687" t="str">
            <v>Renault</v>
          </cell>
          <cell r="D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</row>
        <row r="688">
          <cell r="A688" t="str">
            <v>CV</v>
          </cell>
          <cell r="B688" t="str">
            <v>Renault</v>
          </cell>
          <cell r="D688" t="str">
            <v>Weekly demand</v>
          </cell>
          <cell r="Z688">
            <v>1987.5</v>
          </cell>
          <cell r="AA688">
            <v>302.5</v>
          </cell>
          <cell r="AB688">
            <v>1287.5</v>
          </cell>
          <cell r="AC688">
            <v>1697.5</v>
          </cell>
          <cell r="AD688">
            <v>1672.5</v>
          </cell>
          <cell r="AE688">
            <v>1280</v>
          </cell>
          <cell r="AF688">
            <v>1577.5</v>
          </cell>
          <cell r="AG688">
            <v>1670</v>
          </cell>
          <cell r="AH688">
            <v>1692.5</v>
          </cell>
          <cell r="AI688">
            <v>1730</v>
          </cell>
          <cell r="AJ688">
            <v>1710</v>
          </cell>
          <cell r="AK688">
            <v>1165</v>
          </cell>
          <cell r="AL688">
            <v>1729.5</v>
          </cell>
          <cell r="AM688">
            <v>1414.5</v>
          </cell>
          <cell r="AN688">
            <v>692.5</v>
          </cell>
          <cell r="AO688">
            <v>1785</v>
          </cell>
          <cell r="AP688">
            <v>1740</v>
          </cell>
          <cell r="AQ688">
            <v>1539.5</v>
          </cell>
          <cell r="AR688">
            <v>1838.5</v>
          </cell>
          <cell r="AS688">
            <v>1806</v>
          </cell>
          <cell r="AT688">
            <v>1689</v>
          </cell>
          <cell r="AU688">
            <v>1792.5</v>
          </cell>
          <cell r="AV688">
            <v>1323.5</v>
          </cell>
          <cell r="AW688">
            <v>0</v>
          </cell>
          <cell r="AX688">
            <v>0</v>
          </cell>
          <cell r="AY688">
            <v>20</v>
          </cell>
          <cell r="AZ688">
            <v>270</v>
          </cell>
          <cell r="BA688">
            <v>1138.5</v>
          </cell>
          <cell r="BB688">
            <v>2005.5</v>
          </cell>
          <cell r="BC688">
            <v>1620.5</v>
          </cell>
          <cell r="BD688">
            <v>1884</v>
          </cell>
          <cell r="BE688">
            <v>1860</v>
          </cell>
          <cell r="BF688">
            <v>1655</v>
          </cell>
          <cell r="BG688">
            <v>1793</v>
          </cell>
          <cell r="BH688">
            <v>1880</v>
          </cell>
          <cell r="BI688">
            <v>1895</v>
          </cell>
          <cell r="BJ688">
            <v>2195</v>
          </cell>
          <cell r="BK688">
            <v>1935</v>
          </cell>
          <cell r="BL688">
            <v>52069.5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</row>
        <row r="689">
          <cell r="A689" t="str">
            <v>CV</v>
          </cell>
          <cell r="B689" t="str">
            <v>Renault</v>
          </cell>
          <cell r="D689" t="str">
            <v>Stock Target</v>
          </cell>
          <cell r="Z689">
            <v>900</v>
          </cell>
          <cell r="AA689">
            <v>900</v>
          </cell>
          <cell r="AB689">
            <v>900</v>
          </cell>
          <cell r="AC689">
            <v>900</v>
          </cell>
          <cell r="AD689">
            <v>900</v>
          </cell>
          <cell r="AE689">
            <v>900</v>
          </cell>
          <cell r="AF689">
            <v>900</v>
          </cell>
          <cell r="AG689">
            <v>900</v>
          </cell>
          <cell r="AH689">
            <v>900</v>
          </cell>
          <cell r="AI689">
            <v>900</v>
          </cell>
          <cell r="AJ689">
            <v>2528</v>
          </cell>
          <cell r="AK689">
            <v>2529</v>
          </cell>
          <cell r="AL689">
            <v>2530</v>
          </cell>
          <cell r="AM689">
            <v>2531</v>
          </cell>
          <cell r="AN689">
            <v>2532</v>
          </cell>
          <cell r="AO689">
            <v>2533</v>
          </cell>
          <cell r="AP689">
            <v>2534</v>
          </cell>
          <cell r="AQ689">
            <v>2535</v>
          </cell>
          <cell r="AR689">
            <v>2536</v>
          </cell>
          <cell r="AS689">
            <v>2537</v>
          </cell>
          <cell r="AT689">
            <v>2538</v>
          </cell>
          <cell r="AU689">
            <v>2539</v>
          </cell>
          <cell r="AV689">
            <v>2540</v>
          </cell>
          <cell r="AW689">
            <v>2541</v>
          </cell>
          <cell r="AX689">
            <v>2542</v>
          </cell>
          <cell r="AY689">
            <v>2543</v>
          </cell>
          <cell r="AZ689">
            <v>2544</v>
          </cell>
          <cell r="BA689">
            <v>2545</v>
          </cell>
          <cell r="BB689">
            <v>2546</v>
          </cell>
          <cell r="BC689">
            <v>2547</v>
          </cell>
          <cell r="BD689">
            <v>2548</v>
          </cell>
          <cell r="BE689">
            <v>2549</v>
          </cell>
          <cell r="BF689">
            <v>2550</v>
          </cell>
          <cell r="BG689">
            <v>2551</v>
          </cell>
          <cell r="BH689">
            <v>2552</v>
          </cell>
          <cell r="BI689">
            <v>2553</v>
          </cell>
          <cell r="BJ689">
            <v>2554</v>
          </cell>
          <cell r="BK689">
            <v>2555</v>
          </cell>
          <cell r="BL689">
            <v>2556</v>
          </cell>
          <cell r="BM689">
            <v>2557</v>
          </cell>
          <cell r="BN689">
            <v>2558</v>
          </cell>
          <cell r="BO689">
            <v>2559</v>
          </cell>
          <cell r="BP689">
            <v>2560</v>
          </cell>
          <cell r="BQ689">
            <v>2561</v>
          </cell>
          <cell r="BR689">
            <v>2562</v>
          </cell>
          <cell r="BS689">
            <v>2563</v>
          </cell>
          <cell r="BT689">
            <v>2564</v>
          </cell>
          <cell r="BU689">
            <v>2565</v>
          </cell>
          <cell r="BV689">
            <v>2566</v>
          </cell>
        </row>
        <row r="690">
          <cell r="A690" t="str">
            <v>CV</v>
          </cell>
          <cell r="B690" t="str">
            <v>Renault</v>
          </cell>
          <cell r="D690" t="str">
            <v>FAB</v>
          </cell>
          <cell r="Z690">
            <v>1071</v>
          </cell>
          <cell r="AA690">
            <v>2105.366566656106</v>
          </cell>
          <cell r="AB690">
            <v>1205.366566656106</v>
          </cell>
          <cell r="AC690">
            <v>35.366566656105988</v>
          </cell>
          <cell r="AD690">
            <v>-1177.133433343894</v>
          </cell>
          <cell r="AE690">
            <v>-2022.133433343894</v>
          </cell>
          <cell r="AF690">
            <v>-3134.633433343894</v>
          </cell>
          <cell r="AG690">
            <v>-4344.6334333438936</v>
          </cell>
          <cell r="AH690">
            <v>-5484.6334333438936</v>
          </cell>
          <cell r="AI690">
            <v>-6699.6334333438936</v>
          </cell>
          <cell r="AJ690">
            <v>-7937.1334333438936</v>
          </cell>
          <cell r="AK690">
            <v>-8722.1334333438936</v>
          </cell>
          <cell r="AL690">
            <v>-9979.6334333438936</v>
          </cell>
          <cell r="AM690">
            <v>-11044.633433343894</v>
          </cell>
          <cell r="AN690">
            <v>-11529.633433343894</v>
          </cell>
          <cell r="AO690">
            <v>-12807.133433343894</v>
          </cell>
          <cell r="AP690">
            <v>-13969.633433343894</v>
          </cell>
          <cell r="AQ690">
            <v>-14992.133433343894</v>
          </cell>
          <cell r="AR690">
            <v>-16307.133433343894</v>
          </cell>
          <cell r="AS690">
            <v>-17627.133433343894</v>
          </cell>
          <cell r="AT690">
            <v>-18669.633433343894</v>
          </cell>
          <cell r="AU690">
            <v>-19934.633433343894</v>
          </cell>
          <cell r="AV690">
            <v>-21019.633433343894</v>
          </cell>
          <cell r="AW690">
            <v>-21019.633433343894</v>
          </cell>
          <cell r="AX690">
            <v>-21019.633433343894</v>
          </cell>
          <cell r="AY690">
            <v>-21039.633433343894</v>
          </cell>
          <cell r="AZ690">
            <v>-21099.633433343894</v>
          </cell>
          <cell r="BA690">
            <v>-21832.133433343894</v>
          </cell>
          <cell r="BB690">
            <v>-23189.633433343894</v>
          </cell>
          <cell r="BC690">
            <v>-24304.633433343894</v>
          </cell>
          <cell r="BD690">
            <v>-25634.633433343894</v>
          </cell>
          <cell r="BE690">
            <v>-26917.133433343894</v>
          </cell>
          <cell r="BF690">
            <v>-28042.133433343894</v>
          </cell>
          <cell r="BG690">
            <v>-29317.133433343894</v>
          </cell>
          <cell r="BH690">
            <v>-30677.133433343894</v>
          </cell>
          <cell r="BI690">
            <v>-31999.633433343894</v>
          </cell>
          <cell r="BJ690">
            <v>-33622.133433343894</v>
          </cell>
          <cell r="BK690">
            <v>-35042.133433343894</v>
          </cell>
          <cell r="BL690">
            <v>-36184.633433343894</v>
          </cell>
          <cell r="BM690">
            <v>-36184.633433343894</v>
          </cell>
          <cell r="BN690">
            <v>-36184.633433343894</v>
          </cell>
          <cell r="BO690">
            <v>-36184.633433343894</v>
          </cell>
          <cell r="BP690">
            <v>-36184.633433343894</v>
          </cell>
          <cell r="BQ690">
            <v>-36184.633433343894</v>
          </cell>
          <cell r="BR690">
            <v>-36184.633433343894</v>
          </cell>
          <cell r="BS690">
            <v>-36184.633433343894</v>
          </cell>
          <cell r="BT690">
            <v>-36184.633433343894</v>
          </cell>
          <cell r="BU690">
            <v>-36184.633433343894</v>
          </cell>
          <cell r="BV690">
            <v>-36184.633433343894</v>
          </cell>
        </row>
        <row r="691">
          <cell r="A691" t="str">
            <v>CV</v>
          </cell>
          <cell r="B691" t="str">
            <v>Renault</v>
          </cell>
          <cell r="D691" t="str">
            <v>LTH</v>
          </cell>
          <cell r="Z691">
            <v>60</v>
          </cell>
          <cell r="AA691">
            <v>246.83770213308912</v>
          </cell>
          <cell r="AB691">
            <v>39.337702133089124</v>
          </cell>
          <cell r="AC691">
            <v>-248.16229786691088</v>
          </cell>
          <cell r="AD691">
            <v>-468.16229786691088</v>
          </cell>
          <cell r="AE691">
            <v>-723.16229786691088</v>
          </cell>
          <cell r="AF691">
            <v>-948.16229786691088</v>
          </cell>
          <cell r="AG691">
            <v>-1168.1622978669109</v>
          </cell>
          <cell r="AH691">
            <v>-1480.6622978669109</v>
          </cell>
          <cell r="AI691">
            <v>-1755.6622978669109</v>
          </cell>
          <cell r="AJ691">
            <v>-1973.1622978669109</v>
          </cell>
          <cell r="AK691">
            <v>-2173.1622978669111</v>
          </cell>
          <cell r="AL691">
            <v>-2403.1622978669111</v>
          </cell>
          <cell r="AM691">
            <v>-2570.6622978669111</v>
          </cell>
          <cell r="AN691">
            <v>-2658.1622978669111</v>
          </cell>
          <cell r="AO691">
            <v>-2925.6622978669111</v>
          </cell>
          <cell r="AP691">
            <v>-3143.1622978669111</v>
          </cell>
          <cell r="AQ691">
            <v>-3358.1622978669111</v>
          </cell>
          <cell r="AR691">
            <v>-3635.6622978669111</v>
          </cell>
          <cell r="AS691">
            <v>-3875.6622978669111</v>
          </cell>
          <cell r="AT691">
            <v>-4158.1622978669111</v>
          </cell>
          <cell r="AU691">
            <v>-4435.6622978669111</v>
          </cell>
          <cell r="AV691">
            <v>-4674.1622978669111</v>
          </cell>
          <cell r="AW691">
            <v>-4674.1622978669111</v>
          </cell>
          <cell r="AX691">
            <v>-4674.1622978669111</v>
          </cell>
          <cell r="AY691">
            <v>-4674.1622978669111</v>
          </cell>
          <cell r="AZ691">
            <v>-4704.1622978669111</v>
          </cell>
          <cell r="BA691">
            <v>-4862.1622978669111</v>
          </cell>
          <cell r="BB691">
            <v>-5206.1622978669111</v>
          </cell>
          <cell r="BC691">
            <v>-5469.6622978669111</v>
          </cell>
          <cell r="BD691">
            <v>-5723.6622978669111</v>
          </cell>
          <cell r="BE691">
            <v>-6061.1622978669111</v>
          </cell>
          <cell r="BF691">
            <v>-6291.1622978669111</v>
          </cell>
          <cell r="BG691">
            <v>-6569.1622978669111</v>
          </cell>
          <cell r="BH691">
            <v>-6849.1622978669111</v>
          </cell>
          <cell r="BI691">
            <v>-7061.6622978669111</v>
          </cell>
          <cell r="BJ691">
            <v>-7334.1622978669111</v>
          </cell>
          <cell r="BK691">
            <v>-7609.1622978669111</v>
          </cell>
          <cell r="BL691">
            <v>-7869.1622978669111</v>
          </cell>
          <cell r="BM691">
            <v>-7869.1622978669111</v>
          </cell>
          <cell r="BN691">
            <v>-7869.1622978669111</v>
          </cell>
          <cell r="BO691">
            <v>-7869.1622978669111</v>
          </cell>
          <cell r="BP691">
            <v>-7869.1622978669111</v>
          </cell>
          <cell r="BQ691">
            <v>-7869.1622978669111</v>
          </cell>
          <cell r="BR691">
            <v>-7869.1622978669111</v>
          </cell>
          <cell r="BS691">
            <v>-7869.1622978669111</v>
          </cell>
          <cell r="BT691">
            <v>-7869.1622978669111</v>
          </cell>
          <cell r="BU691">
            <v>-7869.1622978669111</v>
          </cell>
          <cell r="BV691">
            <v>-7869.1622978669111</v>
          </cell>
        </row>
        <row r="692">
          <cell r="A692" t="str">
            <v>CV</v>
          </cell>
          <cell r="B692" t="str">
            <v>Renault</v>
          </cell>
          <cell r="D692" t="str">
            <v>MIL</v>
          </cell>
          <cell r="Z692">
            <v>4</v>
          </cell>
          <cell r="AA692">
            <v>19.713477779900909</v>
          </cell>
          <cell r="AB692">
            <v>19.713477779900909</v>
          </cell>
          <cell r="AC692">
            <v>19.713477779900909</v>
          </cell>
          <cell r="AD692">
            <v>19.713477779900909</v>
          </cell>
          <cell r="AE692">
            <v>19.713477779900909</v>
          </cell>
          <cell r="AF692">
            <v>19.713477779900909</v>
          </cell>
          <cell r="AG692">
            <v>19.713477779900909</v>
          </cell>
          <cell r="AH692">
            <v>19.713477779900909</v>
          </cell>
          <cell r="AI692">
            <v>19.713477779900909</v>
          </cell>
          <cell r="AJ692">
            <v>4.7134777799009093</v>
          </cell>
          <cell r="AK692">
            <v>4.7134777799009093</v>
          </cell>
          <cell r="AL692">
            <v>2.7134777799009093</v>
          </cell>
          <cell r="AM692">
            <v>0.71347777990090933</v>
          </cell>
          <cell r="AN692">
            <v>0.71347777990090933</v>
          </cell>
          <cell r="AO692">
            <v>0.71347777990090933</v>
          </cell>
          <cell r="AP692">
            <v>0.71347777990090933</v>
          </cell>
          <cell r="AQ692">
            <v>-1.2865222200990907</v>
          </cell>
          <cell r="AR692">
            <v>-7.2865222200990907</v>
          </cell>
          <cell r="AS692">
            <v>-13.286522220099091</v>
          </cell>
          <cell r="AT692">
            <v>-17.286522220099091</v>
          </cell>
          <cell r="AU692">
            <v>-27.286522220099091</v>
          </cell>
          <cell r="AV692">
            <v>-27.286522220099091</v>
          </cell>
          <cell r="AW692">
            <v>-27.286522220099091</v>
          </cell>
          <cell r="AX692">
            <v>-27.286522220099091</v>
          </cell>
          <cell r="AY692">
            <v>-27.286522220099091</v>
          </cell>
          <cell r="AZ692">
            <v>-27.286522220099091</v>
          </cell>
          <cell r="BA692">
            <v>-35.286522220099087</v>
          </cell>
          <cell r="BB692">
            <v>-39.286522220099087</v>
          </cell>
          <cell r="BC692">
            <v>-41.286522220099087</v>
          </cell>
          <cell r="BD692">
            <v>-41.286522220099087</v>
          </cell>
          <cell r="BE692">
            <v>-41.286522220099087</v>
          </cell>
          <cell r="BF692">
            <v>-41.286522220099087</v>
          </cell>
          <cell r="BG692">
            <v>-41.286522220099087</v>
          </cell>
          <cell r="BH692">
            <v>-41.286522220099087</v>
          </cell>
          <cell r="BI692">
            <v>-41.286522220099087</v>
          </cell>
          <cell r="BJ692">
            <v>-41.286522220099087</v>
          </cell>
          <cell r="BK692">
            <v>-41.286522220099087</v>
          </cell>
          <cell r="BL692">
            <v>-41.286522220099087</v>
          </cell>
          <cell r="BM692">
            <v>-41.286522220099087</v>
          </cell>
          <cell r="BN692">
            <v>-41.286522220099087</v>
          </cell>
          <cell r="BO692">
            <v>-41.286522220099087</v>
          </cell>
          <cell r="BP692">
            <v>-41.286522220099087</v>
          </cell>
          <cell r="BQ692">
            <v>-41.286522220099087</v>
          </cell>
          <cell r="BR692">
            <v>-41.286522220099087</v>
          </cell>
          <cell r="BS692">
            <v>-41.286522220099087</v>
          </cell>
          <cell r="BT692">
            <v>-41.286522220099087</v>
          </cell>
          <cell r="BU692">
            <v>-41.286522220099087</v>
          </cell>
          <cell r="BV692">
            <v>-41.286522220099087</v>
          </cell>
        </row>
        <row r="693">
          <cell r="A693" t="str">
            <v>CV</v>
          </cell>
          <cell r="B693" t="str">
            <v>Renault</v>
          </cell>
          <cell r="D693" t="str">
            <v>NECKREST</v>
          </cell>
          <cell r="Z693">
            <v>0</v>
          </cell>
          <cell r="AA693">
            <v>-60</v>
          </cell>
          <cell r="AB693">
            <v>-240</v>
          </cell>
          <cell r="AC693">
            <v>-480</v>
          </cell>
          <cell r="AD693">
            <v>-720</v>
          </cell>
          <cell r="AE693">
            <v>-900</v>
          </cell>
          <cell r="AF693">
            <v>-1140</v>
          </cell>
          <cell r="AG693">
            <v>-1380</v>
          </cell>
          <cell r="AH693">
            <v>-1620</v>
          </cell>
          <cell r="AI693">
            <v>-1860</v>
          </cell>
          <cell r="AJ693">
            <v>-2100</v>
          </cell>
          <cell r="AK693">
            <v>-2280</v>
          </cell>
          <cell r="AL693">
            <v>-2520</v>
          </cell>
          <cell r="AM693">
            <v>-2700</v>
          </cell>
          <cell r="AN693">
            <v>-2820</v>
          </cell>
          <cell r="AO693">
            <v>-3060</v>
          </cell>
          <cell r="AP693">
            <v>-3420</v>
          </cell>
          <cell r="AQ693">
            <v>-3720</v>
          </cell>
          <cell r="AR693">
            <v>-3960</v>
          </cell>
          <cell r="AS693">
            <v>-4200</v>
          </cell>
          <cell r="AT693">
            <v>-4560</v>
          </cell>
          <cell r="AU693">
            <v>-4800</v>
          </cell>
          <cell r="AV693">
            <v>-4800</v>
          </cell>
          <cell r="AW693">
            <v>-4800</v>
          </cell>
          <cell r="AX693">
            <v>-4800</v>
          </cell>
          <cell r="AY693">
            <v>-4800</v>
          </cell>
          <cell r="AZ693">
            <v>-4980</v>
          </cell>
          <cell r="BA693">
            <v>-5220</v>
          </cell>
          <cell r="BB693">
            <v>-5520</v>
          </cell>
          <cell r="BC693">
            <v>-5760</v>
          </cell>
          <cell r="BD693">
            <v>-6060</v>
          </cell>
          <cell r="BE693">
            <v>-6300</v>
          </cell>
          <cell r="BF693">
            <v>-6600</v>
          </cell>
          <cell r="BG693">
            <v>-6840</v>
          </cell>
          <cell r="BH693">
            <v>-7080</v>
          </cell>
          <cell r="BI693">
            <v>-7440</v>
          </cell>
          <cell r="BJ693">
            <v>-7740</v>
          </cell>
          <cell r="BK693">
            <v>-7980</v>
          </cell>
          <cell r="BL693">
            <v>-8340</v>
          </cell>
          <cell r="BM693">
            <v>-8340</v>
          </cell>
          <cell r="BN693">
            <v>-8340</v>
          </cell>
          <cell r="BO693">
            <v>-8340</v>
          </cell>
          <cell r="BP693">
            <v>-8340</v>
          </cell>
          <cell r="BQ693">
            <v>-8340</v>
          </cell>
          <cell r="BR693">
            <v>-8340</v>
          </cell>
          <cell r="BS693">
            <v>-8340</v>
          </cell>
          <cell r="BT693">
            <v>-8340</v>
          </cell>
          <cell r="BU693">
            <v>-8340</v>
          </cell>
          <cell r="BV693">
            <v>-8340</v>
          </cell>
        </row>
        <row r="694">
          <cell r="A694" t="str">
            <v>CV</v>
          </cell>
          <cell r="B694" t="str">
            <v>Renault</v>
          </cell>
          <cell r="D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</row>
        <row r="695">
          <cell r="A695" t="str">
            <v>CV</v>
          </cell>
          <cell r="B695" t="str">
            <v>Renault</v>
          </cell>
          <cell r="D695" t="str">
            <v>STOCK</v>
          </cell>
          <cell r="Z695">
            <v>1135</v>
          </cell>
          <cell r="AA695">
            <v>2456.6797072185768</v>
          </cell>
          <cell r="AB695">
            <v>2668.4225138818783</v>
          </cell>
          <cell r="AC695">
            <v>2470.1653205451798</v>
          </cell>
          <cell r="AD695">
            <v>1697.2110045431609</v>
          </cell>
          <cell r="AE695">
            <v>1916.4538112064624</v>
          </cell>
          <cell r="AF695">
            <v>1838.1966178697639</v>
          </cell>
          <cell r="AG695">
            <v>1667.4394245330654</v>
          </cell>
          <cell r="AH695">
            <v>1474.182231196367</v>
          </cell>
          <cell r="AI695">
            <v>1243.4250378596685</v>
          </cell>
          <cell r="AJ695">
            <v>1032.66784452297</v>
          </cell>
          <cell r="AK695">
            <v>1067.0620898536113</v>
          </cell>
          <cell r="AL695">
            <v>536.95633518425257</v>
          </cell>
          <cell r="AM695">
            <v>621.69914184755407</v>
          </cell>
          <cell r="AN695">
            <v>1128.5933871781954</v>
          </cell>
          <cell r="AO695">
            <v>842.83619384149688</v>
          </cell>
          <cell r="AP695">
            <v>738.37380111055313</v>
          </cell>
          <cell r="AQ695">
            <v>834.41140837960938</v>
          </cell>
          <cell r="AR695">
            <v>631.44901564866564</v>
          </cell>
          <cell r="AS695">
            <v>460.98662291772189</v>
          </cell>
          <cell r="AT695">
            <v>407.52423018677814</v>
          </cell>
          <cell r="AU695">
            <v>250.56183745583439</v>
          </cell>
          <cell r="AV695">
            <v>562.59944472489065</v>
          </cell>
          <cell r="AW695">
            <v>2198.1370519939469</v>
          </cell>
          <cell r="AX695">
            <v>3833.6746592630034</v>
          </cell>
          <cell r="AY695">
            <v>3813.6746592630034</v>
          </cell>
          <cell r="AZ695">
            <v>3543.6746592630034</v>
          </cell>
          <cell r="BA695">
            <v>2405.1746592630034</v>
          </cell>
          <cell r="BB695">
            <v>399.67465926300338</v>
          </cell>
          <cell r="BC695">
            <v>142.12266532055037</v>
          </cell>
          <cell r="BD695">
            <v>-378.92932862190264</v>
          </cell>
          <cell r="BE695">
            <v>-875.98132256435565</v>
          </cell>
          <cell r="BF695">
            <v>-1168.0333165068087</v>
          </cell>
          <cell r="BG695">
            <v>-1598.0853104492617</v>
          </cell>
          <cell r="BH695">
            <v>-2115.1373043917147</v>
          </cell>
          <cell r="BI695">
            <v>-2647.1892983341677</v>
          </cell>
          <cell r="BJ695">
            <v>-3479.2412922766207</v>
          </cell>
          <cell r="BK695">
            <v>-4051.2932862190737</v>
          </cell>
          <cell r="BL695">
            <v>-54757.845280161528</v>
          </cell>
          <cell r="BM695">
            <v>-53394.897274103983</v>
          </cell>
          <cell r="BN695">
            <v>-52031.949268046439</v>
          </cell>
          <cell r="BO695">
            <v>-50669.001261988895</v>
          </cell>
          <cell r="BP695">
            <v>-49306.053255931351</v>
          </cell>
          <cell r="BQ695">
            <v>-47943.105249873806</v>
          </cell>
          <cell r="BR695">
            <v>-46580.157243816262</v>
          </cell>
          <cell r="BS695">
            <v>-45217.209237758718</v>
          </cell>
          <cell r="BT695">
            <v>-43854.261231701174</v>
          </cell>
          <cell r="BU695">
            <v>-42491.313225643629</v>
          </cell>
          <cell r="BV695">
            <v>-41128.365219586085</v>
          </cell>
        </row>
        <row r="696">
          <cell r="A696" t="str">
            <v>Blank</v>
          </cell>
          <cell r="B696" t="str">
            <v>Blank</v>
          </cell>
          <cell r="D696" t="str">
            <v>Blank</v>
          </cell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</row>
        <row r="697">
          <cell r="A697" t="str">
            <v>Renault</v>
          </cell>
          <cell r="B697" t="str">
            <v>BJA</v>
          </cell>
          <cell r="D697" t="str">
            <v>Work days</v>
          </cell>
          <cell r="Z697">
            <v>5</v>
          </cell>
          <cell r="AA697">
            <v>5</v>
          </cell>
          <cell r="AB697">
            <v>5</v>
          </cell>
          <cell r="AC697">
            <v>5</v>
          </cell>
          <cell r="AD697">
            <v>3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4</v>
          </cell>
          <cell r="AL697">
            <v>4</v>
          </cell>
          <cell r="AM697">
            <v>5</v>
          </cell>
          <cell r="AN697">
            <v>4</v>
          </cell>
          <cell r="AO697">
            <v>5</v>
          </cell>
          <cell r="AP697">
            <v>5</v>
          </cell>
          <cell r="AQ697">
            <v>5</v>
          </cell>
          <cell r="AR697">
            <v>5</v>
          </cell>
          <cell r="AS697">
            <v>5</v>
          </cell>
          <cell r="AT697">
            <v>5</v>
          </cell>
          <cell r="AU697">
            <v>5</v>
          </cell>
          <cell r="AV697">
            <v>5</v>
          </cell>
          <cell r="AW697">
            <v>5</v>
          </cell>
          <cell r="AX697">
            <v>5</v>
          </cell>
          <cell r="AY697">
            <v>5</v>
          </cell>
          <cell r="AZ697">
            <v>0</v>
          </cell>
          <cell r="BA697">
            <v>0</v>
          </cell>
          <cell r="BB697">
            <v>5</v>
          </cell>
          <cell r="BC697">
            <v>5</v>
          </cell>
          <cell r="BD697">
            <v>5</v>
          </cell>
          <cell r="BE697">
            <v>5</v>
          </cell>
          <cell r="BF697">
            <v>5</v>
          </cell>
          <cell r="BG697">
            <v>5</v>
          </cell>
          <cell r="BH697">
            <v>5</v>
          </cell>
          <cell r="BI697">
            <v>5</v>
          </cell>
          <cell r="BJ697">
            <v>5</v>
          </cell>
          <cell r="BK697">
            <v>5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</row>
        <row r="698">
          <cell r="A698" t="str">
            <v>Renault</v>
          </cell>
          <cell r="B698" t="str">
            <v>BJA</v>
          </cell>
          <cell r="D698" t="str">
            <v>SHIFT A HC - operators</v>
          </cell>
          <cell r="Z698">
            <v>7</v>
          </cell>
          <cell r="AA698">
            <v>7</v>
          </cell>
          <cell r="AB698">
            <v>7</v>
          </cell>
          <cell r="AC698">
            <v>7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</row>
        <row r="699">
          <cell r="A699" t="str">
            <v>Renault</v>
          </cell>
          <cell r="B699" t="str">
            <v>BJA</v>
          </cell>
          <cell r="D699" t="str">
            <v>SHIFT B HC  - operators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</row>
        <row r="700">
          <cell r="A700" t="str">
            <v>Renault</v>
          </cell>
          <cell r="B700" t="str">
            <v>BJA</v>
          </cell>
          <cell r="D700" t="str">
            <v>SHIFT C HC  - operators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</row>
        <row r="701">
          <cell r="A701" t="str">
            <v>Renault</v>
          </cell>
          <cell r="B701" t="str">
            <v>BJA</v>
          </cell>
          <cell r="D701" t="str">
            <v>Total HC</v>
          </cell>
          <cell r="Z701">
            <v>7</v>
          </cell>
          <cell r="AA701">
            <v>7</v>
          </cell>
          <cell r="AB701">
            <v>7</v>
          </cell>
          <cell r="AC701">
            <v>7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</row>
        <row r="702">
          <cell r="A702" t="str">
            <v>Renault</v>
          </cell>
          <cell r="B702" t="str">
            <v>BJA</v>
          </cell>
          <cell r="D702" t="str">
            <v>SHIFT A HC  - efficiency</v>
          </cell>
          <cell r="Z702">
            <v>1.25</v>
          </cell>
          <cell r="AA702">
            <v>1.25</v>
          </cell>
          <cell r="AB702">
            <v>1.25</v>
          </cell>
          <cell r="AC702">
            <v>1.25</v>
          </cell>
          <cell r="AD702">
            <v>1.25</v>
          </cell>
          <cell r="AE702">
            <v>1</v>
          </cell>
          <cell r="AF702">
            <v>1</v>
          </cell>
          <cell r="AG702">
            <v>1</v>
          </cell>
          <cell r="AH702">
            <v>1</v>
          </cell>
          <cell r="AI702">
            <v>1</v>
          </cell>
          <cell r="AJ702">
            <v>1</v>
          </cell>
          <cell r="AK702">
            <v>1</v>
          </cell>
          <cell r="AL702">
            <v>1</v>
          </cell>
          <cell r="AM702">
            <v>1</v>
          </cell>
          <cell r="AN702">
            <v>1</v>
          </cell>
          <cell r="AO702">
            <v>1</v>
          </cell>
          <cell r="AP702">
            <v>1</v>
          </cell>
          <cell r="AQ702">
            <v>1</v>
          </cell>
          <cell r="AR702">
            <v>1</v>
          </cell>
          <cell r="AS702">
            <v>1</v>
          </cell>
          <cell r="AT702">
            <v>1.2</v>
          </cell>
          <cell r="AU702">
            <v>1.2</v>
          </cell>
          <cell r="AV702">
            <v>1.2</v>
          </cell>
          <cell r="AW702">
            <v>1.2</v>
          </cell>
          <cell r="AX702">
            <v>1.2</v>
          </cell>
          <cell r="AY702">
            <v>1.2</v>
          </cell>
          <cell r="AZ702">
            <v>1.2</v>
          </cell>
          <cell r="BA702">
            <v>1.2</v>
          </cell>
          <cell r="BB702">
            <v>1.2</v>
          </cell>
          <cell r="BC702">
            <v>1.2</v>
          </cell>
          <cell r="BD702">
            <v>1.2</v>
          </cell>
          <cell r="BE702">
            <v>1.2</v>
          </cell>
          <cell r="BF702">
            <v>1.2</v>
          </cell>
          <cell r="BG702">
            <v>1.2</v>
          </cell>
          <cell r="BH702">
            <v>1.2</v>
          </cell>
          <cell r="BI702">
            <v>1.2</v>
          </cell>
          <cell r="BJ702">
            <v>1.2</v>
          </cell>
          <cell r="BK702">
            <v>1.2</v>
          </cell>
          <cell r="BL702">
            <v>1.2</v>
          </cell>
          <cell r="BM702">
            <v>1.2</v>
          </cell>
          <cell r="BN702">
            <v>1.2</v>
          </cell>
          <cell r="BO702">
            <v>1.2</v>
          </cell>
          <cell r="BP702">
            <v>1.2</v>
          </cell>
          <cell r="BQ702">
            <v>1.2</v>
          </cell>
          <cell r="BR702">
            <v>1.2</v>
          </cell>
          <cell r="BS702">
            <v>1.2</v>
          </cell>
          <cell r="BT702">
            <v>1.2</v>
          </cell>
          <cell r="BU702">
            <v>1.2</v>
          </cell>
          <cell r="BV702">
            <v>1.2</v>
          </cell>
        </row>
        <row r="703">
          <cell r="A703" t="str">
            <v>Renault</v>
          </cell>
          <cell r="B703" t="str">
            <v>BJA</v>
          </cell>
          <cell r="D703" t="str">
            <v>SHIFT B HC  - efficiency</v>
          </cell>
          <cell r="Z703">
            <v>1</v>
          </cell>
          <cell r="AA703">
            <v>1</v>
          </cell>
          <cell r="AB703">
            <v>1</v>
          </cell>
          <cell r="AC703">
            <v>1</v>
          </cell>
          <cell r="AD703">
            <v>1</v>
          </cell>
          <cell r="AE703">
            <v>1</v>
          </cell>
          <cell r="AF703">
            <v>1</v>
          </cell>
          <cell r="AG703">
            <v>1</v>
          </cell>
          <cell r="AH703">
            <v>1</v>
          </cell>
          <cell r="AI703">
            <v>1</v>
          </cell>
          <cell r="AJ703">
            <v>1</v>
          </cell>
          <cell r="AK703">
            <v>1</v>
          </cell>
          <cell r="AL703">
            <v>1</v>
          </cell>
          <cell r="AM703">
            <v>1</v>
          </cell>
          <cell r="AN703">
            <v>1</v>
          </cell>
          <cell r="AO703">
            <v>1</v>
          </cell>
          <cell r="AP703">
            <v>1</v>
          </cell>
          <cell r="AQ703">
            <v>1</v>
          </cell>
          <cell r="AR703">
            <v>1</v>
          </cell>
          <cell r="AS703">
            <v>1</v>
          </cell>
          <cell r="AT703">
            <v>1</v>
          </cell>
          <cell r="AU703">
            <v>1</v>
          </cell>
          <cell r="AV703">
            <v>1</v>
          </cell>
          <cell r="AW703">
            <v>1</v>
          </cell>
          <cell r="AX703">
            <v>1</v>
          </cell>
          <cell r="AY703">
            <v>1</v>
          </cell>
          <cell r="AZ703">
            <v>1</v>
          </cell>
          <cell r="BA703">
            <v>1</v>
          </cell>
          <cell r="BB703">
            <v>1</v>
          </cell>
          <cell r="BC703">
            <v>1</v>
          </cell>
          <cell r="BD703">
            <v>1</v>
          </cell>
          <cell r="BE703">
            <v>1</v>
          </cell>
          <cell r="BF703">
            <v>1</v>
          </cell>
          <cell r="BG703">
            <v>1</v>
          </cell>
          <cell r="BH703">
            <v>1</v>
          </cell>
          <cell r="BI703">
            <v>1</v>
          </cell>
          <cell r="BJ703">
            <v>1</v>
          </cell>
          <cell r="BK703">
            <v>1</v>
          </cell>
          <cell r="BL703">
            <v>1</v>
          </cell>
          <cell r="BM703">
            <v>1</v>
          </cell>
          <cell r="BN703">
            <v>1</v>
          </cell>
          <cell r="BO703">
            <v>1</v>
          </cell>
          <cell r="BP703">
            <v>1</v>
          </cell>
          <cell r="BQ703">
            <v>1</v>
          </cell>
          <cell r="BR703">
            <v>1</v>
          </cell>
          <cell r="BS703">
            <v>1</v>
          </cell>
          <cell r="BT703">
            <v>1</v>
          </cell>
          <cell r="BU703">
            <v>1</v>
          </cell>
          <cell r="BV703">
            <v>1</v>
          </cell>
        </row>
        <row r="704">
          <cell r="A704" t="str">
            <v>Renault</v>
          </cell>
          <cell r="B704" t="str">
            <v>BJA</v>
          </cell>
          <cell r="D704" t="str">
            <v>SHIFT C HC  - efficiency</v>
          </cell>
          <cell r="Z704">
            <v>1</v>
          </cell>
          <cell r="AA704">
            <v>1</v>
          </cell>
          <cell r="AB704">
            <v>1</v>
          </cell>
          <cell r="AC704">
            <v>1</v>
          </cell>
          <cell r="AD704">
            <v>1</v>
          </cell>
          <cell r="AE704">
            <v>1</v>
          </cell>
          <cell r="AF704">
            <v>1</v>
          </cell>
          <cell r="AG704">
            <v>1</v>
          </cell>
          <cell r="AH704">
            <v>1</v>
          </cell>
          <cell r="AI704">
            <v>1</v>
          </cell>
          <cell r="AJ704">
            <v>1</v>
          </cell>
          <cell r="AK704">
            <v>1</v>
          </cell>
          <cell r="AL704">
            <v>1</v>
          </cell>
          <cell r="AM704">
            <v>1</v>
          </cell>
          <cell r="AN704">
            <v>1</v>
          </cell>
          <cell r="AO704">
            <v>1</v>
          </cell>
          <cell r="AP704">
            <v>1</v>
          </cell>
          <cell r="AQ704">
            <v>1</v>
          </cell>
          <cell r="AR704">
            <v>1</v>
          </cell>
          <cell r="AS704">
            <v>1</v>
          </cell>
          <cell r="AT704">
            <v>1</v>
          </cell>
          <cell r="AU704">
            <v>1</v>
          </cell>
          <cell r="AV704">
            <v>1</v>
          </cell>
          <cell r="AW704">
            <v>1</v>
          </cell>
          <cell r="AX704">
            <v>1</v>
          </cell>
          <cell r="AY704">
            <v>1</v>
          </cell>
          <cell r="AZ704">
            <v>1</v>
          </cell>
          <cell r="BA704">
            <v>1</v>
          </cell>
          <cell r="BB704">
            <v>1</v>
          </cell>
          <cell r="BC704">
            <v>1</v>
          </cell>
          <cell r="BD704">
            <v>1</v>
          </cell>
          <cell r="BE704">
            <v>1</v>
          </cell>
          <cell r="BF704">
            <v>1</v>
          </cell>
          <cell r="BG704">
            <v>1</v>
          </cell>
          <cell r="BH704">
            <v>1</v>
          </cell>
          <cell r="BI704">
            <v>1</v>
          </cell>
          <cell r="BJ704">
            <v>1</v>
          </cell>
          <cell r="BK704">
            <v>1</v>
          </cell>
          <cell r="BL704">
            <v>1</v>
          </cell>
          <cell r="BM704">
            <v>1</v>
          </cell>
          <cell r="BN704">
            <v>1</v>
          </cell>
          <cell r="BO704">
            <v>1</v>
          </cell>
          <cell r="BP704">
            <v>1</v>
          </cell>
          <cell r="BQ704">
            <v>1</v>
          </cell>
          <cell r="BR704">
            <v>1</v>
          </cell>
          <cell r="BS704">
            <v>1</v>
          </cell>
          <cell r="BT704">
            <v>1</v>
          </cell>
          <cell r="BU704">
            <v>1</v>
          </cell>
          <cell r="BV704">
            <v>1</v>
          </cell>
        </row>
        <row r="705">
          <cell r="A705" t="str">
            <v>Renault</v>
          </cell>
          <cell r="B705" t="str">
            <v>BJA</v>
          </cell>
          <cell r="D705" t="str">
            <v>Total efficiency</v>
          </cell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</row>
        <row r="706">
          <cell r="A706" t="str">
            <v>Renault</v>
          </cell>
          <cell r="B706" t="str">
            <v>BJA</v>
          </cell>
          <cell r="D706" t="str">
            <v>SHIFT A - output</v>
          </cell>
          <cell r="Z706">
            <v>643.27724228067291</v>
          </cell>
          <cell r="AA706">
            <v>643.27724228067291</v>
          </cell>
          <cell r="AB706">
            <v>643.27724228067291</v>
          </cell>
          <cell r="AC706">
            <v>643.27724228067291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</row>
        <row r="707">
          <cell r="A707" t="str">
            <v>Renault</v>
          </cell>
          <cell r="B707" t="str">
            <v>BJA</v>
          </cell>
          <cell r="D707" t="str">
            <v>SHIFT B  - output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</row>
        <row r="708">
          <cell r="A708" t="str">
            <v>Renault</v>
          </cell>
          <cell r="B708" t="str">
            <v>BJA</v>
          </cell>
          <cell r="D708" t="str">
            <v>SHIFT C  - output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</row>
        <row r="709">
          <cell r="A709" t="str">
            <v>Renault</v>
          </cell>
          <cell r="B709" t="str">
            <v>BJA</v>
          </cell>
          <cell r="D709" t="str">
            <v>Est. Output (Pcs day)</v>
          </cell>
          <cell r="E709">
            <v>6.1210000000000004</v>
          </cell>
          <cell r="Z709">
            <v>643.27724228067291</v>
          </cell>
          <cell r="AA709">
            <v>643.27724228067291</v>
          </cell>
          <cell r="AB709">
            <v>643.27724228067291</v>
          </cell>
          <cell r="AC709">
            <v>643.27724228067291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</row>
        <row r="710">
          <cell r="A710" t="str">
            <v>Renault</v>
          </cell>
          <cell r="B710" t="str">
            <v>BJA</v>
          </cell>
          <cell r="D710" t="str">
            <v>Weekly Output PLAN</v>
          </cell>
          <cell r="E710" t="str">
            <v>SEW</v>
          </cell>
          <cell r="Z710">
            <v>3216.3862114033645</v>
          </cell>
          <cell r="AA710">
            <v>3216.3862114033645</v>
          </cell>
          <cell r="AB710">
            <v>3216.3862114033645</v>
          </cell>
          <cell r="AC710">
            <v>3216.3862114033645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</row>
        <row r="711">
          <cell r="A711" t="str">
            <v>Renault</v>
          </cell>
          <cell r="B711" t="str">
            <v>BJA</v>
          </cell>
          <cell r="D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</row>
        <row r="712">
          <cell r="A712" t="str">
            <v>Renault</v>
          </cell>
          <cell r="B712" t="str">
            <v>BJA</v>
          </cell>
          <cell r="D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</row>
        <row r="713">
          <cell r="A713" t="str">
            <v>Renault</v>
          </cell>
          <cell r="B713" t="str">
            <v>BJA</v>
          </cell>
          <cell r="D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</row>
        <row r="714">
          <cell r="A714" t="str">
            <v>Renault</v>
          </cell>
          <cell r="B714" t="str">
            <v>BJA</v>
          </cell>
          <cell r="D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</row>
        <row r="715">
          <cell r="A715" t="str">
            <v>Renault</v>
          </cell>
          <cell r="B715" t="str">
            <v>BJA</v>
          </cell>
          <cell r="D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</row>
        <row r="716">
          <cell r="A716" t="str">
            <v>Renault</v>
          </cell>
          <cell r="B716" t="str">
            <v>BJA</v>
          </cell>
          <cell r="D716" t="str">
            <v>Weekly Output PLAN - SUM of models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</row>
        <row r="717">
          <cell r="A717" t="str">
            <v>Renault</v>
          </cell>
          <cell r="B717" t="str">
            <v>BJA</v>
          </cell>
          <cell r="D717" t="str">
            <v>Weekly Output CHECK with TO time multiple</v>
          </cell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</row>
        <row r="718">
          <cell r="A718" t="str">
            <v>Renault</v>
          </cell>
          <cell r="B718" t="str">
            <v>BJA</v>
          </cell>
          <cell r="D718" t="str">
            <v>Weekly Output ACT</v>
          </cell>
          <cell r="Z718">
            <v>3216.3862114033645</v>
          </cell>
          <cell r="AA718">
            <v>3216.3862114033645</v>
          </cell>
          <cell r="AB718">
            <v>3216.3862114033645</v>
          </cell>
          <cell r="AC718">
            <v>3216.3862114033645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</row>
        <row r="719">
          <cell r="A719" t="str">
            <v>Renault</v>
          </cell>
          <cell r="B719" t="str">
            <v>BJA</v>
          </cell>
          <cell r="D719">
            <v>0</v>
          </cell>
          <cell r="Z719">
            <v>1000</v>
          </cell>
          <cell r="AA719">
            <v>400</v>
          </cell>
          <cell r="AB719">
            <v>1200</v>
          </cell>
          <cell r="AC719">
            <v>600</v>
          </cell>
          <cell r="AD719">
            <v>1400</v>
          </cell>
          <cell r="AE719">
            <v>1400</v>
          </cell>
          <cell r="AF719">
            <v>1200</v>
          </cell>
          <cell r="AG719">
            <v>1400</v>
          </cell>
          <cell r="AH719">
            <v>800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</row>
        <row r="720">
          <cell r="A720" t="str">
            <v>Renault</v>
          </cell>
          <cell r="B720" t="str">
            <v>BJA</v>
          </cell>
          <cell r="D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</row>
        <row r="721">
          <cell r="A721" t="str">
            <v>Renault</v>
          </cell>
          <cell r="B721" t="str">
            <v>BJA</v>
          </cell>
          <cell r="D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</row>
        <row r="722">
          <cell r="A722" t="str">
            <v>Renault</v>
          </cell>
          <cell r="B722" t="str">
            <v>BJA</v>
          </cell>
          <cell r="D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</row>
        <row r="723">
          <cell r="A723" t="str">
            <v>Renault</v>
          </cell>
          <cell r="B723" t="str">
            <v>BJA</v>
          </cell>
          <cell r="D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</row>
        <row r="724">
          <cell r="A724" t="str">
            <v>Renault</v>
          </cell>
          <cell r="B724" t="str">
            <v>BJA</v>
          </cell>
          <cell r="D724" t="str">
            <v>Weekly demand</v>
          </cell>
          <cell r="Z724">
            <v>1000</v>
          </cell>
          <cell r="AA724">
            <v>400</v>
          </cell>
          <cell r="AB724">
            <v>1200</v>
          </cell>
          <cell r="AC724">
            <v>600</v>
          </cell>
          <cell r="AD724">
            <v>1400</v>
          </cell>
          <cell r="AE724">
            <v>1400</v>
          </cell>
          <cell r="AF724">
            <v>1200</v>
          </cell>
          <cell r="AG724">
            <v>1400</v>
          </cell>
          <cell r="AH724">
            <v>800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12400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</row>
        <row r="725">
          <cell r="A725" t="str">
            <v>Renault</v>
          </cell>
          <cell r="B725" t="str">
            <v>BJA</v>
          </cell>
          <cell r="D725" t="str">
            <v>Stock Target</v>
          </cell>
          <cell r="Z725"/>
          <cell r="AA725"/>
          <cell r="AB725"/>
          <cell r="AC725"/>
          <cell r="AD725"/>
          <cell r="AE725"/>
          <cell r="AF725"/>
          <cell r="AG725">
            <v>5000</v>
          </cell>
          <cell r="AH725">
            <v>5000</v>
          </cell>
          <cell r="AI725">
            <v>5000</v>
          </cell>
          <cell r="AJ725">
            <v>5000</v>
          </cell>
          <cell r="AK725">
            <v>5000</v>
          </cell>
          <cell r="AL725">
            <v>5000</v>
          </cell>
          <cell r="AM725">
            <v>5000</v>
          </cell>
          <cell r="AN725">
            <v>5000</v>
          </cell>
          <cell r="AO725">
            <v>5000</v>
          </cell>
          <cell r="AP725">
            <v>5000</v>
          </cell>
          <cell r="AQ725">
            <v>5000</v>
          </cell>
          <cell r="AR725">
            <v>5000</v>
          </cell>
          <cell r="AS725">
            <v>5000</v>
          </cell>
          <cell r="AT725">
            <v>5000</v>
          </cell>
          <cell r="AU725">
            <v>5000</v>
          </cell>
          <cell r="AV725">
            <v>5000</v>
          </cell>
          <cell r="AW725">
            <v>5000</v>
          </cell>
          <cell r="AX725">
            <v>5000</v>
          </cell>
          <cell r="AY725">
            <v>5000</v>
          </cell>
          <cell r="AZ725">
            <v>5000</v>
          </cell>
          <cell r="BA725">
            <v>5000</v>
          </cell>
          <cell r="BB725">
            <v>5000</v>
          </cell>
          <cell r="BC725">
            <v>5000</v>
          </cell>
          <cell r="BD725">
            <v>5000</v>
          </cell>
          <cell r="BE725">
            <v>5000</v>
          </cell>
          <cell r="BF725">
            <v>5000</v>
          </cell>
          <cell r="BG725">
            <v>5000</v>
          </cell>
          <cell r="BH725">
            <v>5000</v>
          </cell>
          <cell r="BI725">
            <v>5000</v>
          </cell>
          <cell r="BJ725">
            <v>5000</v>
          </cell>
          <cell r="BK725">
            <v>5000</v>
          </cell>
          <cell r="BL725">
            <v>5000</v>
          </cell>
          <cell r="BM725">
            <v>5000</v>
          </cell>
          <cell r="BN725">
            <v>5000</v>
          </cell>
          <cell r="BO725">
            <v>5000</v>
          </cell>
          <cell r="BP725">
            <v>5000</v>
          </cell>
          <cell r="BQ725">
            <v>5000</v>
          </cell>
          <cell r="BR725">
            <v>5000</v>
          </cell>
          <cell r="BS725">
            <v>5000</v>
          </cell>
          <cell r="BT725">
            <v>5000</v>
          </cell>
          <cell r="BU725">
            <v>5000</v>
          </cell>
          <cell r="BV725">
            <v>5000</v>
          </cell>
        </row>
        <row r="726">
          <cell r="A726" t="str">
            <v>Renault</v>
          </cell>
          <cell r="B726" t="str">
            <v>BJA</v>
          </cell>
          <cell r="D726">
            <v>0</v>
          </cell>
          <cell r="Z726"/>
          <cell r="AA726">
            <v>-400</v>
          </cell>
          <cell r="AB726">
            <v>-1600</v>
          </cell>
          <cell r="AC726">
            <v>-2200</v>
          </cell>
          <cell r="AD726">
            <v>-3600</v>
          </cell>
          <cell r="AE726">
            <v>-5000</v>
          </cell>
          <cell r="AF726">
            <v>-6200</v>
          </cell>
          <cell r="AG726">
            <v>-7600</v>
          </cell>
          <cell r="AH726">
            <v>-8400</v>
          </cell>
          <cell r="AI726">
            <v>-8400</v>
          </cell>
          <cell r="AJ726">
            <v>-8400</v>
          </cell>
          <cell r="AK726">
            <v>-8400</v>
          </cell>
          <cell r="AL726">
            <v>-8400</v>
          </cell>
          <cell r="AM726">
            <v>-8400</v>
          </cell>
          <cell r="AN726">
            <v>-8400</v>
          </cell>
          <cell r="AO726">
            <v>-8400</v>
          </cell>
          <cell r="AP726">
            <v>-8400</v>
          </cell>
          <cell r="AQ726">
            <v>-8400</v>
          </cell>
          <cell r="AR726">
            <v>-8400</v>
          </cell>
          <cell r="AS726">
            <v>-8400</v>
          </cell>
          <cell r="AT726">
            <v>-8400</v>
          </cell>
          <cell r="AU726">
            <v>-8400</v>
          </cell>
          <cell r="AV726">
            <v>-8400</v>
          </cell>
          <cell r="AW726">
            <v>-8400</v>
          </cell>
          <cell r="AX726">
            <v>-8400</v>
          </cell>
          <cell r="AY726">
            <v>-8400</v>
          </cell>
          <cell r="AZ726">
            <v>-8400</v>
          </cell>
          <cell r="BA726">
            <v>-8400</v>
          </cell>
          <cell r="BB726">
            <v>-8400</v>
          </cell>
          <cell r="BC726">
            <v>-8400</v>
          </cell>
          <cell r="BD726">
            <v>-8400</v>
          </cell>
          <cell r="BE726">
            <v>-8400</v>
          </cell>
          <cell r="BF726">
            <v>-8400</v>
          </cell>
          <cell r="BG726">
            <v>-8400</v>
          </cell>
          <cell r="BH726">
            <v>-8400</v>
          </cell>
          <cell r="BI726">
            <v>-8400</v>
          </cell>
          <cell r="BJ726">
            <v>-8400</v>
          </cell>
          <cell r="BK726">
            <v>-8400</v>
          </cell>
          <cell r="BL726">
            <v>-8400</v>
          </cell>
          <cell r="BM726">
            <v>-8400</v>
          </cell>
          <cell r="BN726">
            <v>-8400</v>
          </cell>
          <cell r="BO726">
            <v>-8400</v>
          </cell>
          <cell r="BP726">
            <v>-8400</v>
          </cell>
          <cell r="BQ726">
            <v>-8400</v>
          </cell>
          <cell r="BR726">
            <v>-8400</v>
          </cell>
          <cell r="BS726">
            <v>-8400</v>
          </cell>
          <cell r="BT726">
            <v>-8400</v>
          </cell>
          <cell r="BU726">
            <v>-8400</v>
          </cell>
          <cell r="BV726">
            <v>-8400</v>
          </cell>
        </row>
        <row r="727">
          <cell r="A727" t="str">
            <v>Renault</v>
          </cell>
          <cell r="B727" t="str">
            <v>BJA</v>
          </cell>
          <cell r="D727">
            <v>0</v>
          </cell>
          <cell r="Z727"/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</row>
        <row r="728">
          <cell r="A728" t="str">
            <v>Renault</v>
          </cell>
          <cell r="B728" t="str">
            <v>BJA</v>
          </cell>
          <cell r="D728">
            <v>0</v>
          </cell>
          <cell r="Z728"/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</row>
        <row r="729">
          <cell r="A729" t="str">
            <v>Renault</v>
          </cell>
          <cell r="B729" t="str">
            <v>BJA</v>
          </cell>
          <cell r="D729">
            <v>0</v>
          </cell>
          <cell r="Z729"/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</row>
        <row r="730">
          <cell r="A730" t="str">
            <v>Renault</v>
          </cell>
          <cell r="B730" t="str">
            <v>BJA</v>
          </cell>
          <cell r="D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</row>
        <row r="731">
          <cell r="A731" t="str">
            <v>Renault</v>
          </cell>
          <cell r="B731" t="str">
            <v>BJA</v>
          </cell>
          <cell r="D731" t="str">
            <v>STOCK</v>
          </cell>
          <cell r="Z731">
            <v>0</v>
          </cell>
          <cell r="AA731">
            <v>2816.3862114033645</v>
          </cell>
          <cell r="AB731">
            <v>4832.7724228067291</v>
          </cell>
          <cell r="AC731">
            <v>7449.1586342100936</v>
          </cell>
          <cell r="AD731">
            <v>6049.1586342100936</v>
          </cell>
          <cell r="AE731">
            <v>4649.1586342100936</v>
          </cell>
          <cell r="AF731">
            <v>3449.1586342100936</v>
          </cell>
          <cell r="AG731">
            <v>2049.1586342100936</v>
          </cell>
          <cell r="AH731">
            <v>1249.1586342100936</v>
          </cell>
          <cell r="AI731">
            <v>1249.1586342100936</v>
          </cell>
          <cell r="AJ731">
            <v>1249.1586342100936</v>
          </cell>
          <cell r="AK731">
            <v>1249.1586342100936</v>
          </cell>
          <cell r="AL731">
            <v>1249.1586342100936</v>
          </cell>
          <cell r="AM731">
            <v>1249.1586342100936</v>
          </cell>
          <cell r="AN731">
            <v>1249.1586342100936</v>
          </cell>
          <cell r="AO731">
            <v>1249.1586342100936</v>
          </cell>
          <cell r="AP731">
            <v>1249.1586342100936</v>
          </cell>
          <cell r="AQ731">
            <v>1249.1586342100936</v>
          </cell>
          <cell r="AR731">
            <v>1249.1586342100936</v>
          </cell>
          <cell r="AS731">
            <v>1249.1586342100936</v>
          </cell>
          <cell r="AT731">
            <v>1249.1586342100936</v>
          </cell>
          <cell r="AU731">
            <v>1249.1586342100936</v>
          </cell>
          <cell r="AV731">
            <v>1249.1586342100936</v>
          </cell>
          <cell r="AW731">
            <v>1249.1586342100936</v>
          </cell>
          <cell r="AX731">
            <v>1249.1586342100936</v>
          </cell>
          <cell r="AY731">
            <v>1249.1586342100936</v>
          </cell>
          <cell r="AZ731">
            <v>1249.1586342100936</v>
          </cell>
          <cell r="BA731">
            <v>1249.1586342100936</v>
          </cell>
          <cell r="BB731">
            <v>1249.1586342100936</v>
          </cell>
          <cell r="BC731">
            <v>1249.1586342100936</v>
          </cell>
          <cell r="BD731">
            <v>1249.1586342100936</v>
          </cell>
          <cell r="BE731">
            <v>1249.1586342100936</v>
          </cell>
          <cell r="BF731">
            <v>1249.1586342100936</v>
          </cell>
          <cell r="BG731">
            <v>1249.1586342100936</v>
          </cell>
          <cell r="BH731">
            <v>1249.1586342100936</v>
          </cell>
          <cell r="BI731">
            <v>1249.1586342100936</v>
          </cell>
          <cell r="BJ731">
            <v>1249.1586342100936</v>
          </cell>
          <cell r="BK731">
            <v>1249.1586342100936</v>
          </cell>
          <cell r="BL731">
            <v>-11150.841365789907</v>
          </cell>
          <cell r="BM731">
            <v>-11150.841365789907</v>
          </cell>
          <cell r="BN731">
            <v>-11150.841365789907</v>
          </cell>
          <cell r="BO731">
            <v>-11150.841365789907</v>
          </cell>
          <cell r="BP731">
            <v>-11150.841365789907</v>
          </cell>
          <cell r="BQ731">
            <v>-11150.841365789907</v>
          </cell>
          <cell r="BR731">
            <v>-11150.841365789907</v>
          </cell>
          <cell r="BS731">
            <v>-11150.841365789907</v>
          </cell>
          <cell r="BT731">
            <v>-11150.841365789907</v>
          </cell>
          <cell r="BU731">
            <v>-11150.841365789907</v>
          </cell>
          <cell r="BV731">
            <v>-11150.841365789907</v>
          </cell>
        </row>
        <row r="732">
          <cell r="A732" t="str">
            <v>Blank</v>
          </cell>
          <cell r="B732" t="str">
            <v>Blank</v>
          </cell>
          <cell r="D732" t="str">
            <v>Blank</v>
          </cell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</row>
        <row r="733">
          <cell r="A733" t="str">
            <v>SBP Press</v>
          </cell>
          <cell r="B733" t="str">
            <v>BJA</v>
          </cell>
          <cell r="D733" t="str">
            <v>Work days</v>
          </cell>
          <cell r="Z733">
            <v>5</v>
          </cell>
          <cell r="AA733">
            <v>5</v>
          </cell>
          <cell r="AB733">
            <v>5</v>
          </cell>
          <cell r="AC733">
            <v>5</v>
          </cell>
          <cell r="AD733">
            <v>3</v>
          </cell>
          <cell r="AE733">
            <v>5</v>
          </cell>
          <cell r="AF733">
            <v>5</v>
          </cell>
          <cell r="AG733">
            <v>5</v>
          </cell>
          <cell r="AH733">
            <v>5</v>
          </cell>
          <cell r="AI733">
            <v>5</v>
          </cell>
          <cell r="AJ733">
            <v>5</v>
          </cell>
          <cell r="AK733">
            <v>4</v>
          </cell>
          <cell r="AL733">
            <v>4</v>
          </cell>
          <cell r="AM733">
            <v>5</v>
          </cell>
          <cell r="AN733">
            <v>4</v>
          </cell>
          <cell r="AO733">
            <v>5</v>
          </cell>
          <cell r="AP733">
            <v>5</v>
          </cell>
          <cell r="AQ733">
            <v>5</v>
          </cell>
          <cell r="AR733">
            <v>5</v>
          </cell>
          <cell r="AS733">
            <v>5</v>
          </cell>
          <cell r="AT733">
            <v>5</v>
          </cell>
          <cell r="AU733">
            <v>5</v>
          </cell>
          <cell r="AV733">
            <v>5</v>
          </cell>
          <cell r="AW733">
            <v>5</v>
          </cell>
          <cell r="AX733">
            <v>5</v>
          </cell>
          <cell r="AY733">
            <v>5</v>
          </cell>
          <cell r="AZ733">
            <v>0</v>
          </cell>
          <cell r="BA733">
            <v>0</v>
          </cell>
          <cell r="BB733">
            <v>5</v>
          </cell>
          <cell r="BC733">
            <v>5</v>
          </cell>
          <cell r="BD733">
            <v>5</v>
          </cell>
          <cell r="BE733">
            <v>5</v>
          </cell>
          <cell r="BF733">
            <v>5</v>
          </cell>
          <cell r="BG733">
            <v>5</v>
          </cell>
          <cell r="BH733">
            <v>5</v>
          </cell>
          <cell r="BI733">
            <v>5</v>
          </cell>
          <cell r="BJ733">
            <v>5</v>
          </cell>
          <cell r="BK733">
            <v>5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</row>
        <row r="734">
          <cell r="A734" t="str">
            <v>SBP Press</v>
          </cell>
          <cell r="B734" t="str">
            <v>BJA</v>
          </cell>
          <cell r="D734" t="str">
            <v>SHIFT A HC - operators</v>
          </cell>
          <cell r="Z734">
            <v>2</v>
          </cell>
          <cell r="AA734">
            <v>2</v>
          </cell>
          <cell r="AB734">
            <v>2</v>
          </cell>
          <cell r="AC734">
            <v>2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</row>
        <row r="735">
          <cell r="A735" t="str">
            <v>SBP Press</v>
          </cell>
          <cell r="B735" t="str">
            <v>BJA</v>
          </cell>
          <cell r="D735" t="str">
            <v>SHIFT B HC  - operators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</row>
        <row r="736">
          <cell r="A736" t="str">
            <v>SBP Press</v>
          </cell>
          <cell r="B736" t="str">
            <v>BJA</v>
          </cell>
          <cell r="D736" t="str">
            <v>SHIFT C HC  - operators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</row>
        <row r="737">
          <cell r="A737" t="str">
            <v>SBP Press</v>
          </cell>
          <cell r="B737" t="str">
            <v>BJA</v>
          </cell>
          <cell r="D737" t="str">
            <v>Total HC</v>
          </cell>
          <cell r="Z737">
            <v>2</v>
          </cell>
          <cell r="AA737">
            <v>2</v>
          </cell>
          <cell r="AB737">
            <v>2</v>
          </cell>
          <cell r="AC737">
            <v>2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</row>
        <row r="738">
          <cell r="A738" t="str">
            <v>SBP Press</v>
          </cell>
          <cell r="B738" t="str">
            <v>BJA</v>
          </cell>
          <cell r="D738" t="str">
            <v>SHIFT A HC  - efficiency</v>
          </cell>
          <cell r="Z738">
            <v>0.8</v>
          </cell>
          <cell r="AA738">
            <v>0.8</v>
          </cell>
          <cell r="AB738">
            <v>0.8</v>
          </cell>
          <cell r="AC738">
            <v>0.8</v>
          </cell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>
            <v>1.2</v>
          </cell>
          <cell r="BL738">
            <v>1.2</v>
          </cell>
          <cell r="BM738">
            <v>1.2</v>
          </cell>
          <cell r="BN738">
            <v>1.2</v>
          </cell>
          <cell r="BO738">
            <v>1.2</v>
          </cell>
          <cell r="BP738">
            <v>1.2</v>
          </cell>
          <cell r="BQ738">
            <v>1.2</v>
          </cell>
          <cell r="BR738">
            <v>1.2</v>
          </cell>
          <cell r="BS738">
            <v>1.2</v>
          </cell>
          <cell r="BT738">
            <v>1.2</v>
          </cell>
          <cell r="BU738">
            <v>1.2</v>
          </cell>
          <cell r="BV738">
            <v>1.2</v>
          </cell>
        </row>
        <row r="739">
          <cell r="A739" t="str">
            <v>SBP Press</v>
          </cell>
          <cell r="B739" t="str">
            <v>BJA</v>
          </cell>
          <cell r="D739" t="str">
            <v>SHIFT B HC  - efficiency</v>
          </cell>
          <cell r="Z739">
            <v>0.8</v>
          </cell>
          <cell r="AA739">
            <v>0.8</v>
          </cell>
          <cell r="AB739">
            <v>0.8</v>
          </cell>
          <cell r="AC739">
            <v>0.8</v>
          </cell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>
            <v>1</v>
          </cell>
          <cell r="BL739">
            <v>1</v>
          </cell>
          <cell r="BM739">
            <v>1</v>
          </cell>
          <cell r="BN739">
            <v>1</v>
          </cell>
          <cell r="BO739">
            <v>1</v>
          </cell>
          <cell r="BP739">
            <v>1</v>
          </cell>
          <cell r="BQ739">
            <v>1</v>
          </cell>
          <cell r="BR739">
            <v>1</v>
          </cell>
          <cell r="BS739">
            <v>1</v>
          </cell>
          <cell r="BT739">
            <v>1</v>
          </cell>
          <cell r="BU739">
            <v>1</v>
          </cell>
          <cell r="BV739">
            <v>1</v>
          </cell>
        </row>
        <row r="740">
          <cell r="A740" t="str">
            <v>SBP Press</v>
          </cell>
          <cell r="B740" t="str">
            <v>BJA</v>
          </cell>
          <cell r="D740" t="str">
            <v>SHIFT C HC  - efficiency</v>
          </cell>
          <cell r="Z740">
            <v>1</v>
          </cell>
          <cell r="AA740">
            <v>1</v>
          </cell>
          <cell r="AB740">
            <v>1</v>
          </cell>
          <cell r="AC740">
            <v>1</v>
          </cell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>
            <v>1</v>
          </cell>
          <cell r="BL740">
            <v>1</v>
          </cell>
          <cell r="BM740">
            <v>1</v>
          </cell>
          <cell r="BN740">
            <v>1</v>
          </cell>
          <cell r="BO740">
            <v>1</v>
          </cell>
          <cell r="BP740">
            <v>1</v>
          </cell>
          <cell r="BQ740">
            <v>1</v>
          </cell>
          <cell r="BR740">
            <v>1</v>
          </cell>
          <cell r="BS740">
            <v>1</v>
          </cell>
          <cell r="BT740">
            <v>1</v>
          </cell>
          <cell r="BU740">
            <v>1</v>
          </cell>
          <cell r="BV740">
            <v>1</v>
          </cell>
        </row>
        <row r="741">
          <cell r="A741" t="str">
            <v>SBP Press</v>
          </cell>
          <cell r="B741" t="str">
            <v>BJA</v>
          </cell>
          <cell r="D741" t="str">
            <v>Total efficiency</v>
          </cell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</row>
        <row r="742">
          <cell r="A742" t="str">
            <v>SBP Press</v>
          </cell>
          <cell r="B742" t="str">
            <v>BJA</v>
          </cell>
          <cell r="D742" t="str">
            <v>SHIFT A - output</v>
          </cell>
          <cell r="Z742">
            <v>409.09090909090912</v>
          </cell>
          <cell r="AA742">
            <v>409.09090909090912</v>
          </cell>
          <cell r="AB742">
            <v>409.09090909090912</v>
          </cell>
          <cell r="AC742">
            <v>409.09090909090912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</row>
        <row r="743">
          <cell r="A743" t="str">
            <v>SBP Press</v>
          </cell>
          <cell r="B743" t="str">
            <v>BJA</v>
          </cell>
          <cell r="D743" t="str">
            <v>SHIFT B  - output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</row>
        <row r="744">
          <cell r="A744" t="str">
            <v>SBP Press</v>
          </cell>
          <cell r="B744" t="str">
            <v>BJA</v>
          </cell>
          <cell r="D744" t="str">
            <v>SHIFT C  - output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</row>
        <row r="745">
          <cell r="A745" t="str">
            <v>SBP Press</v>
          </cell>
          <cell r="B745" t="str">
            <v>BJA</v>
          </cell>
          <cell r="D745" t="str">
            <v>Est. Output (Pcs day)</v>
          </cell>
          <cell r="E745">
            <v>1.76</v>
          </cell>
          <cell r="Z745">
            <v>409.09090909090912</v>
          </cell>
          <cell r="AA745">
            <v>409.09090909090912</v>
          </cell>
          <cell r="AB745">
            <v>409.09090909090912</v>
          </cell>
          <cell r="AC745">
            <v>409.09090909090912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</row>
        <row r="746">
          <cell r="A746" t="str">
            <v>SBP Press</v>
          </cell>
          <cell r="B746" t="str">
            <v>BJA</v>
          </cell>
          <cell r="D746" t="str">
            <v>Weekly Output PLAN</v>
          </cell>
          <cell r="E746" t="str">
            <v>SEW</v>
          </cell>
          <cell r="Z746">
            <v>2045.4545454545455</v>
          </cell>
          <cell r="AA746">
            <v>2045.4545454545455</v>
          </cell>
          <cell r="AB746">
            <v>2045.4545454545455</v>
          </cell>
          <cell r="AC746">
            <v>2045.4545454545455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</row>
        <row r="747">
          <cell r="A747" t="str">
            <v>SBP Press</v>
          </cell>
          <cell r="B747" t="str">
            <v>BJA</v>
          </cell>
          <cell r="D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</row>
        <row r="748">
          <cell r="A748" t="str">
            <v>SBP Press</v>
          </cell>
          <cell r="B748" t="str">
            <v>BJA</v>
          </cell>
          <cell r="D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</row>
        <row r="749">
          <cell r="A749" t="str">
            <v>SBP Press</v>
          </cell>
          <cell r="B749" t="str">
            <v>BJA</v>
          </cell>
          <cell r="D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</row>
        <row r="750">
          <cell r="A750" t="str">
            <v>SBP Press</v>
          </cell>
          <cell r="B750" t="str">
            <v>BJA</v>
          </cell>
          <cell r="D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</row>
        <row r="751">
          <cell r="A751" t="str">
            <v>SBP Press</v>
          </cell>
          <cell r="B751" t="str">
            <v>BJA</v>
          </cell>
          <cell r="D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</row>
        <row r="752">
          <cell r="A752" t="str">
            <v>SBP Press</v>
          </cell>
          <cell r="B752" t="str">
            <v>BJA</v>
          </cell>
          <cell r="D752" t="str">
            <v>Weekly Output PLAN - SUM of models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</row>
        <row r="753">
          <cell r="A753" t="str">
            <v>SBP Press</v>
          </cell>
          <cell r="B753" t="str">
            <v>BJA</v>
          </cell>
          <cell r="D753" t="str">
            <v>Weekly Output CHECK with TO time multiple</v>
          </cell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</row>
        <row r="754">
          <cell r="A754" t="str">
            <v>SBP Press</v>
          </cell>
          <cell r="B754" t="str">
            <v>BJA</v>
          </cell>
          <cell r="D754" t="str">
            <v>Weekly Output ACT</v>
          </cell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</row>
        <row r="755">
          <cell r="A755" t="str">
            <v>SBP Press</v>
          </cell>
          <cell r="B755" t="str">
            <v>BJA</v>
          </cell>
          <cell r="D755">
            <v>0</v>
          </cell>
          <cell r="Z755">
            <v>2045.4545454545455</v>
          </cell>
          <cell r="AA755">
            <v>2045.4545454545455</v>
          </cell>
          <cell r="AB755">
            <v>2045.4545454545455</v>
          </cell>
          <cell r="AC755">
            <v>2045.4545454545455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</row>
        <row r="756">
          <cell r="A756" t="str">
            <v>SBP Press</v>
          </cell>
          <cell r="B756" t="str">
            <v>BJA</v>
          </cell>
          <cell r="D756">
            <v>0</v>
          </cell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</row>
        <row r="757">
          <cell r="A757" t="str">
            <v>SBP Press</v>
          </cell>
          <cell r="B757" t="str">
            <v>BJA</v>
          </cell>
          <cell r="D757">
            <v>0</v>
          </cell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</row>
        <row r="758">
          <cell r="A758" t="str">
            <v>SBP Press</v>
          </cell>
          <cell r="B758" t="str">
            <v>BJA</v>
          </cell>
          <cell r="D758">
            <v>0</v>
          </cell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</row>
        <row r="759">
          <cell r="A759" t="str">
            <v>SBP Press</v>
          </cell>
          <cell r="B759" t="str">
            <v>BJA</v>
          </cell>
          <cell r="D759">
            <v>0</v>
          </cell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</row>
        <row r="760">
          <cell r="A760" t="str">
            <v>SBP Press</v>
          </cell>
          <cell r="B760" t="str">
            <v>BJA</v>
          </cell>
          <cell r="D760" t="str">
            <v>Weekly demand</v>
          </cell>
          <cell r="Z760">
            <v>3216.3862114033645</v>
          </cell>
          <cell r="AA760">
            <v>3216.3862114033645</v>
          </cell>
          <cell r="AB760">
            <v>3216.3862114033645</v>
          </cell>
          <cell r="AC760">
            <v>3216.3862114033645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</row>
        <row r="761">
          <cell r="A761" t="str">
            <v>SBP Press</v>
          </cell>
          <cell r="B761" t="str">
            <v>BJA</v>
          </cell>
          <cell r="D761" t="str">
            <v>Stock Target</v>
          </cell>
          <cell r="Z761"/>
          <cell r="AA761"/>
          <cell r="AB761"/>
          <cell r="AC761"/>
          <cell r="AD761"/>
          <cell r="AE761"/>
          <cell r="AF761"/>
          <cell r="AG761">
            <v>2525</v>
          </cell>
          <cell r="AH761">
            <v>2526</v>
          </cell>
          <cell r="AI761">
            <v>2527</v>
          </cell>
          <cell r="AJ761">
            <v>2528</v>
          </cell>
          <cell r="AK761">
            <v>2529</v>
          </cell>
          <cell r="AL761">
            <v>2530</v>
          </cell>
          <cell r="AM761">
            <v>2531</v>
          </cell>
          <cell r="AN761">
            <v>2532</v>
          </cell>
          <cell r="AO761">
            <v>2533</v>
          </cell>
          <cell r="AP761">
            <v>2534</v>
          </cell>
          <cell r="AQ761">
            <v>2535</v>
          </cell>
          <cell r="AR761">
            <v>2536</v>
          </cell>
          <cell r="AS761">
            <v>2537</v>
          </cell>
          <cell r="AT761">
            <v>2538</v>
          </cell>
          <cell r="AU761">
            <v>2539</v>
          </cell>
          <cell r="AV761">
            <v>2540</v>
          </cell>
          <cell r="AW761">
            <v>2541</v>
          </cell>
          <cell r="AX761">
            <v>2542</v>
          </cell>
          <cell r="AY761">
            <v>2543</v>
          </cell>
          <cell r="AZ761">
            <v>2544</v>
          </cell>
          <cell r="BA761">
            <v>2545</v>
          </cell>
          <cell r="BB761">
            <v>2546</v>
          </cell>
          <cell r="BC761">
            <v>2547</v>
          </cell>
          <cell r="BD761">
            <v>2548</v>
          </cell>
          <cell r="BE761">
            <v>2549</v>
          </cell>
          <cell r="BF761">
            <v>2550</v>
          </cell>
          <cell r="BG761">
            <v>2551</v>
          </cell>
          <cell r="BH761">
            <v>2552</v>
          </cell>
          <cell r="BI761">
            <v>2553</v>
          </cell>
          <cell r="BJ761">
            <v>2554</v>
          </cell>
          <cell r="BK761">
            <v>2555</v>
          </cell>
          <cell r="BL761">
            <v>2556</v>
          </cell>
          <cell r="BM761">
            <v>2557</v>
          </cell>
          <cell r="BN761">
            <v>2558</v>
          </cell>
          <cell r="BO761">
            <v>2559</v>
          </cell>
          <cell r="BP761">
            <v>2560</v>
          </cell>
          <cell r="BQ761">
            <v>2561</v>
          </cell>
          <cell r="BR761">
            <v>2562</v>
          </cell>
          <cell r="BS761">
            <v>2563</v>
          </cell>
          <cell r="BT761">
            <v>2564</v>
          </cell>
          <cell r="BU761">
            <v>2565</v>
          </cell>
          <cell r="BV761">
            <v>2566</v>
          </cell>
        </row>
        <row r="762">
          <cell r="A762" t="str">
            <v>SBP Press</v>
          </cell>
          <cell r="B762" t="str">
            <v>BJA</v>
          </cell>
          <cell r="D762">
            <v>0</v>
          </cell>
          <cell r="Z762">
            <v>8000</v>
          </cell>
          <cell r="AA762">
            <v>8000</v>
          </cell>
          <cell r="AB762">
            <v>8000</v>
          </cell>
          <cell r="AC762">
            <v>8000</v>
          </cell>
          <cell r="AD762">
            <v>8000</v>
          </cell>
          <cell r="AE762">
            <v>8000</v>
          </cell>
          <cell r="AF762">
            <v>8000</v>
          </cell>
          <cell r="AG762">
            <v>8000</v>
          </cell>
          <cell r="AH762">
            <v>8000</v>
          </cell>
          <cell r="AI762">
            <v>8000</v>
          </cell>
          <cell r="AJ762">
            <v>8000</v>
          </cell>
          <cell r="AK762">
            <v>8000</v>
          </cell>
          <cell r="AL762">
            <v>8000</v>
          </cell>
          <cell r="AM762">
            <v>8000</v>
          </cell>
          <cell r="AN762">
            <v>8000</v>
          </cell>
          <cell r="AO762">
            <v>8000</v>
          </cell>
          <cell r="AP762">
            <v>8000</v>
          </cell>
          <cell r="AQ762">
            <v>8000</v>
          </cell>
          <cell r="AR762">
            <v>8000</v>
          </cell>
          <cell r="AS762">
            <v>8000</v>
          </cell>
          <cell r="AT762">
            <v>8000</v>
          </cell>
          <cell r="AU762">
            <v>8000</v>
          </cell>
          <cell r="AV762">
            <v>8000</v>
          </cell>
          <cell r="AW762">
            <v>8000</v>
          </cell>
          <cell r="AX762">
            <v>8000</v>
          </cell>
          <cell r="AY762">
            <v>8000</v>
          </cell>
          <cell r="AZ762">
            <v>8000</v>
          </cell>
          <cell r="BA762">
            <v>8000</v>
          </cell>
          <cell r="BB762">
            <v>8000</v>
          </cell>
          <cell r="BC762">
            <v>8000</v>
          </cell>
          <cell r="BD762">
            <v>8000</v>
          </cell>
          <cell r="BE762">
            <v>8000</v>
          </cell>
          <cell r="BF762">
            <v>8000</v>
          </cell>
          <cell r="BG762">
            <v>8000</v>
          </cell>
          <cell r="BH762">
            <v>8000</v>
          </cell>
          <cell r="BI762">
            <v>8000</v>
          </cell>
          <cell r="BJ762">
            <v>8000</v>
          </cell>
          <cell r="BK762">
            <v>8000</v>
          </cell>
          <cell r="BL762">
            <v>8000</v>
          </cell>
          <cell r="BM762">
            <v>8000</v>
          </cell>
          <cell r="BN762">
            <v>8000</v>
          </cell>
          <cell r="BO762">
            <v>8000</v>
          </cell>
          <cell r="BP762">
            <v>8000</v>
          </cell>
          <cell r="BQ762">
            <v>8000</v>
          </cell>
          <cell r="BR762">
            <v>8000</v>
          </cell>
          <cell r="BS762">
            <v>8000</v>
          </cell>
          <cell r="BT762">
            <v>8000</v>
          </cell>
          <cell r="BU762">
            <v>8000</v>
          </cell>
          <cell r="BV762">
            <v>8000</v>
          </cell>
        </row>
        <row r="763">
          <cell r="A763" t="str">
            <v>SBP Press</v>
          </cell>
          <cell r="B763" t="str">
            <v>BJA</v>
          </cell>
          <cell r="D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</row>
        <row r="764">
          <cell r="A764" t="str">
            <v>SBP Press</v>
          </cell>
          <cell r="B764" t="str">
            <v>BJA</v>
          </cell>
          <cell r="D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</row>
        <row r="765">
          <cell r="A765" t="str">
            <v>SBP Press</v>
          </cell>
          <cell r="B765" t="str">
            <v>BJA</v>
          </cell>
          <cell r="D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</row>
        <row r="766">
          <cell r="A766" t="str">
            <v>SBP Press</v>
          </cell>
          <cell r="B766" t="str">
            <v>BJA</v>
          </cell>
          <cell r="D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</row>
        <row r="767">
          <cell r="A767" t="str">
            <v>SBP Press</v>
          </cell>
          <cell r="B767" t="str">
            <v>BJA</v>
          </cell>
          <cell r="D767" t="str">
            <v>STOCK</v>
          </cell>
          <cell r="Z767"/>
          <cell r="AA767">
            <v>-1170.931665948819</v>
          </cell>
          <cell r="AB767">
            <v>-2341.8633318976376</v>
          </cell>
          <cell r="AC767">
            <v>-3512.7949978464571</v>
          </cell>
          <cell r="AD767">
            <v>-3512.7949978464571</v>
          </cell>
          <cell r="AE767">
            <v>-3512.7949978464571</v>
          </cell>
          <cell r="AF767">
            <v>-3512.7949978464571</v>
          </cell>
          <cell r="AG767">
            <v>-3512.7949978464571</v>
          </cell>
          <cell r="AH767">
            <v>-3512.7949978464571</v>
          </cell>
          <cell r="AI767">
            <v>-3512.7949978464571</v>
          </cell>
          <cell r="AJ767">
            <v>-3512.7949978464571</v>
          </cell>
          <cell r="AK767">
            <v>-3512.7949978464571</v>
          </cell>
          <cell r="AL767">
            <v>-3512.7949978464571</v>
          </cell>
          <cell r="AM767">
            <v>-3512.7949978464571</v>
          </cell>
          <cell r="AN767">
            <v>-3512.7949978464571</v>
          </cell>
          <cell r="AO767">
            <v>-3512.7949978464571</v>
          </cell>
          <cell r="AP767">
            <v>-3512.7949978464571</v>
          </cell>
          <cell r="AQ767">
            <v>-3512.7949978464571</v>
          </cell>
          <cell r="AR767">
            <v>-3512.7949978464571</v>
          </cell>
          <cell r="AS767">
            <v>-3512.7949978464571</v>
          </cell>
          <cell r="AT767">
            <v>-3512.7949978464571</v>
          </cell>
          <cell r="AU767">
            <v>-3512.7949978464571</v>
          </cell>
          <cell r="AV767">
            <v>-3512.7949978464571</v>
          </cell>
          <cell r="AW767">
            <v>-3512.7949978464571</v>
          </cell>
          <cell r="AX767">
            <v>-3512.7949978464571</v>
          </cell>
          <cell r="AY767">
            <v>-3512.7949978464571</v>
          </cell>
          <cell r="AZ767">
            <v>-3512.7949978464571</v>
          </cell>
          <cell r="BA767">
            <v>-3512.7949978464571</v>
          </cell>
          <cell r="BB767">
            <v>-3512.7949978464571</v>
          </cell>
          <cell r="BC767">
            <v>-3512.7949978464571</v>
          </cell>
          <cell r="BD767">
            <v>-3512.7949978464571</v>
          </cell>
          <cell r="BE767">
            <v>-3512.7949978464571</v>
          </cell>
          <cell r="BF767">
            <v>-3512.7949978464571</v>
          </cell>
          <cell r="BG767">
            <v>-3512.7949978464571</v>
          </cell>
          <cell r="BH767">
            <v>-3512.7949978464571</v>
          </cell>
          <cell r="BI767">
            <v>-3512.7949978464571</v>
          </cell>
          <cell r="BJ767">
            <v>-3512.7949978464571</v>
          </cell>
          <cell r="BK767">
            <v>-3512.7949978464571</v>
          </cell>
          <cell r="BL767">
            <v>-3512.7949978464571</v>
          </cell>
          <cell r="BM767">
            <v>-3512.7949978464571</v>
          </cell>
          <cell r="BN767">
            <v>-3512.7949978464571</v>
          </cell>
          <cell r="BO767">
            <v>-3512.7949978464571</v>
          </cell>
          <cell r="BP767">
            <v>-3512.7949978464571</v>
          </cell>
          <cell r="BQ767">
            <v>-3512.7949978464571</v>
          </cell>
          <cell r="BR767">
            <v>-3512.7949978464571</v>
          </cell>
          <cell r="BS767">
            <v>-3512.7949978464571</v>
          </cell>
          <cell r="BT767">
            <v>-3512.7949978464571</v>
          </cell>
          <cell r="BU767">
            <v>-3512.7949978464571</v>
          </cell>
          <cell r="BV767">
            <v>-3512.7949978464571</v>
          </cell>
        </row>
        <row r="768">
          <cell r="A768" t="str">
            <v>Blank</v>
          </cell>
          <cell r="B768" t="str">
            <v>Blank</v>
          </cell>
          <cell r="D768" t="str">
            <v>Blank</v>
          </cell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</row>
        <row r="769">
          <cell r="A769" t="str">
            <v>KIA</v>
          </cell>
          <cell r="B769" t="str">
            <v>CD/CTE</v>
          </cell>
          <cell r="D769" t="str">
            <v>Work days</v>
          </cell>
          <cell r="Z769">
            <v>5</v>
          </cell>
          <cell r="AA769">
            <v>5</v>
          </cell>
          <cell r="AB769">
            <v>5</v>
          </cell>
          <cell r="AC769">
            <v>5</v>
          </cell>
          <cell r="AD769">
            <v>3</v>
          </cell>
          <cell r="AE769">
            <v>5</v>
          </cell>
          <cell r="AF769">
            <v>5</v>
          </cell>
          <cell r="AG769">
            <v>2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5</v>
          </cell>
          <cell r="AT769">
            <v>5</v>
          </cell>
          <cell r="AU769">
            <v>5</v>
          </cell>
          <cell r="AV769">
            <v>5</v>
          </cell>
          <cell r="AW769">
            <v>5</v>
          </cell>
          <cell r="AX769">
            <v>5</v>
          </cell>
          <cell r="AY769">
            <v>5</v>
          </cell>
          <cell r="AZ769">
            <v>0</v>
          </cell>
          <cell r="BA769">
            <v>0</v>
          </cell>
          <cell r="BB769">
            <v>5</v>
          </cell>
          <cell r="BC769">
            <v>5</v>
          </cell>
          <cell r="BD769">
            <v>5</v>
          </cell>
          <cell r="BE769">
            <v>5</v>
          </cell>
          <cell r="BF769">
            <v>5</v>
          </cell>
          <cell r="BG769">
            <v>5</v>
          </cell>
          <cell r="BH769">
            <v>5</v>
          </cell>
          <cell r="BI769">
            <v>5</v>
          </cell>
          <cell r="BJ769">
            <v>5</v>
          </cell>
          <cell r="BK769">
            <v>5</v>
          </cell>
          <cell r="BL769">
            <v>3</v>
          </cell>
          <cell r="BM769">
            <v>3</v>
          </cell>
          <cell r="BN769">
            <v>3</v>
          </cell>
          <cell r="BO769">
            <v>3</v>
          </cell>
          <cell r="BP769">
            <v>3</v>
          </cell>
          <cell r="BQ769">
            <v>3</v>
          </cell>
          <cell r="BR769">
            <v>3</v>
          </cell>
          <cell r="BS769">
            <v>3</v>
          </cell>
          <cell r="BT769">
            <v>3</v>
          </cell>
          <cell r="BU769">
            <v>3</v>
          </cell>
          <cell r="BV769">
            <v>3</v>
          </cell>
        </row>
        <row r="770">
          <cell r="A770" t="str">
            <v>KIA</v>
          </cell>
          <cell r="B770" t="str">
            <v>CD/CTE</v>
          </cell>
          <cell r="D770" t="str">
            <v>SHIFT A HC - operators</v>
          </cell>
          <cell r="Z770">
            <v>2</v>
          </cell>
          <cell r="AA770">
            <v>2</v>
          </cell>
          <cell r="AB770">
            <v>1</v>
          </cell>
          <cell r="AC770">
            <v>1</v>
          </cell>
          <cell r="AD770">
            <v>1</v>
          </cell>
          <cell r="AE770">
            <v>1</v>
          </cell>
          <cell r="AF770">
            <v>1</v>
          </cell>
          <cell r="AG770">
            <v>1</v>
          </cell>
          <cell r="AH770">
            <v>1</v>
          </cell>
          <cell r="AI770">
            <v>1</v>
          </cell>
          <cell r="AJ770">
            <v>1</v>
          </cell>
          <cell r="AK770">
            <v>1</v>
          </cell>
          <cell r="AL770">
            <v>1</v>
          </cell>
          <cell r="AM770">
            <v>1</v>
          </cell>
          <cell r="AN770">
            <v>1</v>
          </cell>
          <cell r="AO770">
            <v>1</v>
          </cell>
          <cell r="AP770">
            <v>1</v>
          </cell>
          <cell r="AQ770">
            <v>1</v>
          </cell>
          <cell r="AR770">
            <v>1</v>
          </cell>
          <cell r="AS770">
            <v>1</v>
          </cell>
          <cell r="AT770">
            <v>1</v>
          </cell>
          <cell r="AU770">
            <v>1</v>
          </cell>
          <cell r="AV770">
            <v>1</v>
          </cell>
          <cell r="AW770">
            <v>1</v>
          </cell>
          <cell r="AX770">
            <v>1</v>
          </cell>
          <cell r="AY770">
            <v>1</v>
          </cell>
          <cell r="AZ770">
            <v>1</v>
          </cell>
          <cell r="BA770">
            <v>1</v>
          </cell>
          <cell r="BB770">
            <v>1</v>
          </cell>
          <cell r="BC770">
            <v>1</v>
          </cell>
          <cell r="BD770">
            <v>1</v>
          </cell>
          <cell r="BE770">
            <v>1</v>
          </cell>
          <cell r="BF770">
            <v>1</v>
          </cell>
          <cell r="BG770">
            <v>1</v>
          </cell>
          <cell r="BH770">
            <v>1</v>
          </cell>
          <cell r="BI770">
            <v>1</v>
          </cell>
          <cell r="BJ770">
            <v>1</v>
          </cell>
          <cell r="BK770">
            <v>3</v>
          </cell>
          <cell r="BL770">
            <v>3</v>
          </cell>
          <cell r="BM770">
            <v>3</v>
          </cell>
          <cell r="BN770">
            <v>3</v>
          </cell>
          <cell r="BO770">
            <v>3</v>
          </cell>
          <cell r="BP770">
            <v>3</v>
          </cell>
          <cell r="BQ770">
            <v>3</v>
          </cell>
          <cell r="BR770">
            <v>3</v>
          </cell>
          <cell r="BS770">
            <v>3</v>
          </cell>
          <cell r="BT770">
            <v>3</v>
          </cell>
          <cell r="BU770">
            <v>3</v>
          </cell>
          <cell r="BV770">
            <v>3</v>
          </cell>
        </row>
        <row r="771">
          <cell r="A771" t="str">
            <v>KIA</v>
          </cell>
          <cell r="B771" t="str">
            <v>CD/CTE</v>
          </cell>
          <cell r="D771" t="str">
            <v>SHIFT B HC  - operators</v>
          </cell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</row>
        <row r="772">
          <cell r="A772" t="str">
            <v>KIA</v>
          </cell>
          <cell r="B772" t="str">
            <v>CD/CTE</v>
          </cell>
          <cell r="D772" t="str">
            <v>SHIFT C HC  - operators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</row>
        <row r="773">
          <cell r="A773" t="str">
            <v>KIA</v>
          </cell>
          <cell r="B773" t="str">
            <v>CD/CTE</v>
          </cell>
          <cell r="D773" t="str">
            <v>Total HC</v>
          </cell>
          <cell r="Z773">
            <v>2</v>
          </cell>
          <cell r="AA773">
            <v>2</v>
          </cell>
          <cell r="AB773">
            <v>1</v>
          </cell>
          <cell r="AC773">
            <v>1</v>
          </cell>
          <cell r="AD773">
            <v>1</v>
          </cell>
          <cell r="AE773">
            <v>1</v>
          </cell>
          <cell r="AF773">
            <v>1</v>
          </cell>
          <cell r="AG773">
            <v>1</v>
          </cell>
          <cell r="AH773">
            <v>1</v>
          </cell>
          <cell r="AI773">
            <v>1</v>
          </cell>
          <cell r="AJ773">
            <v>1</v>
          </cell>
          <cell r="AK773">
            <v>1</v>
          </cell>
          <cell r="AL773">
            <v>1</v>
          </cell>
          <cell r="AM773">
            <v>1</v>
          </cell>
          <cell r="AN773">
            <v>1</v>
          </cell>
          <cell r="AO773">
            <v>1</v>
          </cell>
          <cell r="AP773">
            <v>1</v>
          </cell>
          <cell r="AQ773">
            <v>1</v>
          </cell>
          <cell r="AR773">
            <v>1</v>
          </cell>
          <cell r="AS773">
            <v>1</v>
          </cell>
          <cell r="AT773">
            <v>1</v>
          </cell>
          <cell r="AU773">
            <v>1</v>
          </cell>
          <cell r="AV773">
            <v>1</v>
          </cell>
          <cell r="AW773">
            <v>1</v>
          </cell>
          <cell r="AX773">
            <v>1</v>
          </cell>
          <cell r="AY773">
            <v>1</v>
          </cell>
          <cell r="AZ773">
            <v>1</v>
          </cell>
          <cell r="BA773">
            <v>1</v>
          </cell>
          <cell r="BB773">
            <v>1</v>
          </cell>
          <cell r="BC773">
            <v>1</v>
          </cell>
          <cell r="BD773">
            <v>1</v>
          </cell>
          <cell r="BE773">
            <v>1</v>
          </cell>
          <cell r="BF773">
            <v>1</v>
          </cell>
          <cell r="BG773">
            <v>1</v>
          </cell>
          <cell r="BH773">
            <v>1</v>
          </cell>
          <cell r="BI773">
            <v>1</v>
          </cell>
          <cell r="BJ773">
            <v>1</v>
          </cell>
          <cell r="BK773">
            <v>3</v>
          </cell>
          <cell r="BL773">
            <v>3</v>
          </cell>
          <cell r="BM773">
            <v>3</v>
          </cell>
          <cell r="BN773">
            <v>3</v>
          </cell>
          <cell r="BO773">
            <v>3</v>
          </cell>
          <cell r="BP773">
            <v>3</v>
          </cell>
          <cell r="BQ773">
            <v>3</v>
          </cell>
          <cell r="BR773">
            <v>3</v>
          </cell>
          <cell r="BS773">
            <v>3</v>
          </cell>
          <cell r="BT773">
            <v>3</v>
          </cell>
          <cell r="BU773">
            <v>3</v>
          </cell>
          <cell r="BV773">
            <v>3</v>
          </cell>
        </row>
        <row r="774">
          <cell r="A774" t="str">
            <v>KIA</v>
          </cell>
          <cell r="B774" t="str">
            <v>CD/CTE</v>
          </cell>
          <cell r="D774" t="str">
            <v>SHIFT A HC  - efficiency</v>
          </cell>
          <cell r="Z774">
            <v>0.8</v>
          </cell>
          <cell r="AA774">
            <v>0.8</v>
          </cell>
          <cell r="AB774">
            <v>0.8</v>
          </cell>
          <cell r="AC774">
            <v>0.8</v>
          </cell>
          <cell r="AD774">
            <v>0.8</v>
          </cell>
          <cell r="AE774">
            <v>0.8</v>
          </cell>
          <cell r="AF774">
            <v>0.8</v>
          </cell>
          <cell r="AG774">
            <v>0.8</v>
          </cell>
          <cell r="AH774">
            <v>0.8</v>
          </cell>
          <cell r="AI774">
            <v>0.85</v>
          </cell>
          <cell r="AJ774">
            <v>0.85</v>
          </cell>
          <cell r="AK774">
            <v>0.85</v>
          </cell>
          <cell r="AL774">
            <v>0.85</v>
          </cell>
          <cell r="AM774">
            <v>0.85</v>
          </cell>
          <cell r="AN774">
            <v>0.85</v>
          </cell>
          <cell r="AO774">
            <v>0.85</v>
          </cell>
          <cell r="AP774">
            <v>0.85</v>
          </cell>
          <cell r="AQ774">
            <v>0.85</v>
          </cell>
          <cell r="AR774">
            <v>0.85</v>
          </cell>
          <cell r="AS774">
            <v>0.85</v>
          </cell>
          <cell r="AT774">
            <v>0.85</v>
          </cell>
          <cell r="AU774">
            <v>0.85</v>
          </cell>
          <cell r="AV774">
            <v>0.85</v>
          </cell>
          <cell r="AW774">
            <v>0.85</v>
          </cell>
          <cell r="AX774">
            <v>0.85</v>
          </cell>
          <cell r="AY774">
            <v>0.85</v>
          </cell>
          <cell r="AZ774">
            <v>0.85</v>
          </cell>
          <cell r="BA774">
            <v>0.85</v>
          </cell>
          <cell r="BB774">
            <v>0.85</v>
          </cell>
          <cell r="BC774">
            <v>0.85</v>
          </cell>
          <cell r="BD774">
            <v>0.85</v>
          </cell>
          <cell r="BE774">
            <v>0.85</v>
          </cell>
          <cell r="BF774">
            <v>0.85</v>
          </cell>
          <cell r="BG774">
            <v>0.85</v>
          </cell>
          <cell r="BH774">
            <v>0.85</v>
          </cell>
          <cell r="BI774">
            <v>0.85</v>
          </cell>
          <cell r="BJ774">
            <v>0.85</v>
          </cell>
          <cell r="BK774">
            <v>1.2</v>
          </cell>
          <cell r="BL774">
            <v>1.2</v>
          </cell>
          <cell r="BM774">
            <v>1.2</v>
          </cell>
          <cell r="BN774">
            <v>1.2</v>
          </cell>
          <cell r="BO774">
            <v>1.2</v>
          </cell>
          <cell r="BP774">
            <v>1.2</v>
          </cell>
          <cell r="BQ774">
            <v>1.2</v>
          </cell>
          <cell r="BR774">
            <v>1.2</v>
          </cell>
          <cell r="BS774">
            <v>1.2</v>
          </cell>
          <cell r="BT774">
            <v>1.2</v>
          </cell>
          <cell r="BU774">
            <v>1.2</v>
          </cell>
          <cell r="BV774">
            <v>1.2</v>
          </cell>
        </row>
        <row r="775">
          <cell r="A775" t="str">
            <v>KIA</v>
          </cell>
          <cell r="B775" t="str">
            <v>CD/CTE</v>
          </cell>
          <cell r="D775" t="str">
            <v>SHIFT B HC  - efficiency</v>
          </cell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>
            <v>0.85</v>
          </cell>
          <cell r="AK775">
            <v>0.85</v>
          </cell>
          <cell r="AL775">
            <v>0.85</v>
          </cell>
          <cell r="AM775">
            <v>0.85</v>
          </cell>
          <cell r="AN775">
            <v>0.85</v>
          </cell>
          <cell r="AO775">
            <v>0.85</v>
          </cell>
          <cell r="AP775">
            <v>0.85</v>
          </cell>
          <cell r="AQ775">
            <v>0.85</v>
          </cell>
          <cell r="AR775">
            <v>0.85</v>
          </cell>
          <cell r="AS775">
            <v>0.85</v>
          </cell>
          <cell r="AT775">
            <v>0.85</v>
          </cell>
          <cell r="AU775">
            <v>0.85</v>
          </cell>
          <cell r="AV775">
            <v>0.85</v>
          </cell>
          <cell r="AW775">
            <v>0.85</v>
          </cell>
          <cell r="AX775">
            <v>0.85</v>
          </cell>
          <cell r="AY775">
            <v>0.85</v>
          </cell>
          <cell r="AZ775">
            <v>0.85</v>
          </cell>
          <cell r="BA775">
            <v>0.85</v>
          </cell>
          <cell r="BB775">
            <v>0.85</v>
          </cell>
          <cell r="BC775">
            <v>0.85</v>
          </cell>
          <cell r="BD775">
            <v>0.85</v>
          </cell>
          <cell r="BE775">
            <v>0.85</v>
          </cell>
          <cell r="BF775">
            <v>0.85</v>
          </cell>
          <cell r="BG775">
            <v>0.85</v>
          </cell>
          <cell r="BH775">
            <v>0.85</v>
          </cell>
          <cell r="BI775">
            <v>0.85</v>
          </cell>
          <cell r="BJ775">
            <v>0.85</v>
          </cell>
          <cell r="BK775">
            <v>1</v>
          </cell>
          <cell r="BL775">
            <v>1</v>
          </cell>
          <cell r="BM775">
            <v>1</v>
          </cell>
          <cell r="BN775">
            <v>1</v>
          </cell>
          <cell r="BO775">
            <v>1</v>
          </cell>
          <cell r="BP775">
            <v>1</v>
          </cell>
          <cell r="BQ775">
            <v>1</v>
          </cell>
          <cell r="BR775">
            <v>1</v>
          </cell>
          <cell r="BS775">
            <v>1</v>
          </cell>
          <cell r="BT775">
            <v>1</v>
          </cell>
          <cell r="BU775">
            <v>1</v>
          </cell>
          <cell r="BV775">
            <v>1</v>
          </cell>
        </row>
        <row r="776">
          <cell r="A776" t="str">
            <v>KIA</v>
          </cell>
          <cell r="B776" t="str">
            <v>CD/CTE</v>
          </cell>
          <cell r="D776" t="str">
            <v>SHIFT C HC  - efficiency</v>
          </cell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</row>
        <row r="777">
          <cell r="A777" t="str">
            <v>KIA</v>
          </cell>
          <cell r="B777" t="str">
            <v>CD/CTE</v>
          </cell>
          <cell r="D777" t="str">
            <v>Total efficiency</v>
          </cell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</row>
        <row r="778">
          <cell r="A778" t="str">
            <v>KIA</v>
          </cell>
          <cell r="B778" t="str">
            <v>CD/CTE</v>
          </cell>
          <cell r="D778" t="str">
            <v>SHIFT A - output</v>
          </cell>
          <cell r="Z778">
            <v>205.71428571428575</v>
          </cell>
          <cell r="AA778">
            <v>205.71428571428575</v>
          </cell>
          <cell r="AB778">
            <v>102.85714285714288</v>
          </cell>
          <cell r="AC778">
            <v>102.85714285714288</v>
          </cell>
          <cell r="AD778">
            <v>102.85714285714288</v>
          </cell>
          <cell r="AE778">
            <v>102.85714285714288</v>
          </cell>
          <cell r="AF778">
            <v>102.85714285714288</v>
          </cell>
          <cell r="AG778">
            <v>102.85714285714288</v>
          </cell>
          <cell r="AH778">
            <v>102.85714285714288</v>
          </cell>
          <cell r="AI778">
            <v>109.28571428571429</v>
          </cell>
          <cell r="AJ778">
            <v>109.28571428571429</v>
          </cell>
          <cell r="AK778">
            <v>109.28571428571429</v>
          </cell>
          <cell r="AL778">
            <v>109.28571428571429</v>
          </cell>
          <cell r="AM778">
            <v>109.28571428571429</v>
          </cell>
          <cell r="AN778">
            <v>109.28571428571429</v>
          </cell>
          <cell r="AO778">
            <v>109.28571428571429</v>
          </cell>
          <cell r="AP778">
            <v>109.28571428571429</v>
          </cell>
          <cell r="AQ778">
            <v>109.28571428571429</v>
          </cell>
          <cell r="AR778">
            <v>109.28571428571429</v>
          </cell>
          <cell r="AS778">
            <v>109.28571428571429</v>
          </cell>
          <cell r="AT778">
            <v>109.28571428571429</v>
          </cell>
          <cell r="AU778">
            <v>109.28571428571429</v>
          </cell>
          <cell r="AV778">
            <v>109.28571428571429</v>
          </cell>
          <cell r="AW778">
            <v>109.28571428571429</v>
          </cell>
          <cell r="AX778">
            <v>109.28571428571429</v>
          </cell>
          <cell r="AY778">
            <v>109.28571428571429</v>
          </cell>
          <cell r="AZ778">
            <v>109.28571428571429</v>
          </cell>
          <cell r="BA778">
            <v>109.28571428571429</v>
          </cell>
          <cell r="BB778">
            <v>109.28571428571429</v>
          </cell>
          <cell r="BC778">
            <v>109.28571428571429</v>
          </cell>
          <cell r="BD778">
            <v>109.28571428571429</v>
          </cell>
          <cell r="BE778">
            <v>109.28571428571429</v>
          </cell>
          <cell r="BF778">
            <v>109.28571428571429</v>
          </cell>
          <cell r="BG778">
            <v>109.28571428571429</v>
          </cell>
          <cell r="BH778">
            <v>109.28571428571429</v>
          </cell>
          <cell r="BI778">
            <v>109.28571428571429</v>
          </cell>
          <cell r="BJ778">
            <v>109.28571428571429</v>
          </cell>
          <cell r="BK778">
            <v>462.85714285714289</v>
          </cell>
          <cell r="BL778">
            <v>462.85714285714289</v>
          </cell>
          <cell r="BM778">
            <v>462.85714285714289</v>
          </cell>
          <cell r="BN778">
            <v>462.85714285714289</v>
          </cell>
          <cell r="BO778">
            <v>462.85714285714289</v>
          </cell>
          <cell r="BP778">
            <v>462.85714285714289</v>
          </cell>
          <cell r="BQ778">
            <v>462.85714285714289</v>
          </cell>
          <cell r="BR778">
            <v>462.85714285714289</v>
          </cell>
          <cell r="BS778">
            <v>462.85714285714289</v>
          </cell>
          <cell r="BT778">
            <v>462.85714285714289</v>
          </cell>
          <cell r="BU778">
            <v>462.85714285714289</v>
          </cell>
          <cell r="BV778">
            <v>462.85714285714289</v>
          </cell>
        </row>
        <row r="779">
          <cell r="A779" t="str">
            <v>KIA</v>
          </cell>
          <cell r="B779" t="str">
            <v>CD/CTE</v>
          </cell>
          <cell r="D779" t="str">
            <v>SHIFT B  - output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</row>
        <row r="780">
          <cell r="A780" t="str">
            <v>KIA</v>
          </cell>
          <cell r="B780" t="str">
            <v>CD/CTE</v>
          </cell>
          <cell r="D780" t="str">
            <v>SHIFT C  - output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</row>
        <row r="781">
          <cell r="A781" t="str">
            <v>KIA</v>
          </cell>
          <cell r="B781" t="str">
            <v>CD/CTE</v>
          </cell>
          <cell r="D781" t="str">
            <v>Est. Output (Pcs day)</v>
          </cell>
          <cell r="E781">
            <v>3.5</v>
          </cell>
          <cell r="Z781">
            <v>205.71428571428575</v>
          </cell>
          <cell r="AA781">
            <v>205.71428571428575</v>
          </cell>
          <cell r="AB781">
            <v>102.85714285714288</v>
          </cell>
          <cell r="AC781">
            <v>102.85714285714288</v>
          </cell>
          <cell r="AD781">
            <v>102.85714285714288</v>
          </cell>
          <cell r="AE781">
            <v>102.85714285714288</v>
          </cell>
          <cell r="AF781">
            <v>102.85714285714288</v>
          </cell>
          <cell r="AG781">
            <v>102.85714285714288</v>
          </cell>
          <cell r="AH781">
            <v>102.85714285714288</v>
          </cell>
          <cell r="AI781">
            <v>109.28571428571429</v>
          </cell>
          <cell r="AJ781">
            <v>109.28571428571429</v>
          </cell>
          <cell r="AK781">
            <v>109.28571428571429</v>
          </cell>
          <cell r="AL781">
            <v>109.28571428571429</v>
          </cell>
          <cell r="AM781">
            <v>109.28571428571429</v>
          </cell>
          <cell r="AN781">
            <v>109.28571428571429</v>
          </cell>
          <cell r="AO781">
            <v>109.28571428571429</v>
          </cell>
          <cell r="AP781">
            <v>109.28571428571429</v>
          </cell>
          <cell r="AQ781">
            <v>109.28571428571429</v>
          </cell>
          <cell r="AR781">
            <v>109.28571428571429</v>
          </cell>
          <cell r="AS781">
            <v>109.28571428571429</v>
          </cell>
          <cell r="AT781">
            <v>109.28571428571429</v>
          </cell>
          <cell r="AU781">
            <v>109.28571428571429</v>
          </cell>
          <cell r="AV781">
            <v>109.28571428571429</v>
          </cell>
          <cell r="AW781">
            <v>109.28571428571429</v>
          </cell>
          <cell r="AX781">
            <v>109.28571428571429</v>
          </cell>
          <cell r="AY781">
            <v>109.28571428571429</v>
          </cell>
          <cell r="AZ781">
            <v>109.28571428571429</v>
          </cell>
          <cell r="BA781">
            <v>109.28571428571429</v>
          </cell>
          <cell r="BB781">
            <v>109.28571428571429</v>
          </cell>
          <cell r="BC781">
            <v>109.28571428571429</v>
          </cell>
          <cell r="BD781">
            <v>109.28571428571429</v>
          </cell>
          <cell r="BE781">
            <v>109.28571428571429</v>
          </cell>
          <cell r="BF781">
            <v>109.28571428571429</v>
          </cell>
          <cell r="BG781">
            <v>109.28571428571429</v>
          </cell>
          <cell r="BH781">
            <v>109.28571428571429</v>
          </cell>
          <cell r="BI781">
            <v>109.28571428571429</v>
          </cell>
          <cell r="BJ781">
            <v>109.28571428571429</v>
          </cell>
          <cell r="BK781">
            <v>462.85714285714289</v>
          </cell>
          <cell r="BL781">
            <v>462.85714285714289</v>
          </cell>
          <cell r="BM781">
            <v>462.85714285714289</v>
          </cell>
          <cell r="BN781">
            <v>462.85714285714289</v>
          </cell>
          <cell r="BO781">
            <v>462.85714285714289</v>
          </cell>
          <cell r="BP781">
            <v>462.85714285714289</v>
          </cell>
          <cell r="BQ781">
            <v>462.85714285714289</v>
          </cell>
          <cell r="BR781">
            <v>462.85714285714289</v>
          </cell>
          <cell r="BS781">
            <v>462.85714285714289</v>
          </cell>
          <cell r="BT781">
            <v>462.85714285714289</v>
          </cell>
          <cell r="BU781">
            <v>462.85714285714289</v>
          </cell>
          <cell r="BV781">
            <v>462.85714285714289</v>
          </cell>
        </row>
        <row r="782">
          <cell r="A782" t="str">
            <v>KIA</v>
          </cell>
          <cell r="B782" t="str">
            <v>CD/CTE</v>
          </cell>
          <cell r="D782" t="str">
            <v>Weekly Output PLAN</v>
          </cell>
          <cell r="E782" t="str">
            <v>ASSY</v>
          </cell>
          <cell r="Z782">
            <v>1028.5714285714287</v>
          </cell>
          <cell r="AA782">
            <v>1028.5714285714287</v>
          </cell>
          <cell r="AB782">
            <v>514.28571428571433</v>
          </cell>
          <cell r="AC782">
            <v>514.28571428571433</v>
          </cell>
          <cell r="AD782">
            <v>308.57142857142861</v>
          </cell>
          <cell r="AE782">
            <v>514.28571428571433</v>
          </cell>
          <cell r="AF782">
            <v>514.28571428571433</v>
          </cell>
          <cell r="AG782">
            <v>205.71428571428575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546.42857142857144</v>
          </cell>
          <cell r="AT782">
            <v>546.42857142857144</v>
          </cell>
          <cell r="AU782">
            <v>546.42857142857144</v>
          </cell>
          <cell r="AV782">
            <v>546.42857142857144</v>
          </cell>
          <cell r="AW782">
            <v>546.42857142857144</v>
          </cell>
          <cell r="AX782">
            <v>546.42857142857144</v>
          </cell>
          <cell r="AY782">
            <v>546.42857142857144</v>
          </cell>
          <cell r="AZ782">
            <v>0</v>
          </cell>
          <cell r="BA782">
            <v>0</v>
          </cell>
          <cell r="BB782">
            <v>546.42857142857144</v>
          </cell>
          <cell r="BC782">
            <v>546.42857142857144</v>
          </cell>
          <cell r="BD782">
            <v>546.42857142857144</v>
          </cell>
          <cell r="BE782">
            <v>546.42857142857144</v>
          </cell>
          <cell r="BF782">
            <v>546.42857142857144</v>
          </cell>
          <cell r="BG782">
            <v>546.42857142857144</v>
          </cell>
          <cell r="BH782">
            <v>546.42857142857144</v>
          </cell>
          <cell r="BI782">
            <v>546.42857142857144</v>
          </cell>
          <cell r="BJ782">
            <v>546.42857142857144</v>
          </cell>
          <cell r="BK782">
            <v>2314.2857142857147</v>
          </cell>
          <cell r="BL782">
            <v>1388.5714285714287</v>
          </cell>
          <cell r="BM782">
            <v>1388.5714285714287</v>
          </cell>
          <cell r="BN782">
            <v>1388.5714285714287</v>
          </cell>
          <cell r="BO782">
            <v>1388.5714285714287</v>
          </cell>
          <cell r="BP782">
            <v>1388.5714285714287</v>
          </cell>
          <cell r="BQ782">
            <v>1388.5714285714287</v>
          </cell>
          <cell r="BR782">
            <v>1388.5714285714287</v>
          </cell>
          <cell r="BS782">
            <v>1388.5714285714287</v>
          </cell>
          <cell r="BT782">
            <v>1388.5714285714287</v>
          </cell>
          <cell r="BU782">
            <v>1388.5714285714287</v>
          </cell>
          <cell r="BV782">
            <v>1388.5714285714287</v>
          </cell>
        </row>
        <row r="783">
          <cell r="A783" t="str">
            <v>KIA</v>
          </cell>
          <cell r="B783" t="str">
            <v>CD/CTE</v>
          </cell>
          <cell r="D783" t="str">
            <v>FAB</v>
          </cell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</row>
        <row r="784">
          <cell r="A784" t="str">
            <v>KIA</v>
          </cell>
          <cell r="B784" t="str">
            <v>CD/CTE</v>
          </cell>
          <cell r="D784" t="str">
            <v>VNL</v>
          </cell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</row>
        <row r="785">
          <cell r="A785" t="str">
            <v>KIA</v>
          </cell>
          <cell r="B785" t="str">
            <v>CD/CTE</v>
          </cell>
          <cell r="D785" t="str">
            <v>LTH</v>
          </cell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</row>
        <row r="786">
          <cell r="A786" t="str">
            <v>KIA</v>
          </cell>
          <cell r="B786" t="str">
            <v>CD/CTE</v>
          </cell>
          <cell r="D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</row>
        <row r="787">
          <cell r="A787" t="str">
            <v>KIA</v>
          </cell>
          <cell r="B787" t="str">
            <v>CD/CTE</v>
          </cell>
          <cell r="D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</row>
        <row r="788">
          <cell r="A788" t="str">
            <v>KIA</v>
          </cell>
          <cell r="B788" t="str">
            <v>CD/CTE</v>
          </cell>
          <cell r="D788" t="str">
            <v>Weekly Output PLAN - SUM of models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</row>
        <row r="789">
          <cell r="A789" t="str">
            <v>KIA</v>
          </cell>
          <cell r="B789" t="str">
            <v>CD/CTE</v>
          </cell>
          <cell r="D789" t="str">
            <v>Weekly Output CHECK with TO time multiple</v>
          </cell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</row>
        <row r="790">
          <cell r="A790" t="str">
            <v>KIA</v>
          </cell>
          <cell r="B790" t="str">
            <v>CD/CTE</v>
          </cell>
          <cell r="D790" t="str">
            <v>Weekly Output ACT</v>
          </cell>
          <cell r="Z790">
            <v>1028.5714285714287</v>
          </cell>
          <cell r="AA790">
            <v>1028.5714285714287</v>
          </cell>
          <cell r="AB790">
            <v>514.28571428571433</v>
          </cell>
          <cell r="AC790">
            <v>514.28571428571433</v>
          </cell>
          <cell r="AD790">
            <v>308.57142857142861</v>
          </cell>
          <cell r="AE790">
            <v>514.28571428571433</v>
          </cell>
          <cell r="AF790">
            <v>514.28571428571433</v>
          </cell>
          <cell r="AG790">
            <v>205.71428571428575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546.42857142857144</v>
          </cell>
          <cell r="AT790">
            <v>546.42857142857144</v>
          </cell>
          <cell r="AU790">
            <v>546.42857142857144</v>
          </cell>
          <cell r="AV790">
            <v>546.42857142857144</v>
          </cell>
          <cell r="AW790">
            <v>546.42857142857144</v>
          </cell>
          <cell r="AX790">
            <v>546.42857142857144</v>
          </cell>
          <cell r="AY790">
            <v>546.42857142857144</v>
          </cell>
          <cell r="AZ790">
            <v>0</v>
          </cell>
          <cell r="BA790">
            <v>0</v>
          </cell>
          <cell r="BB790">
            <v>546.42857142857144</v>
          </cell>
          <cell r="BC790">
            <v>546.42857142857144</v>
          </cell>
          <cell r="BD790">
            <v>546.42857142857144</v>
          </cell>
          <cell r="BE790">
            <v>546.42857142857144</v>
          </cell>
          <cell r="BF790">
            <v>546.42857142857144</v>
          </cell>
          <cell r="BG790">
            <v>546.42857142857144</v>
          </cell>
          <cell r="BH790">
            <v>546.42857142857144</v>
          </cell>
          <cell r="BI790">
            <v>546.42857142857144</v>
          </cell>
          <cell r="BJ790">
            <v>546.42857142857144</v>
          </cell>
          <cell r="BK790">
            <v>2314.2857142857147</v>
          </cell>
          <cell r="BL790">
            <v>1388.5714285714287</v>
          </cell>
          <cell r="BM790">
            <v>1388.5714285714287</v>
          </cell>
          <cell r="BN790">
            <v>1388.5714285714287</v>
          </cell>
          <cell r="BO790">
            <v>1388.5714285714287</v>
          </cell>
          <cell r="BP790">
            <v>1388.5714285714287</v>
          </cell>
          <cell r="BQ790">
            <v>1388.5714285714287</v>
          </cell>
          <cell r="BR790">
            <v>1388.5714285714287</v>
          </cell>
          <cell r="BS790">
            <v>1388.5714285714287</v>
          </cell>
          <cell r="BT790">
            <v>1388.5714285714287</v>
          </cell>
          <cell r="BU790">
            <v>1388.5714285714287</v>
          </cell>
          <cell r="BV790">
            <v>1388.5714285714287</v>
          </cell>
        </row>
        <row r="791">
          <cell r="A791" t="str">
            <v>KIA</v>
          </cell>
          <cell r="B791" t="str">
            <v>CD/CTE</v>
          </cell>
          <cell r="D791" t="str">
            <v>FAB</v>
          </cell>
          <cell r="Z791">
            <v>1638</v>
          </cell>
          <cell r="AA791">
            <v>0</v>
          </cell>
          <cell r="AB791">
            <v>0</v>
          </cell>
          <cell r="AC791">
            <v>0</v>
          </cell>
          <cell r="AD791">
            <v>1014</v>
          </cell>
          <cell r="AE791">
            <v>0</v>
          </cell>
          <cell r="AF791">
            <v>780</v>
          </cell>
          <cell r="AG791">
            <v>0</v>
          </cell>
          <cell r="AH791">
            <v>234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409.4991</v>
          </cell>
          <cell r="AT791">
            <v>409.4991</v>
          </cell>
          <cell r="AU791">
            <v>409.4991</v>
          </cell>
          <cell r="AV791">
            <v>409.4991</v>
          </cell>
          <cell r="AW791">
            <v>409.4991</v>
          </cell>
          <cell r="AX791">
            <v>409.4991</v>
          </cell>
          <cell r="AY791">
            <v>409.4991</v>
          </cell>
          <cell r="AZ791">
            <v>409.4991</v>
          </cell>
          <cell r="BA791">
            <v>409.4991</v>
          </cell>
          <cell r="BB791">
            <v>409.4991</v>
          </cell>
          <cell r="BC791">
            <v>409.4991</v>
          </cell>
          <cell r="BD791">
            <v>409.4991</v>
          </cell>
          <cell r="BE791">
            <v>409.4991</v>
          </cell>
          <cell r="BF791">
            <v>454.99900000000002</v>
          </cell>
          <cell r="BG791">
            <v>454.99900000000002</v>
          </cell>
          <cell r="BH791">
            <v>454.99900000000002</v>
          </cell>
          <cell r="BI791">
            <v>454.99900000000002</v>
          </cell>
          <cell r="BJ791">
            <v>454.99900000000002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</row>
        <row r="792">
          <cell r="A792" t="str">
            <v>KIA</v>
          </cell>
          <cell r="B792" t="str">
            <v>CD/CTE</v>
          </cell>
          <cell r="D792" t="str">
            <v>VNL</v>
          </cell>
          <cell r="Z792">
            <v>78</v>
          </cell>
          <cell r="AA792">
            <v>0</v>
          </cell>
          <cell r="AB792">
            <v>0</v>
          </cell>
          <cell r="AC792">
            <v>0</v>
          </cell>
          <cell r="AD792">
            <v>624</v>
          </cell>
          <cell r="AE792">
            <v>0</v>
          </cell>
          <cell r="AF792">
            <v>624</v>
          </cell>
          <cell r="AG792">
            <v>0</v>
          </cell>
          <cell r="AH792">
            <v>312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</row>
        <row r="793">
          <cell r="A793" t="str">
            <v>KIA</v>
          </cell>
          <cell r="B793" t="str">
            <v>CD/CTE</v>
          </cell>
          <cell r="D793" t="str">
            <v>LTH</v>
          </cell>
          <cell r="Z793">
            <v>156</v>
          </cell>
          <cell r="AA793">
            <v>0</v>
          </cell>
          <cell r="AB793">
            <v>0</v>
          </cell>
          <cell r="AC793">
            <v>0</v>
          </cell>
          <cell r="AD793">
            <v>78</v>
          </cell>
          <cell r="AE793">
            <v>0</v>
          </cell>
          <cell r="AF793">
            <v>78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</row>
        <row r="794">
          <cell r="A794" t="str">
            <v>KIA</v>
          </cell>
          <cell r="B794" t="str">
            <v>CD/CTE</v>
          </cell>
          <cell r="D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</row>
        <row r="795">
          <cell r="A795" t="str">
            <v>KIA</v>
          </cell>
          <cell r="B795" t="str">
            <v>CD/CTE</v>
          </cell>
          <cell r="D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</row>
        <row r="796">
          <cell r="A796" t="str">
            <v>KIA</v>
          </cell>
          <cell r="B796" t="str">
            <v>CD/CTE</v>
          </cell>
          <cell r="D796" t="str">
            <v>Weekly demand</v>
          </cell>
          <cell r="Z796">
            <v>1872</v>
          </cell>
          <cell r="AA796">
            <v>0</v>
          </cell>
          <cell r="AB796">
            <v>0</v>
          </cell>
          <cell r="AC796">
            <v>0</v>
          </cell>
          <cell r="AD796">
            <v>1716</v>
          </cell>
          <cell r="AE796">
            <v>0</v>
          </cell>
          <cell r="AF796">
            <v>1482</v>
          </cell>
          <cell r="AG796">
            <v>0</v>
          </cell>
          <cell r="AH796">
            <v>546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409.4991</v>
          </cell>
          <cell r="AT796">
            <v>409.4991</v>
          </cell>
          <cell r="AU796">
            <v>409.4991</v>
          </cell>
          <cell r="AV796">
            <v>409.4991</v>
          </cell>
          <cell r="AW796">
            <v>409.4991</v>
          </cell>
          <cell r="AX796">
            <v>409.4991</v>
          </cell>
          <cell r="AY796">
            <v>409.4991</v>
          </cell>
          <cell r="AZ796">
            <v>409.4991</v>
          </cell>
          <cell r="BA796">
            <v>409.4991</v>
          </cell>
          <cell r="BB796">
            <v>409.4991</v>
          </cell>
          <cell r="BC796">
            <v>409.4991</v>
          </cell>
          <cell r="BD796">
            <v>409.4991</v>
          </cell>
          <cell r="BE796">
            <v>409.4991</v>
          </cell>
          <cell r="BF796">
            <v>454.99900000000002</v>
          </cell>
          <cell r="BG796">
            <v>454.99900000000002</v>
          </cell>
          <cell r="BH796">
            <v>454.99900000000002</v>
          </cell>
          <cell r="BI796">
            <v>454.99900000000002</v>
          </cell>
          <cell r="BJ796">
            <v>454.99900000000002</v>
          </cell>
          <cell r="BK796">
            <v>0</v>
          </cell>
          <cell r="BL796">
            <v>13448.483300000004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</row>
        <row r="797">
          <cell r="A797" t="str">
            <v>KIA</v>
          </cell>
          <cell r="B797" t="str">
            <v>CD/CTE</v>
          </cell>
          <cell r="D797" t="str">
            <v>Stock Target</v>
          </cell>
          <cell r="Z797">
            <v>900</v>
          </cell>
          <cell r="AA797">
            <v>900</v>
          </cell>
          <cell r="AB797">
            <v>900</v>
          </cell>
          <cell r="AC797">
            <v>900</v>
          </cell>
          <cell r="AD797">
            <v>900</v>
          </cell>
          <cell r="AE797">
            <v>900</v>
          </cell>
          <cell r="AF797">
            <v>900</v>
          </cell>
          <cell r="AG797">
            <v>900</v>
          </cell>
          <cell r="AH797">
            <v>900</v>
          </cell>
          <cell r="AI797">
            <v>900</v>
          </cell>
          <cell r="AJ797">
            <v>1200</v>
          </cell>
          <cell r="AK797">
            <v>1200</v>
          </cell>
          <cell r="AL797">
            <v>1200</v>
          </cell>
          <cell r="AM797">
            <v>1200</v>
          </cell>
          <cell r="AN797">
            <v>1200</v>
          </cell>
          <cell r="AO797">
            <v>1200</v>
          </cell>
          <cell r="AP797">
            <v>1200</v>
          </cell>
          <cell r="AQ797">
            <v>1200</v>
          </cell>
          <cell r="AR797">
            <v>1200</v>
          </cell>
          <cell r="AS797">
            <v>1200</v>
          </cell>
          <cell r="AT797">
            <v>2538</v>
          </cell>
          <cell r="AU797">
            <v>2539</v>
          </cell>
          <cell r="AV797">
            <v>2540</v>
          </cell>
          <cell r="AW797">
            <v>2541</v>
          </cell>
          <cell r="AX797">
            <v>2542</v>
          </cell>
          <cell r="AY797">
            <v>2543</v>
          </cell>
          <cell r="AZ797">
            <v>2544</v>
          </cell>
          <cell r="BA797">
            <v>2545</v>
          </cell>
          <cell r="BB797">
            <v>2546</v>
          </cell>
          <cell r="BC797">
            <v>2547</v>
          </cell>
          <cell r="BD797">
            <v>2548</v>
          </cell>
          <cell r="BE797">
            <v>2549</v>
          </cell>
          <cell r="BF797">
            <v>2550</v>
          </cell>
          <cell r="BG797">
            <v>2551</v>
          </cell>
          <cell r="BH797">
            <v>2552</v>
          </cell>
          <cell r="BI797">
            <v>2553</v>
          </cell>
          <cell r="BJ797">
            <v>2554</v>
          </cell>
          <cell r="BK797">
            <v>2555</v>
          </cell>
          <cell r="BL797">
            <v>2556</v>
          </cell>
          <cell r="BM797">
            <v>2557</v>
          </cell>
          <cell r="BN797">
            <v>2558</v>
          </cell>
          <cell r="BO797">
            <v>2559</v>
          </cell>
          <cell r="BP797">
            <v>2560</v>
          </cell>
          <cell r="BQ797">
            <v>2561</v>
          </cell>
          <cell r="BR797">
            <v>2562</v>
          </cell>
          <cell r="BS797">
            <v>2563</v>
          </cell>
          <cell r="BT797">
            <v>2564</v>
          </cell>
          <cell r="BU797">
            <v>2565</v>
          </cell>
          <cell r="BV797">
            <v>2566</v>
          </cell>
        </row>
        <row r="798">
          <cell r="A798" t="str">
            <v>KIA</v>
          </cell>
          <cell r="B798" t="str">
            <v>CD/CTE</v>
          </cell>
          <cell r="D798" t="str">
            <v>FAB</v>
          </cell>
          <cell r="Z798">
            <v>780</v>
          </cell>
          <cell r="AA798">
            <v>156</v>
          </cell>
          <cell r="AB798">
            <v>156</v>
          </cell>
          <cell r="AC798">
            <v>156</v>
          </cell>
          <cell r="AD798">
            <v>-858</v>
          </cell>
          <cell r="AE798">
            <v>-858</v>
          </cell>
          <cell r="AF798">
            <v>-1638</v>
          </cell>
          <cell r="AG798">
            <v>-1638</v>
          </cell>
          <cell r="AH798">
            <v>-1872</v>
          </cell>
          <cell r="AI798">
            <v>-1872</v>
          </cell>
          <cell r="AJ798">
            <v>-1872</v>
          </cell>
          <cell r="AK798">
            <v>-1872</v>
          </cell>
          <cell r="AL798">
            <v>-1872</v>
          </cell>
          <cell r="AM798">
            <v>-1872</v>
          </cell>
          <cell r="AN798">
            <v>-1872</v>
          </cell>
          <cell r="AO798">
            <v>-1872</v>
          </cell>
          <cell r="AP798">
            <v>-1872</v>
          </cell>
          <cell r="AQ798">
            <v>-1872</v>
          </cell>
          <cell r="AR798">
            <v>-1872</v>
          </cell>
          <cell r="AS798">
            <v>-2281.4991</v>
          </cell>
          <cell r="AT798">
            <v>-2690.9982</v>
          </cell>
          <cell r="AU798">
            <v>-3100.4973</v>
          </cell>
          <cell r="AV798">
            <v>-3509.9964</v>
          </cell>
          <cell r="AW798">
            <v>-3919.4955</v>
          </cell>
          <cell r="AX798">
            <v>-4328.9946</v>
          </cell>
          <cell r="AY798">
            <v>-4738.4937</v>
          </cell>
          <cell r="AZ798">
            <v>-5147.9928</v>
          </cell>
          <cell r="BA798">
            <v>-5557.4919</v>
          </cell>
          <cell r="BB798">
            <v>-5966.991</v>
          </cell>
          <cell r="BC798">
            <v>-6376.4901</v>
          </cell>
          <cell r="BD798">
            <v>-6785.9892</v>
          </cell>
          <cell r="BE798">
            <v>-7195.4883</v>
          </cell>
          <cell r="BF798">
            <v>-7650.4872999999998</v>
          </cell>
          <cell r="BG798">
            <v>-8105.4862999999996</v>
          </cell>
          <cell r="BH798">
            <v>-8560.4853000000003</v>
          </cell>
          <cell r="BI798">
            <v>-9015.4843000000001</v>
          </cell>
          <cell r="BJ798">
            <v>-9470.4832999999999</v>
          </cell>
          <cell r="BK798">
            <v>-9470.4832999999999</v>
          </cell>
          <cell r="BL798">
            <v>-9470.4832999999999</v>
          </cell>
          <cell r="BM798">
            <v>-9470.4832999999999</v>
          </cell>
          <cell r="BN798">
            <v>-9470.4832999999999</v>
          </cell>
          <cell r="BO798">
            <v>-9470.4832999999999</v>
          </cell>
          <cell r="BP798">
            <v>-9470.4832999999999</v>
          </cell>
          <cell r="BQ798">
            <v>-9470.4832999999999</v>
          </cell>
          <cell r="BR798">
            <v>-9470.4832999999999</v>
          </cell>
          <cell r="BS798">
            <v>-9470.4832999999999</v>
          </cell>
          <cell r="BT798">
            <v>-9470.4832999999999</v>
          </cell>
          <cell r="BU798">
            <v>-9470.4832999999999</v>
          </cell>
          <cell r="BV798">
            <v>-9470.4832999999999</v>
          </cell>
        </row>
        <row r="799">
          <cell r="A799" t="str">
            <v>KIA</v>
          </cell>
          <cell r="B799" t="str">
            <v>CD/CTE</v>
          </cell>
          <cell r="D799" t="str">
            <v>VNL</v>
          </cell>
          <cell r="Z799">
            <v>1014</v>
          </cell>
          <cell r="AA799">
            <v>546</v>
          </cell>
          <cell r="AB799">
            <v>546</v>
          </cell>
          <cell r="AC799">
            <v>546</v>
          </cell>
          <cell r="AD799">
            <v>-78</v>
          </cell>
          <cell r="AE799">
            <v>-78</v>
          </cell>
          <cell r="AF799">
            <v>-702</v>
          </cell>
          <cell r="AG799">
            <v>-702</v>
          </cell>
          <cell r="AH799">
            <v>-1014</v>
          </cell>
          <cell r="AI799">
            <v>-1014</v>
          </cell>
          <cell r="AJ799">
            <v>-1014</v>
          </cell>
          <cell r="AK799">
            <v>-1014</v>
          </cell>
          <cell r="AL799">
            <v>-1014</v>
          </cell>
          <cell r="AM799">
            <v>-1014</v>
          </cell>
          <cell r="AN799">
            <v>-1014</v>
          </cell>
          <cell r="AO799">
            <v>-1014</v>
          </cell>
          <cell r="AP799">
            <v>-1014</v>
          </cell>
          <cell r="AQ799">
            <v>-1014</v>
          </cell>
          <cell r="AR799">
            <v>-1014</v>
          </cell>
          <cell r="AS799">
            <v>-1014</v>
          </cell>
          <cell r="AT799">
            <v>-1014</v>
          </cell>
          <cell r="AU799">
            <v>-1014</v>
          </cell>
          <cell r="AV799">
            <v>-1014</v>
          </cell>
          <cell r="AW799">
            <v>-1014</v>
          </cell>
          <cell r="AX799">
            <v>-1014</v>
          </cell>
          <cell r="AY799">
            <v>-1014</v>
          </cell>
          <cell r="AZ799">
            <v>-1014</v>
          </cell>
          <cell r="BA799">
            <v>-1014</v>
          </cell>
          <cell r="BB799">
            <v>-1014</v>
          </cell>
          <cell r="BC799">
            <v>-1014</v>
          </cell>
          <cell r="BD799">
            <v>-1014</v>
          </cell>
          <cell r="BE799">
            <v>-1014</v>
          </cell>
          <cell r="BF799">
            <v>-1014</v>
          </cell>
          <cell r="BG799">
            <v>-1014</v>
          </cell>
          <cell r="BH799">
            <v>-1014</v>
          </cell>
          <cell r="BI799">
            <v>-1014</v>
          </cell>
          <cell r="BJ799">
            <v>-1014</v>
          </cell>
          <cell r="BK799">
            <v>-1014</v>
          </cell>
          <cell r="BL799">
            <v>-1014</v>
          </cell>
          <cell r="BM799">
            <v>-1014</v>
          </cell>
          <cell r="BN799">
            <v>-1014</v>
          </cell>
          <cell r="BO799">
            <v>-1014</v>
          </cell>
          <cell r="BP799">
            <v>-1014</v>
          </cell>
          <cell r="BQ799">
            <v>-1014</v>
          </cell>
          <cell r="BR799">
            <v>-1014</v>
          </cell>
          <cell r="BS799">
            <v>-1014</v>
          </cell>
          <cell r="BT799">
            <v>-1014</v>
          </cell>
          <cell r="BU799">
            <v>-1014</v>
          </cell>
          <cell r="BV799">
            <v>-1014</v>
          </cell>
        </row>
        <row r="800">
          <cell r="A800" t="str">
            <v>KIA</v>
          </cell>
          <cell r="B800" t="str">
            <v>CD/CTE</v>
          </cell>
          <cell r="D800" t="str">
            <v>LTH</v>
          </cell>
          <cell r="Z800">
            <v>78</v>
          </cell>
          <cell r="AA800">
            <v>0</v>
          </cell>
          <cell r="AB800">
            <v>0</v>
          </cell>
          <cell r="AC800">
            <v>0</v>
          </cell>
          <cell r="AD800">
            <v>-78</v>
          </cell>
          <cell r="AE800">
            <v>-78</v>
          </cell>
          <cell r="AF800">
            <v>-156</v>
          </cell>
          <cell r="AG800">
            <v>-156</v>
          </cell>
          <cell r="AH800">
            <v>-156</v>
          </cell>
          <cell r="AI800">
            <v>-156</v>
          </cell>
          <cell r="AJ800">
            <v>-156</v>
          </cell>
          <cell r="AK800">
            <v>-156</v>
          </cell>
          <cell r="AL800">
            <v>-156</v>
          </cell>
          <cell r="AM800">
            <v>-156</v>
          </cell>
          <cell r="AN800">
            <v>-156</v>
          </cell>
          <cell r="AO800">
            <v>-156</v>
          </cell>
          <cell r="AP800">
            <v>-156</v>
          </cell>
          <cell r="AQ800">
            <v>-156</v>
          </cell>
          <cell r="AR800">
            <v>-156</v>
          </cell>
          <cell r="AS800">
            <v>-156</v>
          </cell>
          <cell r="AT800">
            <v>-156</v>
          </cell>
          <cell r="AU800">
            <v>-156</v>
          </cell>
          <cell r="AV800">
            <v>-156</v>
          </cell>
          <cell r="AW800">
            <v>-156</v>
          </cell>
          <cell r="AX800">
            <v>-156</v>
          </cell>
          <cell r="AY800">
            <v>-156</v>
          </cell>
          <cell r="AZ800">
            <v>-156</v>
          </cell>
          <cell r="BA800">
            <v>-156</v>
          </cell>
          <cell r="BB800">
            <v>-156</v>
          </cell>
          <cell r="BC800">
            <v>-156</v>
          </cell>
          <cell r="BD800">
            <v>-156</v>
          </cell>
          <cell r="BE800">
            <v>-156</v>
          </cell>
          <cell r="BF800">
            <v>-156</v>
          </cell>
          <cell r="BG800">
            <v>-156</v>
          </cell>
          <cell r="BH800">
            <v>-156</v>
          </cell>
          <cell r="BI800">
            <v>-156</v>
          </cell>
          <cell r="BJ800">
            <v>-156</v>
          </cell>
          <cell r="BK800">
            <v>-156</v>
          </cell>
          <cell r="BL800">
            <v>-156</v>
          </cell>
          <cell r="BM800">
            <v>-156</v>
          </cell>
          <cell r="BN800">
            <v>-156</v>
          </cell>
          <cell r="BO800">
            <v>-156</v>
          </cell>
          <cell r="BP800">
            <v>-156</v>
          </cell>
          <cell r="BQ800">
            <v>-156</v>
          </cell>
          <cell r="BR800">
            <v>-156</v>
          </cell>
          <cell r="BS800">
            <v>-156</v>
          </cell>
          <cell r="BT800">
            <v>-156</v>
          </cell>
          <cell r="BU800">
            <v>-156</v>
          </cell>
          <cell r="BV800">
            <v>-156</v>
          </cell>
        </row>
        <row r="801">
          <cell r="A801" t="str">
            <v>KIA</v>
          </cell>
          <cell r="B801" t="str">
            <v>CD/CTE</v>
          </cell>
          <cell r="D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</row>
        <row r="802">
          <cell r="A802" t="str">
            <v>KIA</v>
          </cell>
          <cell r="B802" t="str">
            <v>CD/CTE</v>
          </cell>
          <cell r="D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</row>
        <row r="803">
          <cell r="A803" t="str">
            <v>KIA</v>
          </cell>
          <cell r="B803" t="str">
            <v>CD/CTE</v>
          </cell>
          <cell r="D803" t="str">
            <v>STOCK</v>
          </cell>
          <cell r="Z803">
            <v>1872</v>
          </cell>
          <cell r="AA803">
            <v>2900.5714285714284</v>
          </cell>
          <cell r="AB803">
            <v>3414.8571428571427</v>
          </cell>
          <cell r="AC803">
            <v>3929.1428571428569</v>
          </cell>
          <cell r="AD803">
            <v>2521.7142857142853</v>
          </cell>
          <cell r="AE803">
            <v>3035.9999999999995</v>
          </cell>
          <cell r="AF803">
            <v>2068.2857142857138</v>
          </cell>
          <cell r="AG803">
            <v>2273.9999999999995</v>
          </cell>
          <cell r="AH803">
            <v>1727.9999999999995</v>
          </cell>
          <cell r="AI803">
            <v>1727.9999999999995</v>
          </cell>
          <cell r="AJ803">
            <v>1727.9999999999995</v>
          </cell>
          <cell r="AK803">
            <v>1727.9999999999995</v>
          </cell>
          <cell r="AL803">
            <v>1727.9999999999995</v>
          </cell>
          <cell r="AM803">
            <v>1727.9999999999995</v>
          </cell>
          <cell r="AN803">
            <v>1727.9999999999995</v>
          </cell>
          <cell r="AO803">
            <v>1727.9999999999995</v>
          </cell>
          <cell r="AP803">
            <v>1727.9999999999995</v>
          </cell>
          <cell r="AQ803">
            <v>1727.9999999999995</v>
          </cell>
          <cell r="AR803">
            <v>1727.9999999999995</v>
          </cell>
          <cell r="AS803">
            <v>1864.9294714285711</v>
          </cell>
          <cell r="AT803">
            <v>2001.8589428571427</v>
          </cell>
          <cell r="AU803">
            <v>2138.7884142857142</v>
          </cell>
          <cell r="AV803">
            <v>2275.7178857142858</v>
          </cell>
          <cell r="AW803">
            <v>2412.6473571428573</v>
          </cell>
          <cell r="AX803">
            <v>2549.5768285714289</v>
          </cell>
          <cell r="AY803">
            <v>2686.5063000000005</v>
          </cell>
          <cell r="AZ803">
            <v>2277.0072000000005</v>
          </cell>
          <cell r="BA803">
            <v>1867.5081000000005</v>
          </cell>
          <cell r="BB803">
            <v>2004.437571428572</v>
          </cell>
          <cell r="BC803">
            <v>2141.3670428571436</v>
          </cell>
          <cell r="BD803">
            <v>2278.2965142857151</v>
          </cell>
          <cell r="BE803">
            <v>2415.2259857142867</v>
          </cell>
          <cell r="BF803">
            <v>2506.655557142858</v>
          </cell>
          <cell r="BG803">
            <v>2598.0851285714298</v>
          </cell>
          <cell r="BH803">
            <v>2689.5147000000015</v>
          </cell>
          <cell r="BI803">
            <v>2780.9442714285733</v>
          </cell>
          <cell r="BJ803">
            <v>2872.3738428571451</v>
          </cell>
          <cell r="BK803">
            <v>5186.6595571428597</v>
          </cell>
          <cell r="BL803">
            <v>-6873.2523142857162</v>
          </cell>
          <cell r="BM803">
            <v>-5484.6808857142878</v>
          </cell>
          <cell r="BN803">
            <v>-4096.1094571428594</v>
          </cell>
          <cell r="BO803">
            <v>-2707.5380285714309</v>
          </cell>
          <cell r="BP803">
            <v>-1318.9666000000022</v>
          </cell>
          <cell r="BQ803">
            <v>69.604828571426424</v>
          </cell>
          <cell r="BR803">
            <v>1458.1762571428551</v>
          </cell>
          <cell r="BS803">
            <v>2846.7476857142838</v>
          </cell>
          <cell r="BT803">
            <v>4235.3191142857122</v>
          </cell>
          <cell r="BU803">
            <v>5623.8905428571406</v>
          </cell>
          <cell r="BV803">
            <v>7012.4619714285691</v>
          </cell>
        </row>
        <row r="804">
          <cell r="A804" t="str">
            <v>Blank</v>
          </cell>
          <cell r="B804" t="str">
            <v>Blank</v>
          </cell>
          <cell r="D804" t="str">
            <v>Blank</v>
          </cell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</row>
        <row r="805">
          <cell r="A805" t="str">
            <v>KIA</v>
          </cell>
          <cell r="B805" t="str">
            <v>CD/CTE</v>
          </cell>
          <cell r="D805" t="str">
            <v>Work days</v>
          </cell>
          <cell r="Z805">
            <v>5</v>
          </cell>
          <cell r="AA805">
            <v>5</v>
          </cell>
          <cell r="AB805">
            <v>5</v>
          </cell>
          <cell r="AC805">
            <v>5</v>
          </cell>
          <cell r="AD805">
            <v>3</v>
          </cell>
          <cell r="AE805">
            <v>5</v>
          </cell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>
            <v>5</v>
          </cell>
          <cell r="AU805">
            <v>5</v>
          </cell>
          <cell r="AV805">
            <v>5</v>
          </cell>
          <cell r="AW805">
            <v>5</v>
          </cell>
          <cell r="AX805">
            <v>5</v>
          </cell>
          <cell r="AY805">
            <v>5</v>
          </cell>
          <cell r="AZ805">
            <v>0</v>
          </cell>
          <cell r="BA805">
            <v>0</v>
          </cell>
          <cell r="BB805">
            <v>5</v>
          </cell>
          <cell r="BC805">
            <v>5</v>
          </cell>
          <cell r="BD805">
            <v>5</v>
          </cell>
          <cell r="BE805">
            <v>5</v>
          </cell>
          <cell r="BF805">
            <v>5</v>
          </cell>
          <cell r="BG805">
            <v>5</v>
          </cell>
          <cell r="BH805">
            <v>5</v>
          </cell>
          <cell r="BI805">
            <v>5</v>
          </cell>
          <cell r="BJ805">
            <v>5</v>
          </cell>
          <cell r="BK805">
            <v>5</v>
          </cell>
          <cell r="BL805">
            <v>2</v>
          </cell>
          <cell r="BM805">
            <v>2</v>
          </cell>
          <cell r="BN805">
            <v>2</v>
          </cell>
          <cell r="BO805">
            <v>2</v>
          </cell>
          <cell r="BP805">
            <v>2</v>
          </cell>
          <cell r="BQ805">
            <v>2</v>
          </cell>
          <cell r="BR805">
            <v>2</v>
          </cell>
          <cell r="BS805">
            <v>2</v>
          </cell>
          <cell r="BT805">
            <v>2</v>
          </cell>
          <cell r="BU805">
            <v>2</v>
          </cell>
          <cell r="BV805">
            <v>2</v>
          </cell>
        </row>
        <row r="806">
          <cell r="A806" t="str">
            <v>KIA</v>
          </cell>
          <cell r="B806" t="str">
            <v>CD/CTE</v>
          </cell>
          <cell r="D806" t="str">
            <v>SHIFT A HC - operators</v>
          </cell>
          <cell r="Z806">
            <v>2</v>
          </cell>
          <cell r="AA806">
            <v>2</v>
          </cell>
          <cell r="AB806">
            <v>2</v>
          </cell>
          <cell r="AC806">
            <v>2</v>
          </cell>
          <cell r="AD806">
            <v>2</v>
          </cell>
          <cell r="AE806">
            <v>2</v>
          </cell>
          <cell r="AF806">
            <v>2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2</v>
          </cell>
          <cell r="AL806">
            <v>2</v>
          </cell>
          <cell r="AM806">
            <v>2</v>
          </cell>
          <cell r="AN806">
            <v>2</v>
          </cell>
          <cell r="AO806">
            <v>2</v>
          </cell>
          <cell r="AP806">
            <v>2</v>
          </cell>
          <cell r="AQ806">
            <v>2</v>
          </cell>
          <cell r="AR806">
            <v>2</v>
          </cell>
          <cell r="AS806">
            <v>2</v>
          </cell>
          <cell r="AT806">
            <v>2</v>
          </cell>
          <cell r="AU806">
            <v>2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2</v>
          </cell>
          <cell r="BB806">
            <v>2</v>
          </cell>
          <cell r="BC806">
            <v>1</v>
          </cell>
          <cell r="BD806">
            <v>2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2</v>
          </cell>
          <cell r="BJ806">
            <v>1</v>
          </cell>
          <cell r="BK806">
            <v>2</v>
          </cell>
          <cell r="BL806">
            <v>2</v>
          </cell>
          <cell r="BM806">
            <v>2</v>
          </cell>
          <cell r="BN806">
            <v>2</v>
          </cell>
          <cell r="BO806">
            <v>2</v>
          </cell>
          <cell r="BP806">
            <v>2</v>
          </cell>
          <cell r="BQ806">
            <v>2</v>
          </cell>
          <cell r="BR806">
            <v>2</v>
          </cell>
          <cell r="BS806">
            <v>2</v>
          </cell>
          <cell r="BT806">
            <v>2</v>
          </cell>
          <cell r="BU806">
            <v>2</v>
          </cell>
          <cell r="BV806">
            <v>2</v>
          </cell>
        </row>
        <row r="807">
          <cell r="A807" t="str">
            <v>KIA</v>
          </cell>
          <cell r="B807" t="str">
            <v>CD/CTE</v>
          </cell>
          <cell r="D807" t="str">
            <v>SHIFT B HC  - operators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</row>
        <row r="808">
          <cell r="A808" t="str">
            <v>KIA</v>
          </cell>
          <cell r="B808" t="str">
            <v>CD/CTE</v>
          </cell>
          <cell r="D808" t="str">
            <v>SHIFT C HC  - operators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</row>
        <row r="809">
          <cell r="A809" t="str">
            <v>KIA</v>
          </cell>
          <cell r="B809" t="str">
            <v>CD/CTE</v>
          </cell>
          <cell r="D809" t="str">
            <v>Total HC</v>
          </cell>
          <cell r="Z809">
            <v>2</v>
          </cell>
          <cell r="AA809">
            <v>2</v>
          </cell>
          <cell r="AB809">
            <v>2</v>
          </cell>
          <cell r="AC809">
            <v>2</v>
          </cell>
          <cell r="AD809">
            <v>2</v>
          </cell>
          <cell r="AE809">
            <v>2</v>
          </cell>
          <cell r="AF809">
            <v>2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2</v>
          </cell>
          <cell r="AL809">
            <v>2</v>
          </cell>
          <cell r="AM809">
            <v>2</v>
          </cell>
          <cell r="AN809">
            <v>2</v>
          </cell>
          <cell r="AO809">
            <v>2</v>
          </cell>
          <cell r="AP809">
            <v>2</v>
          </cell>
          <cell r="AQ809">
            <v>2</v>
          </cell>
          <cell r="AR809">
            <v>2</v>
          </cell>
          <cell r="AS809">
            <v>2</v>
          </cell>
          <cell r="AT809">
            <v>2</v>
          </cell>
          <cell r="AU809">
            <v>2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2</v>
          </cell>
          <cell r="BB809">
            <v>2</v>
          </cell>
          <cell r="BC809">
            <v>1</v>
          </cell>
          <cell r="BD809">
            <v>2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2</v>
          </cell>
          <cell r="BJ809">
            <v>1</v>
          </cell>
          <cell r="BK809">
            <v>2</v>
          </cell>
          <cell r="BL809">
            <v>2</v>
          </cell>
          <cell r="BM809">
            <v>2</v>
          </cell>
          <cell r="BN809">
            <v>2</v>
          </cell>
          <cell r="BO809">
            <v>2</v>
          </cell>
          <cell r="BP809">
            <v>2</v>
          </cell>
          <cell r="BQ809">
            <v>2</v>
          </cell>
          <cell r="BR809">
            <v>2</v>
          </cell>
          <cell r="BS809">
            <v>2</v>
          </cell>
          <cell r="BT809">
            <v>2</v>
          </cell>
          <cell r="BU809">
            <v>2</v>
          </cell>
          <cell r="BV809">
            <v>2</v>
          </cell>
        </row>
        <row r="810">
          <cell r="A810" t="str">
            <v>KIA</v>
          </cell>
          <cell r="B810" t="str">
            <v>CD/CTE</v>
          </cell>
          <cell r="D810" t="str">
            <v>SHIFT A HC  - efficiency</v>
          </cell>
          <cell r="Z810">
            <v>0.95</v>
          </cell>
          <cell r="AA810">
            <v>1</v>
          </cell>
          <cell r="AB810">
            <v>1.05</v>
          </cell>
          <cell r="AC810">
            <v>1.05</v>
          </cell>
          <cell r="AD810">
            <v>1.05</v>
          </cell>
          <cell r="AE810">
            <v>1</v>
          </cell>
          <cell r="AF810">
            <v>1</v>
          </cell>
          <cell r="AG810">
            <v>1.2</v>
          </cell>
          <cell r="AH810">
            <v>1.2</v>
          </cell>
          <cell r="AI810">
            <v>1.2</v>
          </cell>
          <cell r="AJ810">
            <v>1.2</v>
          </cell>
          <cell r="AK810">
            <v>1.2</v>
          </cell>
          <cell r="AL810">
            <v>1.2</v>
          </cell>
          <cell r="AM810">
            <v>1.2</v>
          </cell>
          <cell r="AN810">
            <v>1.2</v>
          </cell>
          <cell r="AO810">
            <v>1.2</v>
          </cell>
          <cell r="AP810">
            <v>1.2</v>
          </cell>
          <cell r="AQ810">
            <v>1.2</v>
          </cell>
          <cell r="AR810">
            <v>1.2</v>
          </cell>
          <cell r="AS810">
            <v>1.2</v>
          </cell>
          <cell r="AT810">
            <v>1.2</v>
          </cell>
          <cell r="AU810">
            <v>1.2</v>
          </cell>
          <cell r="AV810">
            <v>1.2</v>
          </cell>
          <cell r="AW810">
            <v>1.2</v>
          </cell>
          <cell r="AX810">
            <v>1.2</v>
          </cell>
          <cell r="AY810">
            <v>1.2</v>
          </cell>
          <cell r="AZ810">
            <v>1.2</v>
          </cell>
          <cell r="BA810">
            <v>1.2</v>
          </cell>
          <cell r="BB810">
            <v>1.2</v>
          </cell>
          <cell r="BC810">
            <v>1.2</v>
          </cell>
          <cell r="BD810">
            <v>1.2</v>
          </cell>
          <cell r="BE810">
            <v>1.2</v>
          </cell>
          <cell r="BF810">
            <v>1.2</v>
          </cell>
          <cell r="BG810">
            <v>1.2</v>
          </cell>
          <cell r="BH810">
            <v>1.2</v>
          </cell>
          <cell r="BI810">
            <v>1.2</v>
          </cell>
          <cell r="BJ810">
            <v>1.2</v>
          </cell>
          <cell r="BK810">
            <v>1.2</v>
          </cell>
          <cell r="BL810">
            <v>1.2</v>
          </cell>
          <cell r="BM810">
            <v>1.2</v>
          </cell>
          <cell r="BN810">
            <v>1.2</v>
          </cell>
          <cell r="BO810">
            <v>1.2</v>
          </cell>
          <cell r="BP810">
            <v>1.2</v>
          </cell>
          <cell r="BQ810">
            <v>1.2</v>
          </cell>
          <cell r="BR810">
            <v>1.2</v>
          </cell>
          <cell r="BS810">
            <v>1.2</v>
          </cell>
          <cell r="BT810">
            <v>1.2</v>
          </cell>
          <cell r="BU810">
            <v>1.2</v>
          </cell>
          <cell r="BV810">
            <v>1.2</v>
          </cell>
        </row>
        <row r="811">
          <cell r="A811" t="str">
            <v>KIA</v>
          </cell>
          <cell r="B811" t="str">
            <v>CD/CTE</v>
          </cell>
          <cell r="D811" t="str">
            <v>SHIFT B HC  - efficiency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</row>
        <row r="812">
          <cell r="A812" t="str">
            <v>KIA</v>
          </cell>
          <cell r="B812" t="str">
            <v>CD/CTE</v>
          </cell>
          <cell r="D812" t="str">
            <v>SHIFT C HC  - efficiency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</row>
        <row r="813">
          <cell r="A813" t="str">
            <v>KIA</v>
          </cell>
          <cell r="B813" t="str">
            <v>CD/CTE</v>
          </cell>
          <cell r="D813" t="str">
            <v>Total efficiency</v>
          </cell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</row>
        <row r="814">
          <cell r="A814" t="str">
            <v>KIA</v>
          </cell>
          <cell r="B814" t="str">
            <v>CD/CTE</v>
          </cell>
          <cell r="D814" t="str">
            <v>SHIFT A - output</v>
          </cell>
          <cell r="Z814">
            <v>146.15384615384616</v>
          </cell>
          <cell r="AA814">
            <v>153.84615384615387</v>
          </cell>
          <cell r="AB814">
            <v>161.53846153846158</v>
          </cell>
          <cell r="AC814">
            <v>161.53846153846158</v>
          </cell>
          <cell r="AD814">
            <v>161.53846153846158</v>
          </cell>
          <cell r="AE814">
            <v>153.84615384615387</v>
          </cell>
          <cell r="AF814">
            <v>153.84615384615387</v>
          </cell>
          <cell r="AG814">
            <v>92.307692307692321</v>
          </cell>
          <cell r="AH814">
            <v>92.307692307692321</v>
          </cell>
          <cell r="AI814">
            <v>92.307692307692321</v>
          </cell>
          <cell r="AJ814">
            <v>92.307692307692321</v>
          </cell>
          <cell r="AK814">
            <v>184.61538461538464</v>
          </cell>
          <cell r="AL814">
            <v>184.61538461538464</v>
          </cell>
          <cell r="AM814">
            <v>184.61538461538464</v>
          </cell>
          <cell r="AN814">
            <v>184.61538461538464</v>
          </cell>
          <cell r="AO814">
            <v>184.61538461538464</v>
          </cell>
          <cell r="AP814">
            <v>184.61538461538464</v>
          </cell>
          <cell r="AQ814">
            <v>184.61538461538464</v>
          </cell>
          <cell r="AR814">
            <v>184.61538461538464</v>
          </cell>
          <cell r="AS814">
            <v>184.61538461538464</v>
          </cell>
          <cell r="AT814">
            <v>184.61538461538464</v>
          </cell>
          <cell r="AU814">
            <v>184.61538461538464</v>
          </cell>
          <cell r="AV814">
            <v>92.307692307692321</v>
          </cell>
          <cell r="AW814">
            <v>92.307692307692321</v>
          </cell>
          <cell r="AX814">
            <v>92.307692307692321</v>
          </cell>
          <cell r="AY814">
            <v>92.307692307692321</v>
          </cell>
          <cell r="AZ814">
            <v>92.307692307692321</v>
          </cell>
          <cell r="BA814">
            <v>184.61538461538464</v>
          </cell>
          <cell r="BB814">
            <v>184.61538461538464</v>
          </cell>
          <cell r="BC814">
            <v>92.307692307692321</v>
          </cell>
          <cell r="BD814">
            <v>184.61538461538464</v>
          </cell>
          <cell r="BE814">
            <v>92.307692307692321</v>
          </cell>
          <cell r="BF814">
            <v>92.307692307692321</v>
          </cell>
          <cell r="BG814">
            <v>92.307692307692321</v>
          </cell>
          <cell r="BH814">
            <v>92.307692307692321</v>
          </cell>
          <cell r="BI814">
            <v>184.61538461538464</v>
          </cell>
          <cell r="BJ814">
            <v>92.307692307692321</v>
          </cell>
          <cell r="BK814">
            <v>184.61538461538464</v>
          </cell>
          <cell r="BL814">
            <v>184.61538461538464</v>
          </cell>
          <cell r="BM814">
            <v>184.61538461538464</v>
          </cell>
          <cell r="BN814">
            <v>184.61538461538464</v>
          </cell>
          <cell r="BO814">
            <v>184.61538461538464</v>
          </cell>
          <cell r="BP814">
            <v>184.61538461538464</v>
          </cell>
          <cell r="BQ814">
            <v>184.61538461538464</v>
          </cell>
          <cell r="BR814">
            <v>184.61538461538464</v>
          </cell>
          <cell r="BS814">
            <v>184.61538461538464</v>
          </cell>
          <cell r="BT814">
            <v>184.61538461538464</v>
          </cell>
          <cell r="BU814">
            <v>184.61538461538464</v>
          </cell>
          <cell r="BV814">
            <v>184.61538461538464</v>
          </cell>
        </row>
        <row r="815">
          <cell r="A815" t="str">
            <v>KIA</v>
          </cell>
          <cell r="B815" t="str">
            <v>CD/CTE</v>
          </cell>
          <cell r="D815" t="str">
            <v>SHIFT B  - output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</row>
        <row r="816">
          <cell r="A816" t="str">
            <v>KIA</v>
          </cell>
          <cell r="B816" t="str">
            <v>CD/CTE</v>
          </cell>
          <cell r="D816" t="str">
            <v>SHIFT C  - output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</row>
        <row r="817">
          <cell r="A817" t="str">
            <v>KIA</v>
          </cell>
          <cell r="B817" t="str">
            <v>CD/CTE</v>
          </cell>
          <cell r="D817" t="str">
            <v>Est. Output (Pcs day)</v>
          </cell>
          <cell r="E817">
            <v>5.85</v>
          </cell>
          <cell r="Z817">
            <v>146.15384615384616</v>
          </cell>
          <cell r="AA817">
            <v>153.84615384615387</v>
          </cell>
          <cell r="AB817">
            <v>161.53846153846158</v>
          </cell>
          <cell r="AC817">
            <v>161.53846153846158</v>
          </cell>
          <cell r="AD817">
            <v>161.53846153846158</v>
          </cell>
          <cell r="AE817">
            <v>153.84615384615387</v>
          </cell>
          <cell r="AF817">
            <v>153.84615384615387</v>
          </cell>
          <cell r="AG817">
            <v>92.307692307692321</v>
          </cell>
          <cell r="AH817">
            <v>92.307692307692321</v>
          </cell>
          <cell r="AI817">
            <v>92.307692307692321</v>
          </cell>
          <cell r="AJ817">
            <v>92.307692307692321</v>
          </cell>
          <cell r="AK817">
            <v>184.61538461538464</v>
          </cell>
          <cell r="AL817">
            <v>184.61538461538464</v>
          </cell>
          <cell r="AM817">
            <v>184.61538461538464</v>
          </cell>
          <cell r="AN817">
            <v>184.61538461538464</v>
          </cell>
          <cell r="AO817">
            <v>184.61538461538464</v>
          </cell>
          <cell r="AP817">
            <v>184.61538461538464</v>
          </cell>
          <cell r="AQ817">
            <v>184.61538461538464</v>
          </cell>
          <cell r="AR817">
            <v>184.61538461538464</v>
          </cell>
          <cell r="AS817">
            <v>184.61538461538464</v>
          </cell>
          <cell r="AT817">
            <v>184.61538461538464</v>
          </cell>
          <cell r="AU817">
            <v>184.61538461538464</v>
          </cell>
          <cell r="AV817">
            <v>92.307692307692321</v>
          </cell>
          <cell r="AW817">
            <v>92.307692307692321</v>
          </cell>
          <cell r="AX817">
            <v>92.307692307692321</v>
          </cell>
          <cell r="AY817">
            <v>92.307692307692321</v>
          </cell>
          <cell r="AZ817">
            <v>92.307692307692321</v>
          </cell>
          <cell r="BA817">
            <v>184.61538461538464</v>
          </cell>
          <cell r="BB817">
            <v>184.61538461538464</v>
          </cell>
          <cell r="BC817">
            <v>92.307692307692321</v>
          </cell>
          <cell r="BD817">
            <v>184.61538461538464</v>
          </cell>
          <cell r="BE817">
            <v>92.307692307692321</v>
          </cell>
          <cell r="BF817">
            <v>92.307692307692321</v>
          </cell>
          <cell r="BG817">
            <v>92.307692307692321</v>
          </cell>
          <cell r="BH817">
            <v>92.307692307692321</v>
          </cell>
          <cell r="BI817">
            <v>184.61538461538464</v>
          </cell>
          <cell r="BJ817">
            <v>92.307692307692321</v>
          </cell>
          <cell r="BK817">
            <v>184.61538461538464</v>
          </cell>
          <cell r="BL817">
            <v>184.61538461538464</v>
          </cell>
          <cell r="BM817">
            <v>184.61538461538464</v>
          </cell>
          <cell r="BN817">
            <v>184.61538461538464</v>
          </cell>
          <cell r="BO817">
            <v>184.61538461538464</v>
          </cell>
          <cell r="BP817">
            <v>184.61538461538464</v>
          </cell>
          <cell r="BQ817">
            <v>184.61538461538464</v>
          </cell>
          <cell r="BR817">
            <v>184.61538461538464</v>
          </cell>
          <cell r="BS817">
            <v>184.61538461538464</v>
          </cell>
          <cell r="BT817">
            <v>184.61538461538464</v>
          </cell>
          <cell r="BU817">
            <v>184.61538461538464</v>
          </cell>
          <cell r="BV817">
            <v>184.61538461538464</v>
          </cell>
        </row>
        <row r="818">
          <cell r="A818" t="str">
            <v>KIA</v>
          </cell>
          <cell r="B818" t="str">
            <v>CD/CTE</v>
          </cell>
          <cell r="D818" t="str">
            <v>Weekly Output PLAN</v>
          </cell>
          <cell r="E818" t="str">
            <v>SEW</v>
          </cell>
          <cell r="Z818">
            <v>730.76923076923083</v>
          </cell>
          <cell r="AA818">
            <v>769.23076923076928</v>
          </cell>
          <cell r="AB818">
            <v>807.69230769230785</v>
          </cell>
          <cell r="AC818">
            <v>807.69230769230785</v>
          </cell>
          <cell r="AD818">
            <v>484.61538461538476</v>
          </cell>
          <cell r="AE818">
            <v>769.23076923076928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923.07692307692321</v>
          </cell>
          <cell r="AU818">
            <v>923.07692307692321</v>
          </cell>
          <cell r="AV818">
            <v>461.5384615384616</v>
          </cell>
          <cell r="AW818">
            <v>461.5384615384616</v>
          </cell>
          <cell r="AX818">
            <v>461.5384615384616</v>
          </cell>
          <cell r="AY818">
            <v>461.5384615384616</v>
          </cell>
          <cell r="AZ818">
            <v>0</v>
          </cell>
          <cell r="BA818">
            <v>0</v>
          </cell>
          <cell r="BB818">
            <v>923.07692307692321</v>
          </cell>
          <cell r="BC818">
            <v>461.5384615384616</v>
          </cell>
          <cell r="BD818">
            <v>923.07692307692321</v>
          </cell>
          <cell r="BE818">
            <v>461.5384615384616</v>
          </cell>
          <cell r="BF818">
            <v>461.5384615384616</v>
          </cell>
          <cell r="BG818">
            <v>461.5384615384616</v>
          </cell>
          <cell r="BH818">
            <v>461.5384615384616</v>
          </cell>
          <cell r="BI818">
            <v>923.07692307692321</v>
          </cell>
          <cell r="BJ818">
            <v>461.5384615384616</v>
          </cell>
          <cell r="BK818">
            <v>923.07692307692321</v>
          </cell>
          <cell r="BL818">
            <v>369.23076923076928</v>
          </cell>
          <cell r="BM818">
            <v>369.23076923076928</v>
          </cell>
          <cell r="BN818">
            <v>369.23076923076928</v>
          </cell>
          <cell r="BO818">
            <v>369.23076923076928</v>
          </cell>
          <cell r="BP818">
            <v>369.23076923076928</v>
          </cell>
          <cell r="BQ818">
            <v>369.23076923076928</v>
          </cell>
          <cell r="BR818">
            <v>369.23076923076928</v>
          </cell>
          <cell r="BS818">
            <v>369.23076923076928</v>
          </cell>
          <cell r="BT818">
            <v>369.23076923076928</v>
          </cell>
          <cell r="BU818">
            <v>369.23076923076928</v>
          </cell>
          <cell r="BV818">
            <v>369.23076923076928</v>
          </cell>
        </row>
        <row r="819">
          <cell r="A819" t="str">
            <v>KIA</v>
          </cell>
          <cell r="B819" t="str">
            <v>CD/CTE</v>
          </cell>
          <cell r="D819" t="str">
            <v>FAB</v>
          </cell>
          <cell r="E819">
            <v>5.0607000000000006</v>
          </cell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</row>
        <row r="820">
          <cell r="A820" t="str">
            <v>KIA</v>
          </cell>
          <cell r="B820" t="str">
            <v>CD/CTE</v>
          </cell>
          <cell r="D820" t="str">
            <v>VNL</v>
          </cell>
          <cell r="E820">
            <v>5.4819000000000004</v>
          </cell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</row>
        <row r="821">
          <cell r="A821" t="str">
            <v>KIA</v>
          </cell>
          <cell r="B821" t="str">
            <v>CD/CTE</v>
          </cell>
          <cell r="D821" t="str">
            <v>LTH</v>
          </cell>
          <cell r="E821">
            <v>7.0073999999999996</v>
          </cell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</row>
        <row r="822">
          <cell r="A822" t="str">
            <v>KIA</v>
          </cell>
          <cell r="B822" t="str">
            <v>CD/CTE</v>
          </cell>
          <cell r="D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</row>
        <row r="823">
          <cell r="A823" t="str">
            <v>KIA</v>
          </cell>
          <cell r="B823" t="str">
            <v>CD/CTE</v>
          </cell>
          <cell r="D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</row>
        <row r="824">
          <cell r="A824" t="str">
            <v>KIA</v>
          </cell>
          <cell r="B824" t="str">
            <v>CD/CTE</v>
          </cell>
          <cell r="D824" t="str">
            <v>Weekly Output PLAN - SUM of models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</row>
        <row r="825">
          <cell r="A825" t="str">
            <v>KIA</v>
          </cell>
          <cell r="B825" t="str">
            <v>CD/CTE</v>
          </cell>
          <cell r="D825" t="str">
            <v>Weekly Output CHECK with TO time multiple</v>
          </cell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</row>
        <row r="826">
          <cell r="A826" t="str">
            <v>KIA</v>
          </cell>
          <cell r="B826" t="str">
            <v>CD/CTE</v>
          </cell>
          <cell r="D826" t="str">
            <v>Weekly Output ACT</v>
          </cell>
          <cell r="Z826">
            <v>730.76923076923083</v>
          </cell>
          <cell r="AA826">
            <v>769.23076923076928</v>
          </cell>
          <cell r="AB826">
            <v>807.69230769230785</v>
          </cell>
          <cell r="AC826">
            <v>807.69230769230785</v>
          </cell>
          <cell r="AD826">
            <v>484.61538461538476</v>
          </cell>
          <cell r="AE826">
            <v>769.23076923076928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923.07692307692321</v>
          </cell>
          <cell r="AU826">
            <v>923.07692307692321</v>
          </cell>
          <cell r="AV826">
            <v>461.5384615384616</v>
          </cell>
          <cell r="AW826">
            <v>461.5384615384616</v>
          </cell>
          <cell r="AX826">
            <v>461.5384615384616</v>
          </cell>
          <cell r="AY826">
            <v>461.5384615384616</v>
          </cell>
          <cell r="AZ826">
            <v>0</v>
          </cell>
          <cell r="BA826">
            <v>0</v>
          </cell>
          <cell r="BB826">
            <v>923.07692307692321</v>
          </cell>
          <cell r="BC826">
            <v>461.5384615384616</v>
          </cell>
          <cell r="BD826">
            <v>923.07692307692321</v>
          </cell>
          <cell r="BE826">
            <v>461.5384615384616</v>
          </cell>
          <cell r="BF826">
            <v>461.5384615384616</v>
          </cell>
          <cell r="BG826">
            <v>461.5384615384616</v>
          </cell>
          <cell r="BH826">
            <v>461.5384615384616</v>
          </cell>
          <cell r="BI826">
            <v>923.07692307692321</v>
          </cell>
          <cell r="BJ826">
            <v>461.5384615384616</v>
          </cell>
          <cell r="BK826">
            <v>923.07692307692321</v>
          </cell>
          <cell r="BL826">
            <v>369.23076923076928</v>
          </cell>
          <cell r="BM826">
            <v>369.23076923076928</v>
          </cell>
          <cell r="BN826">
            <v>369.23076923076928</v>
          </cell>
          <cell r="BO826">
            <v>369.23076923076928</v>
          </cell>
          <cell r="BP826">
            <v>369.23076923076928</v>
          </cell>
          <cell r="BQ826">
            <v>369.23076923076928</v>
          </cell>
          <cell r="BR826">
            <v>369.23076923076928</v>
          </cell>
          <cell r="BS826">
            <v>369.23076923076928</v>
          </cell>
          <cell r="BT826">
            <v>369.23076923076928</v>
          </cell>
          <cell r="BU826">
            <v>369.23076923076928</v>
          </cell>
          <cell r="BV826">
            <v>369.23076923076928</v>
          </cell>
        </row>
        <row r="827">
          <cell r="A827" t="str">
            <v>KIA</v>
          </cell>
          <cell r="B827" t="str">
            <v>CD/CTE</v>
          </cell>
          <cell r="D827" t="str">
            <v>FAB</v>
          </cell>
          <cell r="Z827">
            <v>1028.5714285714287</v>
          </cell>
          <cell r="AA827">
            <v>1028.5714285714287</v>
          </cell>
          <cell r="AB827">
            <v>514.28571428571433</v>
          </cell>
          <cell r="AC827">
            <v>514.28571428571433</v>
          </cell>
          <cell r="AD827">
            <v>308.57142857142861</v>
          </cell>
          <cell r="AE827">
            <v>514.28571428571433</v>
          </cell>
          <cell r="AF827">
            <v>514.28571428571433</v>
          </cell>
          <cell r="AG827">
            <v>205.71428571428575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546.42857142857144</v>
          </cell>
          <cell r="AT827">
            <v>546.42857142857144</v>
          </cell>
          <cell r="AU827">
            <v>546.42857142857144</v>
          </cell>
          <cell r="AV827">
            <v>546.42857142857144</v>
          </cell>
          <cell r="AW827">
            <v>546.42857142857144</v>
          </cell>
          <cell r="AX827">
            <v>546.42857142857144</v>
          </cell>
          <cell r="AY827">
            <v>546.42857142857144</v>
          </cell>
          <cell r="AZ827">
            <v>0</v>
          </cell>
          <cell r="BA827">
            <v>0</v>
          </cell>
          <cell r="BB827">
            <v>546.42857142857144</v>
          </cell>
          <cell r="BC827">
            <v>546.42857142857144</v>
          </cell>
          <cell r="BD827">
            <v>546.42857142857144</v>
          </cell>
          <cell r="BE827">
            <v>546.42857142857144</v>
          </cell>
          <cell r="BF827">
            <v>546.42857142857144</v>
          </cell>
          <cell r="BG827">
            <v>546.42857142857144</v>
          </cell>
          <cell r="BH827">
            <v>546.42857142857144</v>
          </cell>
          <cell r="BI827">
            <v>546.42857142857144</v>
          </cell>
          <cell r="BJ827">
            <v>546.42857142857144</v>
          </cell>
          <cell r="BK827">
            <v>2314.2857142857147</v>
          </cell>
          <cell r="BL827">
            <v>1388.5714285714287</v>
          </cell>
          <cell r="BM827">
            <v>1388.5714285714287</v>
          </cell>
          <cell r="BN827">
            <v>1388.5714285714287</v>
          </cell>
          <cell r="BO827">
            <v>1388.5714285714287</v>
          </cell>
          <cell r="BP827">
            <v>1388.5714285714287</v>
          </cell>
          <cell r="BQ827">
            <v>1388.5714285714287</v>
          </cell>
          <cell r="BR827">
            <v>1388.5714285714287</v>
          </cell>
          <cell r="BS827">
            <v>1388.5714285714287</v>
          </cell>
          <cell r="BT827">
            <v>1388.5714285714287</v>
          </cell>
          <cell r="BU827">
            <v>1388.5714285714287</v>
          </cell>
          <cell r="BV827">
            <v>1388.5714285714287</v>
          </cell>
        </row>
        <row r="828">
          <cell r="A828" t="str">
            <v>KIA</v>
          </cell>
          <cell r="B828" t="str">
            <v>CD/CTE</v>
          </cell>
          <cell r="D828" t="str">
            <v>VNL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</row>
        <row r="829">
          <cell r="A829" t="str">
            <v>KIA</v>
          </cell>
          <cell r="B829" t="str">
            <v>CD/CTE</v>
          </cell>
          <cell r="D829" t="str">
            <v>LTH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</row>
        <row r="830">
          <cell r="A830" t="str">
            <v>KIA</v>
          </cell>
          <cell r="B830" t="str">
            <v>CD/CTE</v>
          </cell>
          <cell r="D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</row>
        <row r="831">
          <cell r="A831" t="str">
            <v>KIA</v>
          </cell>
          <cell r="B831" t="str">
            <v>CD/CTE</v>
          </cell>
          <cell r="D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</row>
        <row r="832">
          <cell r="A832" t="str">
            <v>KIA</v>
          </cell>
          <cell r="B832" t="str">
            <v>CD/CTE</v>
          </cell>
          <cell r="D832" t="str">
            <v>Weekly demand</v>
          </cell>
          <cell r="Z832">
            <v>1028.5714285714287</v>
          </cell>
          <cell r="AA832">
            <v>1028.5714285714287</v>
          </cell>
          <cell r="AB832">
            <v>514.28571428571433</v>
          </cell>
          <cell r="AC832">
            <v>514.28571428571433</v>
          </cell>
          <cell r="AD832">
            <v>308.57142857142861</v>
          </cell>
          <cell r="AE832">
            <v>514.28571428571433</v>
          </cell>
          <cell r="AF832">
            <v>514.28571428571433</v>
          </cell>
          <cell r="AG832">
            <v>205.71428571428575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546.42857142857144</v>
          </cell>
          <cell r="AT832">
            <v>546.42857142857144</v>
          </cell>
          <cell r="AU832">
            <v>546.42857142857144</v>
          </cell>
          <cell r="AV832">
            <v>546.42857142857144</v>
          </cell>
          <cell r="AW832">
            <v>546.42857142857144</v>
          </cell>
          <cell r="AX832">
            <v>546.42857142857144</v>
          </cell>
          <cell r="AY832">
            <v>546.42857142857144</v>
          </cell>
          <cell r="AZ832">
            <v>0</v>
          </cell>
          <cell r="BA832">
            <v>0</v>
          </cell>
          <cell r="BB832">
            <v>546.42857142857144</v>
          </cell>
          <cell r="BC832">
            <v>546.42857142857144</v>
          </cell>
          <cell r="BD832">
            <v>546.42857142857144</v>
          </cell>
          <cell r="BE832">
            <v>546.42857142857144</v>
          </cell>
          <cell r="BF832">
            <v>546.42857142857144</v>
          </cell>
          <cell r="BG832">
            <v>546.42857142857144</v>
          </cell>
          <cell r="BH832">
            <v>546.42857142857144</v>
          </cell>
          <cell r="BI832">
            <v>546.42857142857144</v>
          </cell>
          <cell r="BJ832">
            <v>546.42857142857144</v>
          </cell>
          <cell r="BK832">
            <v>2314.2857142857147</v>
          </cell>
          <cell r="BL832">
            <v>1388.5714285714287</v>
          </cell>
          <cell r="BM832">
            <v>1388.5714285714287</v>
          </cell>
          <cell r="BN832">
            <v>1388.5714285714287</v>
          </cell>
          <cell r="BO832">
            <v>1388.5714285714287</v>
          </cell>
          <cell r="BP832">
            <v>1388.5714285714287</v>
          </cell>
          <cell r="BQ832">
            <v>1388.5714285714287</v>
          </cell>
          <cell r="BR832">
            <v>1388.5714285714287</v>
          </cell>
          <cell r="BS832">
            <v>1388.5714285714287</v>
          </cell>
          <cell r="BT832">
            <v>1388.5714285714287</v>
          </cell>
          <cell r="BU832">
            <v>1388.5714285714287</v>
          </cell>
          <cell r="BV832">
            <v>1388.5714285714287</v>
          </cell>
        </row>
        <row r="833">
          <cell r="A833" t="str">
            <v>KIA</v>
          </cell>
          <cell r="B833" t="str">
            <v>CD/CTE</v>
          </cell>
          <cell r="D833" t="str">
            <v>Stock Target</v>
          </cell>
          <cell r="Z833">
            <v>600</v>
          </cell>
          <cell r="AA833">
            <v>600</v>
          </cell>
          <cell r="AB833">
            <v>600</v>
          </cell>
          <cell r="AC833">
            <v>600</v>
          </cell>
          <cell r="AD833">
            <v>600</v>
          </cell>
          <cell r="AE833">
            <v>600</v>
          </cell>
          <cell r="AF833">
            <v>600</v>
          </cell>
          <cell r="AG833">
            <v>600</v>
          </cell>
          <cell r="AH833">
            <v>600</v>
          </cell>
          <cell r="AI833">
            <v>600</v>
          </cell>
          <cell r="AJ833">
            <v>250</v>
          </cell>
          <cell r="AK833">
            <v>250</v>
          </cell>
          <cell r="AL833">
            <v>250</v>
          </cell>
          <cell r="AM833">
            <v>250</v>
          </cell>
          <cell r="AN833">
            <v>250</v>
          </cell>
          <cell r="AO833">
            <v>250</v>
          </cell>
          <cell r="AP833">
            <v>250</v>
          </cell>
          <cell r="AQ833">
            <v>250</v>
          </cell>
          <cell r="AR833">
            <v>250</v>
          </cell>
          <cell r="AS833">
            <v>250</v>
          </cell>
          <cell r="AT833">
            <v>2538</v>
          </cell>
          <cell r="AU833">
            <v>2539</v>
          </cell>
          <cell r="AV833">
            <v>2540</v>
          </cell>
          <cell r="AW833">
            <v>2541</v>
          </cell>
          <cell r="AX833">
            <v>2542</v>
          </cell>
          <cell r="AY833">
            <v>2543</v>
          </cell>
          <cell r="AZ833">
            <v>2544</v>
          </cell>
          <cell r="BA833">
            <v>2545</v>
          </cell>
          <cell r="BB833">
            <v>2546</v>
          </cell>
          <cell r="BC833">
            <v>2547</v>
          </cell>
          <cell r="BD833">
            <v>2548</v>
          </cell>
          <cell r="BE833">
            <v>2549</v>
          </cell>
          <cell r="BF833">
            <v>2550</v>
          </cell>
          <cell r="BG833">
            <v>2551</v>
          </cell>
          <cell r="BH833">
            <v>2552</v>
          </cell>
          <cell r="BI833">
            <v>2553</v>
          </cell>
          <cell r="BJ833">
            <v>2554</v>
          </cell>
          <cell r="BK833">
            <v>2555</v>
          </cell>
          <cell r="BL833">
            <v>2556</v>
          </cell>
          <cell r="BM833">
            <v>2557</v>
          </cell>
          <cell r="BN833">
            <v>2558</v>
          </cell>
          <cell r="BO833">
            <v>2559</v>
          </cell>
          <cell r="BP833">
            <v>2560</v>
          </cell>
          <cell r="BQ833">
            <v>2561</v>
          </cell>
          <cell r="BR833">
            <v>2562</v>
          </cell>
          <cell r="BS833">
            <v>2563</v>
          </cell>
          <cell r="BT833">
            <v>2564</v>
          </cell>
          <cell r="BU833">
            <v>2565</v>
          </cell>
          <cell r="BV833">
            <v>2566</v>
          </cell>
        </row>
        <row r="834">
          <cell r="A834" t="str">
            <v>KIA</v>
          </cell>
          <cell r="B834" t="str">
            <v>CD/CTE</v>
          </cell>
          <cell r="D834" t="str">
            <v>FAB</v>
          </cell>
          <cell r="Z834">
            <v>0</v>
          </cell>
          <cell r="AA834">
            <v>80</v>
          </cell>
          <cell r="AB834">
            <v>-434.28571428571433</v>
          </cell>
          <cell r="AC834">
            <v>-948.57142857142867</v>
          </cell>
          <cell r="AD834">
            <v>-1257.1428571428573</v>
          </cell>
          <cell r="AE834">
            <v>-1771.4285714285716</v>
          </cell>
          <cell r="AF834">
            <v>-2285.7142857142858</v>
          </cell>
          <cell r="AG834">
            <v>-2491.4285714285716</v>
          </cell>
          <cell r="AH834">
            <v>-2491.4285714285716</v>
          </cell>
          <cell r="AI834">
            <v>-2491.4285714285716</v>
          </cell>
          <cell r="AJ834">
            <v>-2491.4285714285716</v>
          </cell>
          <cell r="AK834">
            <v>-2491.4285714285716</v>
          </cell>
          <cell r="AL834">
            <v>-2491.4285714285716</v>
          </cell>
          <cell r="AM834">
            <v>-2491.4285714285716</v>
          </cell>
          <cell r="AN834">
            <v>-2491.4285714285716</v>
          </cell>
          <cell r="AO834">
            <v>-2491.4285714285716</v>
          </cell>
          <cell r="AP834">
            <v>-2491.4285714285716</v>
          </cell>
          <cell r="AQ834">
            <v>-2491.4285714285716</v>
          </cell>
          <cell r="AR834">
            <v>-2491.4285714285716</v>
          </cell>
          <cell r="AS834">
            <v>-3037.8571428571431</v>
          </cell>
          <cell r="AT834">
            <v>-3584.2857142857147</v>
          </cell>
          <cell r="AU834">
            <v>-4130.7142857142862</v>
          </cell>
          <cell r="AV834">
            <v>-4677.1428571428578</v>
          </cell>
          <cell r="AW834">
            <v>-5223.5714285714294</v>
          </cell>
          <cell r="AX834">
            <v>-5770.0000000000009</v>
          </cell>
          <cell r="AY834">
            <v>-6316.4285714285725</v>
          </cell>
          <cell r="AZ834">
            <v>-6316.4285714285725</v>
          </cell>
          <cell r="BA834">
            <v>-6316.4285714285725</v>
          </cell>
          <cell r="BB834">
            <v>-6862.857142857144</v>
          </cell>
          <cell r="BC834">
            <v>-7409.2857142857156</v>
          </cell>
          <cell r="BD834">
            <v>-7955.7142857142871</v>
          </cell>
          <cell r="BE834">
            <v>-8502.1428571428587</v>
          </cell>
          <cell r="BF834">
            <v>-9048.5714285714294</v>
          </cell>
          <cell r="BG834">
            <v>-9595</v>
          </cell>
          <cell r="BH834">
            <v>-10141.428571428571</v>
          </cell>
          <cell r="BI834">
            <v>-10687.857142857141</v>
          </cell>
          <cell r="BJ834">
            <v>-11234.285714285712</v>
          </cell>
          <cell r="BK834">
            <v>-13548.571428571428</v>
          </cell>
          <cell r="BL834">
            <v>-14937.142857142857</v>
          </cell>
          <cell r="BM834">
            <v>-16325.714285714286</v>
          </cell>
          <cell r="BN834">
            <v>-17714.285714285714</v>
          </cell>
          <cell r="BO834">
            <v>-19102.857142857141</v>
          </cell>
          <cell r="BP834">
            <v>-20491.428571428569</v>
          </cell>
          <cell r="BQ834">
            <v>-21879.999999999996</v>
          </cell>
          <cell r="BR834">
            <v>-23268.571428571424</v>
          </cell>
          <cell r="BS834">
            <v>-24657.142857142851</v>
          </cell>
          <cell r="BT834">
            <v>-26045.714285714279</v>
          </cell>
          <cell r="BU834">
            <v>-27434.285714285706</v>
          </cell>
          <cell r="BV834">
            <v>-28822.857142857134</v>
          </cell>
        </row>
        <row r="835">
          <cell r="A835" t="str">
            <v>KIA</v>
          </cell>
          <cell r="B835" t="str">
            <v>CD/CTE</v>
          </cell>
          <cell r="D835" t="str">
            <v>VNL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</row>
        <row r="836">
          <cell r="A836" t="str">
            <v>KIA</v>
          </cell>
          <cell r="B836" t="str">
            <v>CD/CTE</v>
          </cell>
          <cell r="D836" t="str">
            <v>LTH</v>
          </cell>
          <cell r="Z836">
            <v>0</v>
          </cell>
          <cell r="AA836">
            <v>120</v>
          </cell>
          <cell r="AB836">
            <v>120</v>
          </cell>
          <cell r="AC836">
            <v>120</v>
          </cell>
          <cell r="AD836">
            <v>120</v>
          </cell>
          <cell r="AE836">
            <v>120</v>
          </cell>
          <cell r="AF836">
            <v>120</v>
          </cell>
          <cell r="AG836">
            <v>120</v>
          </cell>
          <cell r="AH836">
            <v>120</v>
          </cell>
          <cell r="AI836">
            <v>120</v>
          </cell>
          <cell r="AJ836">
            <v>120</v>
          </cell>
          <cell r="AK836">
            <v>120</v>
          </cell>
          <cell r="AL836">
            <v>120</v>
          </cell>
          <cell r="AM836">
            <v>120</v>
          </cell>
          <cell r="AN836">
            <v>120</v>
          </cell>
          <cell r="AO836">
            <v>120</v>
          </cell>
          <cell r="AP836">
            <v>120</v>
          </cell>
          <cell r="AQ836">
            <v>120</v>
          </cell>
          <cell r="AR836">
            <v>120</v>
          </cell>
          <cell r="AS836">
            <v>120</v>
          </cell>
          <cell r="AT836">
            <v>120</v>
          </cell>
          <cell r="AU836">
            <v>120</v>
          </cell>
          <cell r="AV836">
            <v>120</v>
          </cell>
          <cell r="AW836">
            <v>120</v>
          </cell>
          <cell r="AX836">
            <v>120</v>
          </cell>
          <cell r="AY836">
            <v>120</v>
          </cell>
          <cell r="AZ836">
            <v>120</v>
          </cell>
          <cell r="BA836">
            <v>120</v>
          </cell>
          <cell r="BB836">
            <v>120</v>
          </cell>
          <cell r="BC836">
            <v>120</v>
          </cell>
          <cell r="BD836">
            <v>120</v>
          </cell>
          <cell r="BE836">
            <v>120</v>
          </cell>
          <cell r="BF836">
            <v>120</v>
          </cell>
          <cell r="BG836">
            <v>120</v>
          </cell>
          <cell r="BH836">
            <v>120</v>
          </cell>
          <cell r="BI836">
            <v>120</v>
          </cell>
          <cell r="BJ836">
            <v>120</v>
          </cell>
          <cell r="BK836">
            <v>120</v>
          </cell>
          <cell r="BL836">
            <v>120</v>
          </cell>
          <cell r="BM836">
            <v>120</v>
          </cell>
          <cell r="BN836">
            <v>120</v>
          </cell>
          <cell r="BO836">
            <v>120</v>
          </cell>
          <cell r="BP836">
            <v>120</v>
          </cell>
          <cell r="BQ836">
            <v>120</v>
          </cell>
          <cell r="BR836">
            <v>120</v>
          </cell>
          <cell r="BS836">
            <v>120</v>
          </cell>
          <cell r="BT836">
            <v>120</v>
          </cell>
          <cell r="BU836">
            <v>120</v>
          </cell>
          <cell r="BV836">
            <v>120</v>
          </cell>
        </row>
        <row r="837">
          <cell r="A837" t="str">
            <v>KIA</v>
          </cell>
          <cell r="B837" t="str">
            <v>CD/CTE</v>
          </cell>
          <cell r="D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</row>
        <row r="838">
          <cell r="A838" t="str">
            <v>KIA</v>
          </cell>
          <cell r="B838" t="str">
            <v>CD/CTE</v>
          </cell>
          <cell r="D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</row>
        <row r="839">
          <cell r="A839" t="str">
            <v>KIA</v>
          </cell>
          <cell r="B839" t="str">
            <v>CD/CTE</v>
          </cell>
          <cell r="D839" t="str">
            <v>STOCK</v>
          </cell>
          <cell r="Z839">
            <v>0</v>
          </cell>
          <cell r="AA839">
            <v>-259.34065934065939</v>
          </cell>
          <cell r="AB839">
            <v>34.06593406593413</v>
          </cell>
          <cell r="AC839">
            <v>327.47252747252764</v>
          </cell>
          <cell r="AD839">
            <v>503.51648351648379</v>
          </cell>
          <cell r="AE839">
            <v>758.46153846153879</v>
          </cell>
          <cell r="AF839">
            <v>244.17582417582446</v>
          </cell>
          <cell r="AG839">
            <v>38.461538461538709</v>
          </cell>
          <cell r="AH839">
            <v>38.461538461538709</v>
          </cell>
          <cell r="AI839">
            <v>38.461538461538709</v>
          </cell>
          <cell r="AJ839">
            <v>38.461538461538709</v>
          </cell>
          <cell r="AK839">
            <v>38.461538461538709</v>
          </cell>
          <cell r="AL839">
            <v>38.461538461538709</v>
          </cell>
          <cell r="AM839">
            <v>38.461538461538709</v>
          </cell>
          <cell r="AN839">
            <v>38.461538461538709</v>
          </cell>
          <cell r="AO839">
            <v>38.461538461538709</v>
          </cell>
          <cell r="AP839">
            <v>38.461538461538709</v>
          </cell>
          <cell r="AQ839">
            <v>38.461538461538709</v>
          </cell>
          <cell r="AR839">
            <v>38.461538461538709</v>
          </cell>
          <cell r="AS839">
            <v>-507.96703296703276</v>
          </cell>
          <cell r="AT839">
            <v>-131.31868131868089</v>
          </cell>
          <cell r="AU839">
            <v>245.32967032967088</v>
          </cell>
          <cell r="AV839">
            <v>160.43956043956103</v>
          </cell>
          <cell r="AW839">
            <v>75.549450549451194</v>
          </cell>
          <cell r="AX839">
            <v>-9.3406593406586467</v>
          </cell>
          <cell r="AY839">
            <v>-94.230769230768431</v>
          </cell>
          <cell r="AZ839">
            <v>-94.230769230768431</v>
          </cell>
          <cell r="BA839">
            <v>-94.230769230768431</v>
          </cell>
          <cell r="BB839">
            <v>282.41758241758328</v>
          </cell>
          <cell r="BC839">
            <v>197.52747252747344</v>
          </cell>
          <cell r="BD839">
            <v>574.17582417582526</v>
          </cell>
          <cell r="BE839">
            <v>489.28571428571541</v>
          </cell>
          <cell r="BF839">
            <v>404.39560439560557</v>
          </cell>
          <cell r="BG839">
            <v>319.50549450549573</v>
          </cell>
          <cell r="BH839">
            <v>234.61538461538589</v>
          </cell>
          <cell r="BI839">
            <v>611.26373626373766</v>
          </cell>
          <cell r="BJ839">
            <v>526.37362637362776</v>
          </cell>
          <cell r="BK839">
            <v>-864.83516483516371</v>
          </cell>
          <cell r="BL839">
            <v>-1884.1758241758232</v>
          </cell>
          <cell r="BM839">
            <v>-2903.5164835164824</v>
          </cell>
          <cell r="BN839">
            <v>-3922.8571428571413</v>
          </cell>
          <cell r="BO839">
            <v>-4942.1978021978002</v>
          </cell>
          <cell r="BP839">
            <v>-5961.5384615384592</v>
          </cell>
          <cell r="BQ839">
            <v>-6980.8791208791181</v>
          </cell>
          <cell r="BR839">
            <v>-8000.219780219777</v>
          </cell>
          <cell r="BS839">
            <v>-9019.5604395604369</v>
          </cell>
          <cell r="BT839">
            <v>-10038.901098901097</v>
          </cell>
          <cell r="BU839">
            <v>-11058.241758241757</v>
          </cell>
          <cell r="BV839">
            <v>-12077.582417582416</v>
          </cell>
        </row>
        <row r="840">
          <cell r="A840" t="str">
            <v>Blank</v>
          </cell>
          <cell r="B840" t="str">
            <v>Blank</v>
          </cell>
          <cell r="D840" t="str">
            <v>Blank</v>
          </cell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</row>
        <row r="841">
          <cell r="A841" t="str">
            <v>KIA</v>
          </cell>
          <cell r="B841" t="str">
            <v>SZ1E</v>
          </cell>
          <cell r="D841" t="str">
            <v>Work days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5</v>
          </cell>
          <cell r="AJ841">
            <v>5</v>
          </cell>
          <cell r="AK841">
            <v>4</v>
          </cell>
          <cell r="AL841">
            <v>4</v>
          </cell>
          <cell r="AM841">
            <v>5</v>
          </cell>
          <cell r="AN841">
            <v>4</v>
          </cell>
          <cell r="AO841">
            <v>5</v>
          </cell>
          <cell r="AP841">
            <v>5</v>
          </cell>
          <cell r="AQ841">
            <v>5</v>
          </cell>
          <cell r="AR841">
            <v>5</v>
          </cell>
          <cell r="AS841">
            <v>5</v>
          </cell>
          <cell r="AT841">
            <v>5</v>
          </cell>
          <cell r="AU841">
            <v>5</v>
          </cell>
          <cell r="AV841">
            <v>5</v>
          </cell>
          <cell r="AW841">
            <v>5</v>
          </cell>
          <cell r="AX841">
            <v>5</v>
          </cell>
          <cell r="AY841">
            <v>5</v>
          </cell>
          <cell r="AZ841">
            <v>0</v>
          </cell>
          <cell r="BA841">
            <v>0</v>
          </cell>
          <cell r="BB841">
            <v>5</v>
          </cell>
          <cell r="BC841">
            <v>5</v>
          </cell>
          <cell r="BD841">
            <v>5</v>
          </cell>
          <cell r="BE841">
            <v>5</v>
          </cell>
          <cell r="BF841">
            <v>5</v>
          </cell>
          <cell r="BG841">
            <v>5</v>
          </cell>
          <cell r="BH841">
            <v>5</v>
          </cell>
          <cell r="BI841">
            <v>5</v>
          </cell>
          <cell r="BJ841">
            <v>5</v>
          </cell>
          <cell r="BK841">
            <v>5</v>
          </cell>
          <cell r="BL841">
            <v>5</v>
          </cell>
          <cell r="BM841">
            <v>5</v>
          </cell>
          <cell r="BN841">
            <v>5</v>
          </cell>
          <cell r="BO841">
            <v>5</v>
          </cell>
          <cell r="BP841">
            <v>5</v>
          </cell>
          <cell r="BQ841">
            <v>5</v>
          </cell>
          <cell r="BR841">
            <v>5</v>
          </cell>
          <cell r="BS841">
            <v>5</v>
          </cell>
          <cell r="BT841">
            <v>5</v>
          </cell>
          <cell r="BU841">
            <v>5</v>
          </cell>
          <cell r="BV841">
            <v>5</v>
          </cell>
        </row>
        <row r="842">
          <cell r="A842" t="str">
            <v>KIA</v>
          </cell>
          <cell r="B842" t="str">
            <v>SZ1E</v>
          </cell>
          <cell r="D842" t="str">
            <v>SHIFT A HC - operators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2</v>
          </cell>
          <cell r="AF842">
            <v>1</v>
          </cell>
          <cell r="AG842">
            <v>2</v>
          </cell>
          <cell r="AH842">
            <v>2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3</v>
          </cell>
          <cell r="BL842">
            <v>3</v>
          </cell>
          <cell r="BM842">
            <v>3</v>
          </cell>
          <cell r="BN842">
            <v>3</v>
          </cell>
          <cell r="BO842">
            <v>3</v>
          </cell>
          <cell r="BP842">
            <v>3</v>
          </cell>
          <cell r="BQ842">
            <v>3</v>
          </cell>
          <cell r="BR842">
            <v>3</v>
          </cell>
          <cell r="BS842">
            <v>3</v>
          </cell>
          <cell r="BT842">
            <v>3</v>
          </cell>
          <cell r="BU842">
            <v>3</v>
          </cell>
          <cell r="BV842">
            <v>3</v>
          </cell>
        </row>
        <row r="843">
          <cell r="A843" t="str">
            <v>KIA</v>
          </cell>
          <cell r="B843" t="str">
            <v>SZ1E</v>
          </cell>
          <cell r="D843" t="str">
            <v>SHIFT B HC  - operators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</row>
        <row r="844">
          <cell r="A844" t="str">
            <v>KIA</v>
          </cell>
          <cell r="B844" t="str">
            <v>SZ1E</v>
          </cell>
          <cell r="D844" t="str">
            <v>SHIFT C HC  - operators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</row>
        <row r="845">
          <cell r="A845" t="str">
            <v>KIA</v>
          </cell>
          <cell r="B845" t="str">
            <v>SZ1E</v>
          </cell>
          <cell r="D845" t="str">
            <v>Total HC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1</v>
          </cell>
          <cell r="AE845">
            <v>2</v>
          </cell>
          <cell r="AF845">
            <v>1</v>
          </cell>
          <cell r="AG845">
            <v>2</v>
          </cell>
          <cell r="AH845">
            <v>2</v>
          </cell>
          <cell r="AI845">
            <v>1</v>
          </cell>
          <cell r="AJ845">
            <v>1</v>
          </cell>
          <cell r="AK845">
            <v>1</v>
          </cell>
          <cell r="AL845">
            <v>1</v>
          </cell>
          <cell r="AM845">
            <v>1</v>
          </cell>
          <cell r="AN845">
            <v>1</v>
          </cell>
          <cell r="AO845">
            <v>1</v>
          </cell>
          <cell r="AP845">
            <v>1</v>
          </cell>
          <cell r="AQ845">
            <v>1</v>
          </cell>
          <cell r="AR845">
            <v>1</v>
          </cell>
          <cell r="AS845">
            <v>1</v>
          </cell>
          <cell r="AT845">
            <v>1</v>
          </cell>
          <cell r="AU845">
            <v>1</v>
          </cell>
          <cell r="AV845">
            <v>1</v>
          </cell>
          <cell r="AW845">
            <v>1</v>
          </cell>
          <cell r="AX845">
            <v>1</v>
          </cell>
          <cell r="AY845">
            <v>1</v>
          </cell>
          <cell r="AZ845">
            <v>1</v>
          </cell>
          <cell r="BA845">
            <v>1</v>
          </cell>
          <cell r="BB845">
            <v>1</v>
          </cell>
          <cell r="BC845">
            <v>1</v>
          </cell>
          <cell r="BD845">
            <v>1</v>
          </cell>
          <cell r="BE845">
            <v>1</v>
          </cell>
          <cell r="BF845">
            <v>1</v>
          </cell>
          <cell r="BG845">
            <v>1</v>
          </cell>
          <cell r="BH845">
            <v>1</v>
          </cell>
          <cell r="BI845">
            <v>1</v>
          </cell>
          <cell r="BJ845">
            <v>1</v>
          </cell>
          <cell r="BK845">
            <v>3</v>
          </cell>
          <cell r="BL845">
            <v>3</v>
          </cell>
          <cell r="BM845">
            <v>3</v>
          </cell>
          <cell r="BN845">
            <v>3</v>
          </cell>
          <cell r="BO845">
            <v>3</v>
          </cell>
          <cell r="BP845">
            <v>3</v>
          </cell>
          <cell r="BQ845">
            <v>3</v>
          </cell>
          <cell r="BR845">
            <v>3</v>
          </cell>
          <cell r="BS845">
            <v>3</v>
          </cell>
          <cell r="BT845">
            <v>3</v>
          </cell>
          <cell r="BU845">
            <v>3</v>
          </cell>
          <cell r="BV845">
            <v>3</v>
          </cell>
        </row>
        <row r="846">
          <cell r="A846" t="str">
            <v>KIA</v>
          </cell>
          <cell r="B846" t="str">
            <v>SZ1E</v>
          </cell>
          <cell r="D846" t="str">
            <v>SHIFT A HC  - efficiency</v>
          </cell>
          <cell r="Z846">
            <v>0.85</v>
          </cell>
          <cell r="AA846">
            <v>0.85</v>
          </cell>
          <cell r="AB846">
            <v>0.85</v>
          </cell>
          <cell r="AC846">
            <v>0.85</v>
          </cell>
          <cell r="AD846">
            <v>0.85</v>
          </cell>
          <cell r="AE846">
            <v>0.85</v>
          </cell>
          <cell r="AF846">
            <v>0.85</v>
          </cell>
          <cell r="AG846">
            <v>0.85</v>
          </cell>
          <cell r="AH846">
            <v>0.85</v>
          </cell>
          <cell r="AI846">
            <v>0.85</v>
          </cell>
          <cell r="AJ846">
            <v>0.85</v>
          </cell>
          <cell r="AK846">
            <v>0.85</v>
          </cell>
          <cell r="AL846">
            <v>0.85</v>
          </cell>
          <cell r="AM846">
            <v>0.85</v>
          </cell>
          <cell r="AN846">
            <v>0.85</v>
          </cell>
          <cell r="AO846">
            <v>0.85</v>
          </cell>
          <cell r="AP846">
            <v>0.85</v>
          </cell>
          <cell r="AQ846">
            <v>0.85</v>
          </cell>
          <cell r="AR846">
            <v>0.85</v>
          </cell>
          <cell r="AS846">
            <v>0.85</v>
          </cell>
          <cell r="AT846">
            <v>0.85</v>
          </cell>
          <cell r="AU846">
            <v>0.85</v>
          </cell>
          <cell r="AV846">
            <v>0.85</v>
          </cell>
          <cell r="AW846">
            <v>0.85</v>
          </cell>
          <cell r="AX846">
            <v>0.85</v>
          </cell>
          <cell r="AY846">
            <v>0.85</v>
          </cell>
          <cell r="AZ846">
            <v>0.85</v>
          </cell>
          <cell r="BA846">
            <v>0.85</v>
          </cell>
          <cell r="BB846">
            <v>0.85</v>
          </cell>
          <cell r="BC846">
            <v>0.85</v>
          </cell>
          <cell r="BD846">
            <v>0.85</v>
          </cell>
          <cell r="BE846">
            <v>0.85</v>
          </cell>
          <cell r="BF846">
            <v>0.85</v>
          </cell>
          <cell r="BG846">
            <v>0.85</v>
          </cell>
          <cell r="BH846">
            <v>0.85</v>
          </cell>
          <cell r="BI846">
            <v>0.85</v>
          </cell>
          <cell r="BJ846">
            <v>0.85</v>
          </cell>
          <cell r="BK846">
            <v>1.2</v>
          </cell>
          <cell r="BL846">
            <v>1.2</v>
          </cell>
          <cell r="BM846">
            <v>1.2</v>
          </cell>
          <cell r="BN846">
            <v>1.2</v>
          </cell>
          <cell r="BO846">
            <v>1.2</v>
          </cell>
          <cell r="BP846">
            <v>1.2</v>
          </cell>
          <cell r="BQ846">
            <v>1.2</v>
          </cell>
          <cell r="BR846">
            <v>1.2</v>
          </cell>
          <cell r="BS846">
            <v>1.2</v>
          </cell>
          <cell r="BT846">
            <v>1.2</v>
          </cell>
          <cell r="BU846">
            <v>1.2</v>
          </cell>
          <cell r="BV846">
            <v>1.2</v>
          </cell>
        </row>
        <row r="847">
          <cell r="A847" t="str">
            <v>KIA</v>
          </cell>
          <cell r="B847" t="str">
            <v>SZ1E</v>
          </cell>
          <cell r="D847" t="str">
            <v>SHIFT B HC  - efficiency</v>
          </cell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>
            <v>1</v>
          </cell>
          <cell r="BL847">
            <v>1</v>
          </cell>
          <cell r="BM847">
            <v>1</v>
          </cell>
          <cell r="BN847">
            <v>1</v>
          </cell>
          <cell r="BO847">
            <v>1</v>
          </cell>
          <cell r="BP847">
            <v>1</v>
          </cell>
          <cell r="BQ847">
            <v>1</v>
          </cell>
          <cell r="BR847">
            <v>1</v>
          </cell>
          <cell r="BS847">
            <v>1</v>
          </cell>
          <cell r="BT847">
            <v>1</v>
          </cell>
          <cell r="BU847">
            <v>1</v>
          </cell>
          <cell r="BV847">
            <v>1</v>
          </cell>
        </row>
        <row r="848">
          <cell r="A848" t="str">
            <v>KIA</v>
          </cell>
          <cell r="B848" t="str">
            <v>SZ1E</v>
          </cell>
          <cell r="D848" t="str">
            <v>SHIFT C HC  - efficiency</v>
          </cell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>
            <v>1</v>
          </cell>
          <cell r="BL848">
            <v>1</v>
          </cell>
          <cell r="BM848">
            <v>1</v>
          </cell>
          <cell r="BN848">
            <v>1</v>
          </cell>
          <cell r="BO848">
            <v>1</v>
          </cell>
          <cell r="BP848">
            <v>1</v>
          </cell>
          <cell r="BQ848">
            <v>1</v>
          </cell>
          <cell r="BR848">
            <v>1</v>
          </cell>
          <cell r="BS848">
            <v>1</v>
          </cell>
          <cell r="BT848">
            <v>1</v>
          </cell>
          <cell r="BU848">
            <v>1</v>
          </cell>
          <cell r="BV848">
            <v>1</v>
          </cell>
        </row>
        <row r="849">
          <cell r="A849" t="str">
            <v>KIA</v>
          </cell>
          <cell r="B849" t="str">
            <v>SZ1E</v>
          </cell>
          <cell r="D849" t="str">
            <v>Total efficiency</v>
          </cell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</row>
        <row r="850">
          <cell r="A850" t="str">
            <v>KIA</v>
          </cell>
          <cell r="B850" t="str">
            <v>SZ1E</v>
          </cell>
          <cell r="D850" t="str">
            <v>SHIFT A - output</v>
          </cell>
          <cell r="Z850">
            <v>109.28571428571429</v>
          </cell>
          <cell r="AA850">
            <v>109.28571428571429</v>
          </cell>
          <cell r="AB850">
            <v>109.28571428571429</v>
          </cell>
          <cell r="AC850">
            <v>109.28571428571429</v>
          </cell>
          <cell r="AD850">
            <v>109.28571428571429</v>
          </cell>
          <cell r="AE850">
            <v>218.57142857142858</v>
          </cell>
          <cell r="AF850">
            <v>109.28571428571429</v>
          </cell>
          <cell r="AG850">
            <v>218.57142857142858</v>
          </cell>
          <cell r="AH850">
            <v>218.57142857142858</v>
          </cell>
          <cell r="AI850">
            <v>109.28571428571429</v>
          </cell>
          <cell r="AJ850">
            <v>109.28571428571429</v>
          </cell>
          <cell r="AK850">
            <v>109.28571428571429</v>
          </cell>
          <cell r="AL850">
            <v>109.28571428571429</v>
          </cell>
          <cell r="AM850">
            <v>109.28571428571429</v>
          </cell>
          <cell r="AN850">
            <v>109.28571428571429</v>
          </cell>
          <cell r="AO850">
            <v>109.28571428571429</v>
          </cell>
          <cell r="AP850">
            <v>109.28571428571429</v>
          </cell>
          <cell r="AQ850">
            <v>109.28571428571429</v>
          </cell>
          <cell r="AR850">
            <v>109.28571428571429</v>
          </cell>
          <cell r="AS850">
            <v>109.28571428571429</v>
          </cell>
          <cell r="AT850">
            <v>109.28571428571429</v>
          </cell>
          <cell r="AU850">
            <v>109.28571428571429</v>
          </cell>
          <cell r="AV850">
            <v>109.28571428571429</v>
          </cell>
          <cell r="AW850">
            <v>109.28571428571429</v>
          </cell>
          <cell r="AX850">
            <v>109.28571428571429</v>
          </cell>
          <cell r="AY850">
            <v>109.28571428571429</v>
          </cell>
          <cell r="AZ850">
            <v>109.28571428571429</v>
          </cell>
          <cell r="BA850">
            <v>109.28571428571429</v>
          </cell>
          <cell r="BB850">
            <v>109.28571428571429</v>
          </cell>
          <cell r="BC850">
            <v>109.28571428571429</v>
          </cell>
          <cell r="BD850">
            <v>109.28571428571429</v>
          </cell>
          <cell r="BE850">
            <v>109.28571428571429</v>
          </cell>
          <cell r="BF850">
            <v>109.28571428571429</v>
          </cell>
          <cell r="BG850">
            <v>109.28571428571429</v>
          </cell>
          <cell r="BH850">
            <v>109.28571428571429</v>
          </cell>
          <cell r="BI850">
            <v>109.28571428571429</v>
          </cell>
          <cell r="BJ850">
            <v>109.28571428571429</v>
          </cell>
          <cell r="BK850">
            <v>462.85714285714289</v>
          </cell>
          <cell r="BL850">
            <v>462.85714285714289</v>
          </cell>
          <cell r="BM850">
            <v>462.85714285714289</v>
          </cell>
          <cell r="BN850">
            <v>462.85714285714289</v>
          </cell>
          <cell r="BO850">
            <v>462.85714285714289</v>
          </cell>
          <cell r="BP850">
            <v>462.85714285714289</v>
          </cell>
          <cell r="BQ850">
            <v>462.85714285714289</v>
          </cell>
          <cell r="BR850">
            <v>462.85714285714289</v>
          </cell>
          <cell r="BS850">
            <v>462.85714285714289</v>
          </cell>
          <cell r="BT850">
            <v>462.85714285714289</v>
          </cell>
          <cell r="BU850">
            <v>462.85714285714289</v>
          </cell>
          <cell r="BV850">
            <v>462.85714285714289</v>
          </cell>
        </row>
        <row r="851">
          <cell r="A851" t="str">
            <v>KIA</v>
          </cell>
          <cell r="B851" t="str">
            <v>SZ1E</v>
          </cell>
          <cell r="D851" t="str">
            <v>SHIFT B  - output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</row>
        <row r="852">
          <cell r="A852" t="str">
            <v>KIA</v>
          </cell>
          <cell r="B852" t="str">
            <v>SZ1E</v>
          </cell>
          <cell r="D852" t="str">
            <v>SHIFT C  - output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</row>
        <row r="853">
          <cell r="A853" t="str">
            <v>KIA</v>
          </cell>
          <cell r="B853" t="str">
            <v>SZ1E</v>
          </cell>
          <cell r="D853" t="str">
            <v>Est. Output (Pcs day)</v>
          </cell>
          <cell r="E853">
            <v>3.5</v>
          </cell>
          <cell r="Z853">
            <v>109.28571428571429</v>
          </cell>
          <cell r="AA853">
            <v>109.28571428571429</v>
          </cell>
          <cell r="AB853">
            <v>109.28571428571429</v>
          </cell>
          <cell r="AC853">
            <v>109.28571428571429</v>
          </cell>
          <cell r="AD853">
            <v>109.28571428571429</v>
          </cell>
          <cell r="AE853">
            <v>218.57142857142858</v>
          </cell>
          <cell r="AF853">
            <v>109.28571428571429</v>
          </cell>
          <cell r="AG853">
            <v>218.57142857142858</v>
          </cell>
          <cell r="AH853">
            <v>218.57142857142858</v>
          </cell>
          <cell r="AI853">
            <v>109.28571428571429</v>
          </cell>
          <cell r="AJ853">
            <v>109.28571428571429</v>
          </cell>
          <cell r="AK853">
            <v>109.28571428571429</v>
          </cell>
          <cell r="AL853">
            <v>109.28571428571429</v>
          </cell>
          <cell r="AM853">
            <v>109.28571428571429</v>
          </cell>
          <cell r="AN853">
            <v>109.28571428571429</v>
          </cell>
          <cell r="AO853">
            <v>109.28571428571429</v>
          </cell>
          <cell r="AP853">
            <v>109.28571428571429</v>
          </cell>
          <cell r="AQ853">
            <v>109.28571428571429</v>
          </cell>
          <cell r="AR853">
            <v>109.28571428571429</v>
          </cell>
          <cell r="AS853">
            <v>109.28571428571429</v>
          </cell>
          <cell r="AT853">
            <v>109.28571428571429</v>
          </cell>
          <cell r="AU853">
            <v>109.28571428571429</v>
          </cell>
          <cell r="AV853">
            <v>109.28571428571429</v>
          </cell>
          <cell r="AW853">
            <v>109.28571428571429</v>
          </cell>
          <cell r="AX853">
            <v>109.28571428571429</v>
          </cell>
          <cell r="AY853">
            <v>109.28571428571429</v>
          </cell>
          <cell r="AZ853">
            <v>109.28571428571429</v>
          </cell>
          <cell r="BA853">
            <v>109.28571428571429</v>
          </cell>
          <cell r="BB853">
            <v>109.28571428571429</v>
          </cell>
          <cell r="BC853">
            <v>109.28571428571429</v>
          </cell>
          <cell r="BD853">
            <v>109.28571428571429</v>
          </cell>
          <cell r="BE853">
            <v>109.28571428571429</v>
          </cell>
          <cell r="BF853">
            <v>109.28571428571429</v>
          </cell>
          <cell r="BG853">
            <v>109.28571428571429</v>
          </cell>
          <cell r="BH853">
            <v>109.28571428571429</v>
          </cell>
          <cell r="BI853">
            <v>109.28571428571429</v>
          </cell>
          <cell r="BJ853">
            <v>109.28571428571429</v>
          </cell>
          <cell r="BK853">
            <v>462.85714285714289</v>
          </cell>
          <cell r="BL853">
            <v>462.85714285714289</v>
          </cell>
          <cell r="BM853">
            <v>462.85714285714289</v>
          </cell>
          <cell r="BN853">
            <v>462.85714285714289</v>
          </cell>
          <cell r="BO853">
            <v>462.85714285714289</v>
          </cell>
          <cell r="BP853">
            <v>462.85714285714289</v>
          </cell>
          <cell r="BQ853">
            <v>462.85714285714289</v>
          </cell>
          <cell r="BR853">
            <v>462.85714285714289</v>
          </cell>
          <cell r="BS853">
            <v>462.85714285714289</v>
          </cell>
          <cell r="BT853">
            <v>462.85714285714289</v>
          </cell>
          <cell r="BU853">
            <v>462.85714285714289</v>
          </cell>
          <cell r="BV853">
            <v>462.85714285714289</v>
          </cell>
        </row>
        <row r="854">
          <cell r="A854" t="str">
            <v>KIA</v>
          </cell>
          <cell r="B854" t="str">
            <v>SZ1E</v>
          </cell>
          <cell r="D854" t="str">
            <v>Weekly Output PLAN</v>
          </cell>
          <cell r="E854" t="str">
            <v>ASSY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546.42857142857144</v>
          </cell>
          <cell r="AJ854">
            <v>546.42857142857144</v>
          </cell>
          <cell r="AK854">
            <v>437.14285714285717</v>
          </cell>
          <cell r="AL854">
            <v>437.14285714285717</v>
          </cell>
          <cell r="AM854">
            <v>546.42857142857144</v>
          </cell>
          <cell r="AN854">
            <v>437.14285714285717</v>
          </cell>
          <cell r="AO854">
            <v>546.42857142857144</v>
          </cell>
          <cell r="AP854">
            <v>546.42857142857144</v>
          </cell>
          <cell r="AQ854">
            <v>546.42857142857144</v>
          </cell>
          <cell r="AR854">
            <v>546.42857142857144</v>
          </cell>
          <cell r="AS854">
            <v>546.42857142857144</v>
          </cell>
          <cell r="AT854">
            <v>546.42857142857144</v>
          </cell>
          <cell r="AU854">
            <v>546.42857142857144</v>
          </cell>
          <cell r="AV854">
            <v>546.42857142857144</v>
          </cell>
          <cell r="AW854">
            <v>546.42857142857144</v>
          </cell>
          <cell r="AX854">
            <v>546.42857142857144</v>
          </cell>
          <cell r="AY854">
            <v>546.42857142857144</v>
          </cell>
          <cell r="AZ854">
            <v>0</v>
          </cell>
          <cell r="BA854">
            <v>0</v>
          </cell>
          <cell r="BB854">
            <v>546.42857142857144</v>
          </cell>
          <cell r="BC854">
            <v>546.42857142857144</v>
          </cell>
          <cell r="BD854">
            <v>546.42857142857144</v>
          </cell>
          <cell r="BE854">
            <v>546.42857142857144</v>
          </cell>
          <cell r="BF854">
            <v>546.42857142857144</v>
          </cell>
          <cell r="BG854">
            <v>546.42857142857144</v>
          </cell>
          <cell r="BH854">
            <v>546.42857142857144</v>
          </cell>
          <cell r="BI854">
            <v>546.42857142857144</v>
          </cell>
          <cell r="BJ854">
            <v>546.42857142857144</v>
          </cell>
          <cell r="BK854">
            <v>2314.2857142857147</v>
          </cell>
          <cell r="BL854">
            <v>2314.2857142857147</v>
          </cell>
          <cell r="BM854">
            <v>2314.2857142857147</v>
          </cell>
          <cell r="BN854">
            <v>2314.2857142857147</v>
          </cell>
          <cell r="BO854">
            <v>2314.2857142857147</v>
          </cell>
          <cell r="BP854">
            <v>2314.2857142857147</v>
          </cell>
          <cell r="BQ854">
            <v>2314.2857142857147</v>
          </cell>
          <cell r="BR854">
            <v>2314.2857142857147</v>
          </cell>
          <cell r="BS854">
            <v>2314.2857142857147</v>
          </cell>
          <cell r="BT854">
            <v>2314.2857142857147</v>
          </cell>
          <cell r="BU854">
            <v>2314.2857142857147</v>
          </cell>
          <cell r="BV854">
            <v>2314.2857142857147</v>
          </cell>
        </row>
        <row r="855">
          <cell r="A855" t="str">
            <v>KIA</v>
          </cell>
          <cell r="B855" t="str">
            <v>SZ1E</v>
          </cell>
          <cell r="D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</row>
        <row r="856">
          <cell r="A856" t="str">
            <v>KIA</v>
          </cell>
          <cell r="B856" t="str">
            <v>SZ1E</v>
          </cell>
          <cell r="D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</row>
        <row r="857">
          <cell r="A857" t="str">
            <v>KIA</v>
          </cell>
          <cell r="B857" t="str">
            <v>SZ1E</v>
          </cell>
          <cell r="D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</row>
        <row r="858">
          <cell r="A858" t="str">
            <v>KIA</v>
          </cell>
          <cell r="B858" t="str">
            <v>SZ1E</v>
          </cell>
          <cell r="D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</row>
        <row r="859">
          <cell r="A859" t="str">
            <v>KIA</v>
          </cell>
          <cell r="B859" t="str">
            <v>SZ1E</v>
          </cell>
          <cell r="D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</row>
        <row r="860">
          <cell r="A860" t="str">
            <v>KIA</v>
          </cell>
          <cell r="B860" t="str">
            <v>SZ1E</v>
          </cell>
          <cell r="D860" t="str">
            <v>Weekly Output PLAN - SUM of models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</row>
        <row r="861">
          <cell r="A861" t="str">
            <v>KIA</v>
          </cell>
          <cell r="B861" t="str">
            <v>SZ1E</v>
          </cell>
          <cell r="D861" t="str">
            <v>Weekly Output CHECK with TO time multiple</v>
          </cell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</row>
        <row r="862">
          <cell r="A862" t="str">
            <v>KIA</v>
          </cell>
          <cell r="B862" t="str">
            <v>SZ1E</v>
          </cell>
          <cell r="D862" t="str">
            <v>Weekly Output ACT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546.42857142857144</v>
          </cell>
          <cell r="AJ862">
            <v>546.42857142857144</v>
          </cell>
          <cell r="AK862">
            <v>437.14285714285717</v>
          </cell>
          <cell r="AL862">
            <v>437.14285714285717</v>
          </cell>
          <cell r="AM862">
            <v>546.42857142857144</v>
          </cell>
          <cell r="AN862">
            <v>437.14285714285717</v>
          </cell>
          <cell r="AO862">
            <v>546.42857142857144</v>
          </cell>
          <cell r="AP862">
            <v>546.42857142857144</v>
          </cell>
          <cell r="AQ862">
            <v>546.42857142857144</v>
          </cell>
          <cell r="AR862">
            <v>546.42857142857144</v>
          </cell>
          <cell r="AS862">
            <v>546.42857142857144</v>
          </cell>
          <cell r="AT862">
            <v>546.42857142857144</v>
          </cell>
          <cell r="AU862">
            <v>546.42857142857144</v>
          </cell>
          <cell r="AV862">
            <v>546.42857142857144</v>
          </cell>
          <cell r="AW862">
            <v>546.42857142857144</v>
          </cell>
          <cell r="AX862">
            <v>546.42857142857144</v>
          </cell>
          <cell r="AY862">
            <v>546.42857142857144</v>
          </cell>
          <cell r="AZ862">
            <v>0</v>
          </cell>
          <cell r="BA862">
            <v>0</v>
          </cell>
          <cell r="BB862">
            <v>546.42857142857144</v>
          </cell>
          <cell r="BC862">
            <v>546.42857142857144</v>
          </cell>
          <cell r="BD862">
            <v>546.42857142857144</v>
          </cell>
          <cell r="BE862">
            <v>546.42857142857144</v>
          </cell>
          <cell r="BF862">
            <v>546.42857142857144</v>
          </cell>
          <cell r="BG862">
            <v>546.42857142857144</v>
          </cell>
          <cell r="BH862">
            <v>546.42857142857144</v>
          </cell>
          <cell r="BI862">
            <v>546.42857142857144</v>
          </cell>
          <cell r="BJ862">
            <v>546.42857142857144</v>
          </cell>
          <cell r="BK862">
            <v>2314.2857142857147</v>
          </cell>
          <cell r="BL862">
            <v>2314.2857142857147</v>
          </cell>
          <cell r="BM862">
            <v>2314.2857142857147</v>
          </cell>
          <cell r="BN862">
            <v>2314.2857142857147</v>
          </cell>
          <cell r="BO862">
            <v>2314.2857142857147</v>
          </cell>
          <cell r="BP862">
            <v>2314.2857142857147</v>
          </cell>
          <cell r="BQ862">
            <v>2314.2857142857147</v>
          </cell>
          <cell r="BR862">
            <v>2314.2857142857147</v>
          </cell>
          <cell r="BS862">
            <v>2314.2857142857147</v>
          </cell>
          <cell r="BT862">
            <v>2314.2857142857147</v>
          </cell>
          <cell r="BU862">
            <v>2314.2857142857147</v>
          </cell>
          <cell r="BV862">
            <v>2314.2857142857147</v>
          </cell>
        </row>
        <row r="863">
          <cell r="A863" t="str">
            <v>KIA</v>
          </cell>
          <cell r="B863" t="str">
            <v>SZ1E</v>
          </cell>
          <cell r="D863">
            <v>0</v>
          </cell>
          <cell r="Z863">
            <v>132</v>
          </cell>
          <cell r="AA863">
            <v>0</v>
          </cell>
          <cell r="AB863">
            <v>0</v>
          </cell>
          <cell r="AC863">
            <v>0</v>
          </cell>
          <cell r="AD863">
            <v>132</v>
          </cell>
          <cell r="AE863">
            <v>0</v>
          </cell>
          <cell r="AF863">
            <v>198</v>
          </cell>
          <cell r="AG863">
            <v>0</v>
          </cell>
          <cell r="AH863">
            <v>198</v>
          </cell>
          <cell r="AI863">
            <v>0</v>
          </cell>
          <cell r="AJ863">
            <v>0</v>
          </cell>
          <cell r="AK863">
            <v>264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</row>
        <row r="864">
          <cell r="A864" t="str">
            <v>KIA</v>
          </cell>
          <cell r="B864" t="str">
            <v>SZ1E</v>
          </cell>
          <cell r="D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602</v>
          </cell>
          <cell r="AE864">
            <v>0</v>
          </cell>
          <cell r="AF864">
            <v>530</v>
          </cell>
          <cell r="AG864">
            <v>0</v>
          </cell>
          <cell r="AH864">
            <v>929</v>
          </cell>
          <cell r="AI864">
            <v>0</v>
          </cell>
          <cell r="AJ864">
            <v>0</v>
          </cell>
          <cell r="AK864">
            <v>1073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</row>
        <row r="865">
          <cell r="A865" t="str">
            <v>KIA</v>
          </cell>
          <cell r="B865" t="str">
            <v>SZ1E</v>
          </cell>
          <cell r="D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</row>
        <row r="866">
          <cell r="A866" t="str">
            <v>KIA</v>
          </cell>
          <cell r="B866" t="str">
            <v>SZ1E</v>
          </cell>
          <cell r="D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</row>
        <row r="867">
          <cell r="A867" t="str">
            <v>KIA</v>
          </cell>
          <cell r="B867" t="str">
            <v>SZ1E</v>
          </cell>
          <cell r="D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</row>
        <row r="868">
          <cell r="A868" t="str">
            <v>KIA</v>
          </cell>
          <cell r="B868" t="str">
            <v>SZ1E</v>
          </cell>
          <cell r="D868" t="str">
            <v>Weekly demand</v>
          </cell>
          <cell r="Z868">
            <v>132</v>
          </cell>
          <cell r="AA868">
            <v>0</v>
          </cell>
          <cell r="AB868">
            <v>0</v>
          </cell>
          <cell r="AC868">
            <v>0</v>
          </cell>
          <cell r="AD868">
            <v>734</v>
          </cell>
          <cell r="AE868">
            <v>0</v>
          </cell>
          <cell r="AF868">
            <v>728</v>
          </cell>
          <cell r="AG868">
            <v>0</v>
          </cell>
          <cell r="AH868">
            <v>1127</v>
          </cell>
          <cell r="AI868">
            <v>0</v>
          </cell>
          <cell r="AJ868">
            <v>0</v>
          </cell>
          <cell r="AK868">
            <v>1337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4058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</row>
        <row r="869">
          <cell r="A869" t="str">
            <v>KIA</v>
          </cell>
          <cell r="B869" t="str">
            <v>SZ1E</v>
          </cell>
          <cell r="D869" t="str">
            <v>Stock Target</v>
          </cell>
          <cell r="Z869">
            <v>700</v>
          </cell>
          <cell r="AA869">
            <v>700</v>
          </cell>
          <cell r="AB869">
            <v>700</v>
          </cell>
          <cell r="AC869">
            <v>700</v>
          </cell>
          <cell r="AD869">
            <v>700</v>
          </cell>
          <cell r="AE869">
            <v>700</v>
          </cell>
          <cell r="AF869">
            <v>700</v>
          </cell>
          <cell r="AG869">
            <v>700</v>
          </cell>
          <cell r="AH869">
            <v>700</v>
          </cell>
          <cell r="AI869">
            <v>700</v>
          </cell>
          <cell r="AJ869">
            <v>2528</v>
          </cell>
          <cell r="AK869">
            <v>2529</v>
          </cell>
          <cell r="AL869">
            <v>2530</v>
          </cell>
          <cell r="AM869">
            <v>2531</v>
          </cell>
          <cell r="AN869">
            <v>2532</v>
          </cell>
          <cell r="AO869">
            <v>2533</v>
          </cell>
          <cell r="AP869">
            <v>2534</v>
          </cell>
          <cell r="AQ869">
            <v>2535</v>
          </cell>
          <cell r="AR869">
            <v>2536</v>
          </cell>
          <cell r="AS869">
            <v>2537</v>
          </cell>
          <cell r="AT869">
            <v>2538</v>
          </cell>
          <cell r="AU869">
            <v>2539</v>
          </cell>
          <cell r="AV869">
            <v>2540</v>
          </cell>
          <cell r="AW869">
            <v>2541</v>
          </cell>
          <cell r="AX869">
            <v>2542</v>
          </cell>
          <cell r="AY869">
            <v>2543</v>
          </cell>
          <cell r="AZ869">
            <v>2544</v>
          </cell>
          <cell r="BA869">
            <v>2545</v>
          </cell>
          <cell r="BB869">
            <v>2546</v>
          </cell>
          <cell r="BC869">
            <v>2547</v>
          </cell>
          <cell r="BD869">
            <v>2548</v>
          </cell>
          <cell r="BE869">
            <v>2549</v>
          </cell>
          <cell r="BF869">
            <v>2550</v>
          </cell>
          <cell r="BG869">
            <v>2551</v>
          </cell>
          <cell r="BH869">
            <v>2552</v>
          </cell>
          <cell r="BI869">
            <v>2553</v>
          </cell>
          <cell r="BJ869">
            <v>2554</v>
          </cell>
          <cell r="BK869">
            <v>2555</v>
          </cell>
          <cell r="BL869">
            <v>2556</v>
          </cell>
          <cell r="BM869">
            <v>2557</v>
          </cell>
          <cell r="BN869">
            <v>2558</v>
          </cell>
          <cell r="BO869">
            <v>2559</v>
          </cell>
          <cell r="BP869">
            <v>2560</v>
          </cell>
          <cell r="BQ869">
            <v>2561</v>
          </cell>
          <cell r="BR869">
            <v>2562</v>
          </cell>
          <cell r="BS869">
            <v>2563</v>
          </cell>
          <cell r="BT869">
            <v>2564</v>
          </cell>
          <cell r="BU869">
            <v>2565</v>
          </cell>
          <cell r="BV869">
            <v>2566</v>
          </cell>
        </row>
        <row r="870">
          <cell r="A870" t="str">
            <v>KIA</v>
          </cell>
          <cell r="B870" t="str">
            <v>SZ1E</v>
          </cell>
          <cell r="D870" t="str">
            <v>SZ1E FAB</v>
          </cell>
          <cell r="Z870">
            <v>660</v>
          </cell>
          <cell r="AA870">
            <v>660</v>
          </cell>
          <cell r="AB870">
            <v>660</v>
          </cell>
          <cell r="AC870">
            <v>660</v>
          </cell>
          <cell r="AD870">
            <v>528</v>
          </cell>
          <cell r="AE870">
            <v>528</v>
          </cell>
          <cell r="AF870">
            <v>330</v>
          </cell>
          <cell r="AG870">
            <v>330</v>
          </cell>
          <cell r="AH870">
            <v>132</v>
          </cell>
          <cell r="AI870">
            <v>132</v>
          </cell>
          <cell r="AJ870">
            <v>132</v>
          </cell>
          <cell r="AK870">
            <v>-132</v>
          </cell>
          <cell r="AL870">
            <v>-132</v>
          </cell>
          <cell r="AM870">
            <v>-132</v>
          </cell>
          <cell r="AN870">
            <v>-132</v>
          </cell>
          <cell r="AO870">
            <v>-132</v>
          </cell>
          <cell r="AP870">
            <v>-132</v>
          </cell>
          <cell r="AQ870">
            <v>-132</v>
          </cell>
          <cell r="AR870">
            <v>-132</v>
          </cell>
          <cell r="AS870">
            <v>-132</v>
          </cell>
          <cell r="AT870">
            <v>-132</v>
          </cell>
          <cell r="AU870">
            <v>-132</v>
          </cell>
          <cell r="AV870">
            <v>-132</v>
          </cell>
          <cell r="AW870">
            <v>-132</v>
          </cell>
          <cell r="AX870">
            <v>-132</v>
          </cell>
          <cell r="AY870">
            <v>-132</v>
          </cell>
          <cell r="AZ870">
            <v>-132</v>
          </cell>
          <cell r="BA870">
            <v>-132</v>
          </cell>
          <cell r="BB870">
            <v>-132</v>
          </cell>
          <cell r="BC870">
            <v>-132</v>
          </cell>
          <cell r="BD870">
            <v>-132</v>
          </cell>
          <cell r="BE870">
            <v>-132</v>
          </cell>
          <cell r="BF870">
            <v>-132</v>
          </cell>
          <cell r="BG870">
            <v>-132</v>
          </cell>
          <cell r="BH870">
            <v>-132</v>
          </cell>
          <cell r="BI870">
            <v>-132</v>
          </cell>
          <cell r="BJ870">
            <v>-132</v>
          </cell>
          <cell r="BK870">
            <v>-132</v>
          </cell>
          <cell r="BL870">
            <v>-132</v>
          </cell>
          <cell r="BM870">
            <v>-132</v>
          </cell>
          <cell r="BN870">
            <v>-132</v>
          </cell>
          <cell r="BO870">
            <v>-132</v>
          </cell>
          <cell r="BP870">
            <v>-132</v>
          </cell>
          <cell r="BQ870">
            <v>-132</v>
          </cell>
          <cell r="BR870">
            <v>-132</v>
          </cell>
          <cell r="BS870">
            <v>-132</v>
          </cell>
          <cell r="BT870">
            <v>-132</v>
          </cell>
          <cell r="BU870">
            <v>-132</v>
          </cell>
          <cell r="BV870">
            <v>-132</v>
          </cell>
        </row>
        <row r="871">
          <cell r="A871" t="str">
            <v>KIA</v>
          </cell>
          <cell r="B871" t="str">
            <v>SZ1E</v>
          </cell>
          <cell r="D871" t="str">
            <v>SZ1E VNL</v>
          </cell>
          <cell r="Z871">
            <v>2904</v>
          </cell>
          <cell r="AA871">
            <v>2640</v>
          </cell>
          <cell r="AB871">
            <v>2640</v>
          </cell>
          <cell r="AC871">
            <v>2640</v>
          </cell>
          <cell r="AD871">
            <v>2038</v>
          </cell>
          <cell r="AE871">
            <v>2038</v>
          </cell>
          <cell r="AF871">
            <v>1508</v>
          </cell>
          <cell r="AG871">
            <v>1508</v>
          </cell>
          <cell r="AH871">
            <v>579</v>
          </cell>
          <cell r="AI871">
            <v>579</v>
          </cell>
          <cell r="AJ871">
            <v>579</v>
          </cell>
          <cell r="AK871">
            <v>-494</v>
          </cell>
          <cell r="AL871">
            <v>-494</v>
          </cell>
          <cell r="AM871">
            <v>-494</v>
          </cell>
          <cell r="AN871">
            <v>-494</v>
          </cell>
          <cell r="AO871">
            <v>-494</v>
          </cell>
          <cell r="AP871">
            <v>-494</v>
          </cell>
          <cell r="AQ871">
            <v>-494</v>
          </cell>
          <cell r="AR871">
            <v>-494</v>
          </cell>
          <cell r="AS871">
            <v>-494</v>
          </cell>
          <cell r="AT871">
            <v>-494</v>
          </cell>
          <cell r="AU871">
            <v>-494</v>
          </cell>
          <cell r="AV871">
            <v>-494</v>
          </cell>
          <cell r="AW871">
            <v>-494</v>
          </cell>
          <cell r="AX871">
            <v>-494</v>
          </cell>
          <cell r="AY871">
            <v>-494</v>
          </cell>
          <cell r="AZ871">
            <v>-494</v>
          </cell>
          <cell r="BA871">
            <v>-494</v>
          </cell>
          <cell r="BB871">
            <v>-494</v>
          </cell>
          <cell r="BC871">
            <v>-494</v>
          </cell>
          <cell r="BD871">
            <v>-494</v>
          </cell>
          <cell r="BE871">
            <v>-494</v>
          </cell>
          <cell r="BF871">
            <v>-494</v>
          </cell>
          <cell r="BG871">
            <v>-494</v>
          </cell>
          <cell r="BH871">
            <v>-494</v>
          </cell>
          <cell r="BI871">
            <v>-494</v>
          </cell>
          <cell r="BJ871">
            <v>-494</v>
          </cell>
          <cell r="BK871">
            <v>-494</v>
          </cell>
          <cell r="BL871">
            <v>-494</v>
          </cell>
          <cell r="BM871">
            <v>-494</v>
          </cell>
          <cell r="BN871">
            <v>-494</v>
          </cell>
          <cell r="BO871">
            <v>-494</v>
          </cell>
          <cell r="BP871">
            <v>-494</v>
          </cell>
          <cell r="BQ871">
            <v>-494</v>
          </cell>
          <cell r="BR871">
            <v>-494</v>
          </cell>
          <cell r="BS871">
            <v>-494</v>
          </cell>
          <cell r="BT871">
            <v>-494</v>
          </cell>
          <cell r="BU871">
            <v>-494</v>
          </cell>
          <cell r="BV871">
            <v>-494</v>
          </cell>
        </row>
        <row r="872">
          <cell r="A872" t="str">
            <v>KIA</v>
          </cell>
          <cell r="B872" t="str">
            <v>SZ1E</v>
          </cell>
          <cell r="D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</row>
        <row r="873">
          <cell r="A873" t="str">
            <v>KIA</v>
          </cell>
          <cell r="B873" t="str">
            <v>SZ1E</v>
          </cell>
          <cell r="D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</row>
        <row r="874">
          <cell r="A874" t="str">
            <v>KIA</v>
          </cell>
          <cell r="B874" t="str">
            <v>SZ1E</v>
          </cell>
          <cell r="D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</row>
        <row r="875">
          <cell r="A875" t="str">
            <v>KIA</v>
          </cell>
          <cell r="B875" t="str">
            <v>SZ1E</v>
          </cell>
          <cell r="D875" t="str">
            <v>STOCK</v>
          </cell>
          <cell r="Z875">
            <v>3564</v>
          </cell>
          <cell r="AA875">
            <v>3564</v>
          </cell>
          <cell r="AB875">
            <v>3564</v>
          </cell>
          <cell r="AC875">
            <v>3564</v>
          </cell>
          <cell r="AD875">
            <v>2830</v>
          </cell>
          <cell r="AE875">
            <v>2830</v>
          </cell>
          <cell r="AF875">
            <v>2102</v>
          </cell>
          <cell r="AG875">
            <v>2102</v>
          </cell>
          <cell r="AH875">
            <v>975</v>
          </cell>
          <cell r="AI875">
            <v>1521.4285714285716</v>
          </cell>
          <cell r="AJ875">
            <v>2067.8571428571431</v>
          </cell>
          <cell r="AK875">
            <v>1168.0000000000002</v>
          </cell>
          <cell r="AL875">
            <v>1605.1428571428573</v>
          </cell>
          <cell r="AM875">
            <v>2151.5714285714289</v>
          </cell>
          <cell r="AN875">
            <v>2588.7142857142862</v>
          </cell>
          <cell r="AO875">
            <v>3135.1428571428578</v>
          </cell>
          <cell r="AP875">
            <v>3681.5714285714294</v>
          </cell>
          <cell r="AQ875">
            <v>4228.0000000000009</v>
          </cell>
          <cell r="AR875">
            <v>4774.4285714285725</v>
          </cell>
          <cell r="AS875">
            <v>5320.857142857144</v>
          </cell>
          <cell r="AT875">
            <v>5867.2857142857156</v>
          </cell>
          <cell r="AU875">
            <v>6413.7142857142871</v>
          </cell>
          <cell r="AV875">
            <v>6960.1428571428587</v>
          </cell>
          <cell r="AW875">
            <v>7506.5714285714303</v>
          </cell>
          <cell r="AX875">
            <v>8053.0000000000018</v>
          </cell>
          <cell r="AY875">
            <v>8599.4285714285725</v>
          </cell>
          <cell r="AZ875">
            <v>8599.4285714285725</v>
          </cell>
          <cell r="BA875">
            <v>8599.4285714285725</v>
          </cell>
          <cell r="BB875">
            <v>9145.8571428571431</v>
          </cell>
          <cell r="BC875">
            <v>9692.2857142857138</v>
          </cell>
          <cell r="BD875">
            <v>10238.714285714284</v>
          </cell>
          <cell r="BE875">
            <v>10785.142857142855</v>
          </cell>
          <cell r="BF875">
            <v>11331.571428571426</v>
          </cell>
          <cell r="BG875">
            <v>11877.999999999996</v>
          </cell>
          <cell r="BH875">
            <v>12424.428571428567</v>
          </cell>
          <cell r="BI875">
            <v>12970.857142857138</v>
          </cell>
          <cell r="BJ875">
            <v>13517.285714285708</v>
          </cell>
          <cell r="BK875">
            <v>15831.571428571424</v>
          </cell>
          <cell r="BL875">
            <v>14087.857142857138</v>
          </cell>
          <cell r="BM875">
            <v>16402.142857142851</v>
          </cell>
          <cell r="BN875">
            <v>18716.428571428565</v>
          </cell>
          <cell r="BO875">
            <v>21030.714285714279</v>
          </cell>
          <cell r="BP875">
            <v>23344.999999999993</v>
          </cell>
          <cell r="BQ875">
            <v>25659.285714285706</v>
          </cell>
          <cell r="BR875">
            <v>27973.57142857142</v>
          </cell>
          <cell r="BS875">
            <v>30287.857142857134</v>
          </cell>
          <cell r="BT875">
            <v>32602.142857142848</v>
          </cell>
          <cell r="BU875">
            <v>34916.428571428565</v>
          </cell>
          <cell r="BV875">
            <v>37230.714285714283</v>
          </cell>
        </row>
        <row r="876">
          <cell r="A876" t="str">
            <v>Blank</v>
          </cell>
          <cell r="B876" t="str">
            <v>Blank</v>
          </cell>
          <cell r="D876" t="str">
            <v>Blank</v>
          </cell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</row>
        <row r="877">
          <cell r="A877" t="str">
            <v>KIA</v>
          </cell>
          <cell r="B877" t="str">
            <v>SZ1E</v>
          </cell>
          <cell r="D877" t="str">
            <v>Work days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5</v>
          </cell>
          <cell r="AI877">
            <v>5</v>
          </cell>
          <cell r="AJ877">
            <v>5</v>
          </cell>
          <cell r="AK877">
            <v>4</v>
          </cell>
          <cell r="AL877">
            <v>4</v>
          </cell>
          <cell r="AM877">
            <v>5</v>
          </cell>
          <cell r="AN877">
            <v>4</v>
          </cell>
          <cell r="AO877">
            <v>5</v>
          </cell>
          <cell r="AP877">
            <v>5</v>
          </cell>
          <cell r="AQ877">
            <v>5</v>
          </cell>
          <cell r="AR877">
            <v>5</v>
          </cell>
          <cell r="AS877">
            <v>5</v>
          </cell>
          <cell r="AT877">
            <v>5</v>
          </cell>
          <cell r="AU877">
            <v>5</v>
          </cell>
          <cell r="AV877">
            <v>5</v>
          </cell>
          <cell r="AW877">
            <v>5</v>
          </cell>
          <cell r="AX877">
            <v>5</v>
          </cell>
          <cell r="AY877">
            <v>5</v>
          </cell>
          <cell r="AZ877">
            <v>0</v>
          </cell>
          <cell r="BA877">
            <v>0</v>
          </cell>
          <cell r="BB877">
            <v>5</v>
          </cell>
          <cell r="BC877">
            <v>5</v>
          </cell>
          <cell r="BD877">
            <v>5</v>
          </cell>
          <cell r="BE877">
            <v>5</v>
          </cell>
          <cell r="BF877">
            <v>5</v>
          </cell>
          <cell r="BG877">
            <v>5</v>
          </cell>
          <cell r="BH877">
            <v>5</v>
          </cell>
          <cell r="BI877">
            <v>5</v>
          </cell>
          <cell r="BJ877">
            <v>5</v>
          </cell>
          <cell r="BK877">
            <v>5</v>
          </cell>
          <cell r="BL877">
            <v>5</v>
          </cell>
          <cell r="BM877">
            <v>5</v>
          </cell>
          <cell r="BN877">
            <v>5</v>
          </cell>
          <cell r="BO877">
            <v>5</v>
          </cell>
          <cell r="BP877">
            <v>5</v>
          </cell>
          <cell r="BQ877">
            <v>5</v>
          </cell>
          <cell r="BR877">
            <v>5</v>
          </cell>
          <cell r="BS877">
            <v>5</v>
          </cell>
          <cell r="BT877">
            <v>5</v>
          </cell>
          <cell r="BU877">
            <v>5</v>
          </cell>
          <cell r="BV877">
            <v>5</v>
          </cell>
        </row>
        <row r="878">
          <cell r="A878" t="str">
            <v>KIA</v>
          </cell>
          <cell r="B878" t="str">
            <v>SZ1E</v>
          </cell>
          <cell r="D878" t="str">
            <v>SHIFT A HC - operators</v>
          </cell>
          <cell r="Z878">
            <v>2</v>
          </cell>
          <cell r="AA878">
            <v>2</v>
          </cell>
          <cell r="AB878">
            <v>1</v>
          </cell>
          <cell r="AC878">
            <v>1</v>
          </cell>
          <cell r="AD878">
            <v>2</v>
          </cell>
          <cell r="AE878">
            <v>2</v>
          </cell>
          <cell r="AF878">
            <v>2</v>
          </cell>
          <cell r="AG878">
            <v>2</v>
          </cell>
          <cell r="AH878">
            <v>2</v>
          </cell>
          <cell r="AI878">
            <v>2</v>
          </cell>
          <cell r="AJ878">
            <v>2</v>
          </cell>
          <cell r="AK878">
            <v>2</v>
          </cell>
          <cell r="AL878">
            <v>1</v>
          </cell>
          <cell r="AM878">
            <v>1</v>
          </cell>
          <cell r="AN878">
            <v>2</v>
          </cell>
          <cell r="AO878">
            <v>1</v>
          </cell>
          <cell r="AP878">
            <v>2</v>
          </cell>
          <cell r="AQ878">
            <v>1</v>
          </cell>
          <cell r="AR878">
            <v>1</v>
          </cell>
          <cell r="AS878">
            <v>2</v>
          </cell>
          <cell r="AT878">
            <v>1</v>
          </cell>
          <cell r="AU878">
            <v>1</v>
          </cell>
          <cell r="AV878">
            <v>1</v>
          </cell>
          <cell r="AW878">
            <v>1</v>
          </cell>
          <cell r="AX878">
            <v>1</v>
          </cell>
          <cell r="AY878">
            <v>2</v>
          </cell>
          <cell r="AZ878">
            <v>1</v>
          </cell>
          <cell r="BA878">
            <v>1</v>
          </cell>
          <cell r="BB878">
            <v>1</v>
          </cell>
          <cell r="BC878">
            <v>1</v>
          </cell>
          <cell r="BD878">
            <v>1</v>
          </cell>
          <cell r="BE878">
            <v>1</v>
          </cell>
          <cell r="BF878">
            <v>1</v>
          </cell>
          <cell r="BG878">
            <v>1</v>
          </cell>
          <cell r="BH878">
            <v>2</v>
          </cell>
          <cell r="BI878">
            <v>1</v>
          </cell>
          <cell r="BJ878">
            <v>2</v>
          </cell>
          <cell r="BK878">
            <v>3</v>
          </cell>
          <cell r="BL878">
            <v>3</v>
          </cell>
          <cell r="BM878">
            <v>3</v>
          </cell>
          <cell r="BN878">
            <v>3</v>
          </cell>
          <cell r="BO878">
            <v>3</v>
          </cell>
          <cell r="BP878">
            <v>3</v>
          </cell>
          <cell r="BQ878">
            <v>3</v>
          </cell>
          <cell r="BR878">
            <v>3</v>
          </cell>
          <cell r="BS878">
            <v>3</v>
          </cell>
          <cell r="BT878">
            <v>3</v>
          </cell>
          <cell r="BU878">
            <v>3</v>
          </cell>
          <cell r="BV878">
            <v>3</v>
          </cell>
        </row>
        <row r="879">
          <cell r="A879" t="str">
            <v>KIA</v>
          </cell>
          <cell r="B879" t="str">
            <v>SZ1E</v>
          </cell>
          <cell r="D879" t="str">
            <v>SHIFT B HC  - operators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</row>
        <row r="880">
          <cell r="A880" t="str">
            <v>KIA</v>
          </cell>
          <cell r="B880" t="str">
            <v>SZ1E</v>
          </cell>
          <cell r="D880" t="str">
            <v>SHIFT C HC  - operators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</row>
        <row r="881">
          <cell r="A881" t="str">
            <v>KIA</v>
          </cell>
          <cell r="B881" t="str">
            <v>SZ1E</v>
          </cell>
          <cell r="D881" t="str">
            <v>Total HC</v>
          </cell>
          <cell r="Z881">
            <v>2</v>
          </cell>
          <cell r="AA881">
            <v>2</v>
          </cell>
          <cell r="AB881">
            <v>1</v>
          </cell>
          <cell r="AC881">
            <v>1</v>
          </cell>
          <cell r="AD881">
            <v>2</v>
          </cell>
          <cell r="AE881">
            <v>2</v>
          </cell>
          <cell r="AF881">
            <v>2</v>
          </cell>
          <cell r="AG881">
            <v>2</v>
          </cell>
          <cell r="AH881">
            <v>2</v>
          </cell>
          <cell r="AI881">
            <v>2</v>
          </cell>
          <cell r="AJ881">
            <v>2</v>
          </cell>
          <cell r="AK881">
            <v>2</v>
          </cell>
          <cell r="AL881">
            <v>1</v>
          </cell>
          <cell r="AM881">
            <v>1</v>
          </cell>
          <cell r="AN881">
            <v>2</v>
          </cell>
          <cell r="AO881">
            <v>1</v>
          </cell>
          <cell r="AP881">
            <v>2</v>
          </cell>
          <cell r="AQ881">
            <v>1</v>
          </cell>
          <cell r="AR881">
            <v>1</v>
          </cell>
          <cell r="AS881">
            <v>2</v>
          </cell>
          <cell r="AT881">
            <v>1</v>
          </cell>
          <cell r="AU881">
            <v>1</v>
          </cell>
          <cell r="AV881">
            <v>1</v>
          </cell>
          <cell r="AW881">
            <v>1</v>
          </cell>
          <cell r="AX881">
            <v>1</v>
          </cell>
          <cell r="AY881">
            <v>2</v>
          </cell>
          <cell r="AZ881">
            <v>1</v>
          </cell>
          <cell r="BA881">
            <v>1</v>
          </cell>
          <cell r="BB881">
            <v>1</v>
          </cell>
          <cell r="BC881">
            <v>1</v>
          </cell>
          <cell r="BD881">
            <v>1</v>
          </cell>
          <cell r="BE881">
            <v>1</v>
          </cell>
          <cell r="BF881">
            <v>1</v>
          </cell>
          <cell r="BG881">
            <v>1</v>
          </cell>
          <cell r="BH881">
            <v>2</v>
          </cell>
          <cell r="BI881">
            <v>1</v>
          </cell>
          <cell r="BJ881">
            <v>2</v>
          </cell>
          <cell r="BK881">
            <v>3</v>
          </cell>
          <cell r="BL881">
            <v>3</v>
          </cell>
          <cell r="BM881">
            <v>3</v>
          </cell>
          <cell r="BN881">
            <v>3</v>
          </cell>
          <cell r="BO881">
            <v>3</v>
          </cell>
          <cell r="BP881">
            <v>3</v>
          </cell>
          <cell r="BQ881">
            <v>3</v>
          </cell>
          <cell r="BR881">
            <v>3</v>
          </cell>
          <cell r="BS881">
            <v>3</v>
          </cell>
          <cell r="BT881">
            <v>3</v>
          </cell>
          <cell r="BU881">
            <v>3</v>
          </cell>
          <cell r="BV881">
            <v>3</v>
          </cell>
        </row>
        <row r="882">
          <cell r="A882" t="str">
            <v>KIA</v>
          </cell>
          <cell r="B882" t="str">
            <v>SZ1E</v>
          </cell>
          <cell r="D882" t="str">
            <v>SHIFT A HC  - efficiency</v>
          </cell>
          <cell r="Z882">
            <v>1</v>
          </cell>
          <cell r="AA882">
            <v>1</v>
          </cell>
          <cell r="AB882">
            <v>1</v>
          </cell>
          <cell r="AC882">
            <v>1</v>
          </cell>
          <cell r="AD882">
            <v>1</v>
          </cell>
          <cell r="AE882">
            <v>1</v>
          </cell>
          <cell r="AF882">
            <v>1</v>
          </cell>
          <cell r="AG882">
            <v>1</v>
          </cell>
          <cell r="AH882">
            <v>1</v>
          </cell>
          <cell r="AI882">
            <v>1</v>
          </cell>
          <cell r="AJ882">
            <v>1</v>
          </cell>
          <cell r="AK882">
            <v>1</v>
          </cell>
          <cell r="AL882">
            <v>1</v>
          </cell>
          <cell r="AM882">
            <v>1</v>
          </cell>
          <cell r="AN882">
            <v>1</v>
          </cell>
          <cell r="AO882">
            <v>1</v>
          </cell>
          <cell r="AP882">
            <v>1</v>
          </cell>
          <cell r="AQ882">
            <v>1</v>
          </cell>
          <cell r="AR882">
            <v>1</v>
          </cell>
          <cell r="AS882">
            <v>1</v>
          </cell>
          <cell r="AT882">
            <v>1</v>
          </cell>
          <cell r="AU882">
            <v>1</v>
          </cell>
          <cell r="AV882">
            <v>1.2</v>
          </cell>
          <cell r="AW882">
            <v>1.2</v>
          </cell>
          <cell r="AX882">
            <v>1.2</v>
          </cell>
          <cell r="AY882">
            <v>1.2</v>
          </cell>
          <cell r="AZ882">
            <v>1.2</v>
          </cell>
          <cell r="BA882">
            <v>1.2</v>
          </cell>
          <cell r="BB882">
            <v>1.2</v>
          </cell>
          <cell r="BC882">
            <v>1.2</v>
          </cell>
          <cell r="BD882">
            <v>1.2</v>
          </cell>
          <cell r="BE882">
            <v>1.2</v>
          </cell>
          <cell r="BF882">
            <v>1.2</v>
          </cell>
          <cell r="BG882">
            <v>1.2</v>
          </cell>
          <cell r="BH882">
            <v>1.2</v>
          </cell>
          <cell r="BI882">
            <v>1.2</v>
          </cell>
          <cell r="BJ882">
            <v>1.2</v>
          </cell>
          <cell r="BK882">
            <v>1.2</v>
          </cell>
          <cell r="BL882">
            <v>1.2</v>
          </cell>
          <cell r="BM882">
            <v>1.2</v>
          </cell>
          <cell r="BN882">
            <v>1.2</v>
          </cell>
          <cell r="BO882">
            <v>1.2</v>
          </cell>
          <cell r="BP882">
            <v>1.2</v>
          </cell>
          <cell r="BQ882">
            <v>1.2</v>
          </cell>
          <cell r="BR882">
            <v>1.2</v>
          </cell>
          <cell r="BS882">
            <v>1.2</v>
          </cell>
          <cell r="BT882">
            <v>1.2</v>
          </cell>
          <cell r="BU882">
            <v>1.2</v>
          </cell>
          <cell r="BV882">
            <v>1.2</v>
          </cell>
        </row>
        <row r="883">
          <cell r="A883" t="str">
            <v>KIA</v>
          </cell>
          <cell r="B883" t="str">
            <v>SZ1E</v>
          </cell>
          <cell r="D883" t="str">
            <v>SHIFT B HC  - efficiency</v>
          </cell>
          <cell r="Z883">
            <v>1</v>
          </cell>
          <cell r="AA883">
            <v>1</v>
          </cell>
          <cell r="AB883">
            <v>1</v>
          </cell>
          <cell r="AC883">
            <v>1</v>
          </cell>
          <cell r="AD883">
            <v>1</v>
          </cell>
          <cell r="AE883">
            <v>1</v>
          </cell>
          <cell r="AF883">
            <v>1</v>
          </cell>
          <cell r="AG883">
            <v>1</v>
          </cell>
          <cell r="AH883">
            <v>1</v>
          </cell>
          <cell r="AI883">
            <v>1</v>
          </cell>
          <cell r="AJ883">
            <v>1</v>
          </cell>
          <cell r="AK883">
            <v>1</v>
          </cell>
          <cell r="AL883">
            <v>1</v>
          </cell>
          <cell r="AM883">
            <v>1</v>
          </cell>
          <cell r="AN883">
            <v>1</v>
          </cell>
          <cell r="AO883">
            <v>1</v>
          </cell>
          <cell r="AP883">
            <v>1</v>
          </cell>
          <cell r="AQ883">
            <v>1</v>
          </cell>
          <cell r="AR883">
            <v>1</v>
          </cell>
          <cell r="AS883">
            <v>1</v>
          </cell>
          <cell r="AT883">
            <v>1</v>
          </cell>
          <cell r="AU883">
            <v>1</v>
          </cell>
          <cell r="AV883">
            <v>1</v>
          </cell>
          <cell r="AW883">
            <v>1</v>
          </cell>
          <cell r="AX883">
            <v>1</v>
          </cell>
          <cell r="AY883">
            <v>1</v>
          </cell>
          <cell r="AZ883">
            <v>1</v>
          </cell>
          <cell r="BA883">
            <v>1</v>
          </cell>
          <cell r="BB883">
            <v>1</v>
          </cell>
          <cell r="BC883">
            <v>1</v>
          </cell>
          <cell r="BD883">
            <v>1</v>
          </cell>
          <cell r="BE883">
            <v>1</v>
          </cell>
          <cell r="BF883">
            <v>1</v>
          </cell>
          <cell r="BG883">
            <v>1</v>
          </cell>
          <cell r="BH883">
            <v>1</v>
          </cell>
          <cell r="BI883">
            <v>1</v>
          </cell>
          <cell r="BJ883">
            <v>1</v>
          </cell>
          <cell r="BK883">
            <v>1</v>
          </cell>
          <cell r="BL883">
            <v>1</v>
          </cell>
          <cell r="BM883">
            <v>1</v>
          </cell>
          <cell r="BN883">
            <v>1</v>
          </cell>
          <cell r="BO883">
            <v>1</v>
          </cell>
          <cell r="BP883">
            <v>1</v>
          </cell>
          <cell r="BQ883">
            <v>1</v>
          </cell>
          <cell r="BR883">
            <v>1</v>
          </cell>
          <cell r="BS883">
            <v>1</v>
          </cell>
          <cell r="BT883">
            <v>1</v>
          </cell>
          <cell r="BU883">
            <v>1</v>
          </cell>
          <cell r="BV883">
            <v>1</v>
          </cell>
        </row>
        <row r="884">
          <cell r="A884" t="str">
            <v>KIA</v>
          </cell>
          <cell r="B884" t="str">
            <v>SZ1E</v>
          </cell>
          <cell r="D884" t="str">
            <v>SHIFT C HC  - efficiency</v>
          </cell>
          <cell r="Z884">
            <v>1</v>
          </cell>
          <cell r="AA884">
            <v>1</v>
          </cell>
          <cell r="AB884">
            <v>1</v>
          </cell>
          <cell r="AC884">
            <v>1</v>
          </cell>
          <cell r="AD884">
            <v>1</v>
          </cell>
          <cell r="AE884">
            <v>1</v>
          </cell>
          <cell r="AF884">
            <v>1</v>
          </cell>
          <cell r="AG884">
            <v>1</v>
          </cell>
          <cell r="AH884">
            <v>1</v>
          </cell>
          <cell r="AI884">
            <v>1</v>
          </cell>
          <cell r="AJ884">
            <v>1</v>
          </cell>
          <cell r="AK884">
            <v>1</v>
          </cell>
          <cell r="AL884">
            <v>1</v>
          </cell>
          <cell r="AM884">
            <v>1</v>
          </cell>
          <cell r="AN884">
            <v>1</v>
          </cell>
          <cell r="AO884">
            <v>1</v>
          </cell>
          <cell r="AP884">
            <v>1</v>
          </cell>
          <cell r="AQ884">
            <v>1</v>
          </cell>
          <cell r="AR884">
            <v>1</v>
          </cell>
          <cell r="AS884">
            <v>1</v>
          </cell>
          <cell r="AT884">
            <v>1</v>
          </cell>
          <cell r="AU884">
            <v>1</v>
          </cell>
          <cell r="AV884">
            <v>1</v>
          </cell>
          <cell r="AW884">
            <v>1</v>
          </cell>
          <cell r="AX884">
            <v>1</v>
          </cell>
          <cell r="AY884">
            <v>1</v>
          </cell>
          <cell r="AZ884">
            <v>1</v>
          </cell>
          <cell r="BA884">
            <v>1</v>
          </cell>
          <cell r="BB884">
            <v>1</v>
          </cell>
          <cell r="BC884">
            <v>1</v>
          </cell>
          <cell r="BD884">
            <v>1</v>
          </cell>
          <cell r="BE884">
            <v>1</v>
          </cell>
          <cell r="BF884">
            <v>1</v>
          </cell>
          <cell r="BG884">
            <v>1</v>
          </cell>
          <cell r="BH884">
            <v>1</v>
          </cell>
          <cell r="BI884">
            <v>1</v>
          </cell>
          <cell r="BJ884">
            <v>1</v>
          </cell>
          <cell r="BK884">
            <v>1</v>
          </cell>
          <cell r="BL884">
            <v>1</v>
          </cell>
          <cell r="BM884">
            <v>1</v>
          </cell>
          <cell r="BN884">
            <v>1</v>
          </cell>
          <cell r="BO884">
            <v>1</v>
          </cell>
          <cell r="BP884">
            <v>1</v>
          </cell>
          <cell r="BQ884">
            <v>1</v>
          </cell>
          <cell r="BR884">
            <v>1</v>
          </cell>
          <cell r="BS884">
            <v>1</v>
          </cell>
          <cell r="BT884">
            <v>1</v>
          </cell>
          <cell r="BU884">
            <v>1</v>
          </cell>
          <cell r="BV884">
            <v>1</v>
          </cell>
        </row>
        <row r="885">
          <cell r="A885" t="str">
            <v>KIA</v>
          </cell>
          <cell r="B885" t="str">
            <v>SZ1E</v>
          </cell>
          <cell r="D885" t="str">
            <v>Total efficiency</v>
          </cell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</row>
        <row r="886">
          <cell r="A886" t="str">
            <v>KIA</v>
          </cell>
          <cell r="B886" t="str">
            <v>SZ1E</v>
          </cell>
          <cell r="D886" t="str">
            <v>SHIFT A - output</v>
          </cell>
          <cell r="Z886">
            <v>160.02560409665548</v>
          </cell>
          <cell r="AA886">
            <v>160.02560409665548</v>
          </cell>
          <cell r="AB886">
            <v>80.012802048327742</v>
          </cell>
          <cell r="AC886">
            <v>80.012802048327742</v>
          </cell>
          <cell r="AD886">
            <v>160.02560409665548</v>
          </cell>
          <cell r="AE886">
            <v>160.02560409665548</v>
          </cell>
          <cell r="AF886">
            <v>160.02560409665548</v>
          </cell>
          <cell r="AG886">
            <v>160.02560409665548</v>
          </cell>
          <cell r="AH886">
            <v>160.02560409665548</v>
          </cell>
          <cell r="AI886">
            <v>160.02560409665548</v>
          </cell>
          <cell r="AJ886">
            <v>160.02560409665548</v>
          </cell>
          <cell r="AK886">
            <v>160.02560409665548</v>
          </cell>
          <cell r="AL886">
            <v>80.012802048327742</v>
          </cell>
          <cell r="AM886">
            <v>80.012802048327742</v>
          </cell>
          <cell r="AN886">
            <v>160.02560409665548</v>
          </cell>
          <cell r="AO886">
            <v>80.012802048327742</v>
          </cell>
          <cell r="AP886">
            <v>160.02560409665548</v>
          </cell>
          <cell r="AQ886">
            <v>80.012802048327742</v>
          </cell>
          <cell r="AR886">
            <v>80.012802048327742</v>
          </cell>
          <cell r="AS886">
            <v>160.02560409665548</v>
          </cell>
          <cell r="AT886">
            <v>80.012802048327742</v>
          </cell>
          <cell r="AU886">
            <v>80.012802048327742</v>
          </cell>
          <cell r="AV886">
            <v>96.015362457993291</v>
          </cell>
          <cell r="AW886">
            <v>96.015362457993291</v>
          </cell>
          <cell r="AX886">
            <v>96.015362457993291</v>
          </cell>
          <cell r="AY886">
            <v>192.03072491598658</v>
          </cell>
          <cell r="AZ886">
            <v>96.015362457993291</v>
          </cell>
          <cell r="BA886">
            <v>96.015362457993291</v>
          </cell>
          <cell r="BB886">
            <v>96.015362457993291</v>
          </cell>
          <cell r="BC886">
            <v>96.015362457993291</v>
          </cell>
          <cell r="BD886">
            <v>96.015362457993291</v>
          </cell>
          <cell r="BE886">
            <v>96.015362457993291</v>
          </cell>
          <cell r="BF886">
            <v>96.015362457993291</v>
          </cell>
          <cell r="BG886">
            <v>96.015362457993291</v>
          </cell>
          <cell r="BH886">
            <v>192.03072491598658</v>
          </cell>
          <cell r="BI886">
            <v>96.015362457993291</v>
          </cell>
          <cell r="BJ886">
            <v>192.03072491598658</v>
          </cell>
          <cell r="BK886">
            <v>288.0460873739799</v>
          </cell>
          <cell r="BL886">
            <v>288.0460873739799</v>
          </cell>
          <cell r="BM886">
            <v>288.0460873739799</v>
          </cell>
          <cell r="BN886">
            <v>288.0460873739799</v>
          </cell>
          <cell r="BO886">
            <v>288.0460873739799</v>
          </cell>
          <cell r="BP886">
            <v>288.0460873739799</v>
          </cell>
          <cell r="BQ886">
            <v>288.0460873739799</v>
          </cell>
          <cell r="BR886">
            <v>288.0460873739799</v>
          </cell>
          <cell r="BS886">
            <v>288.0460873739799</v>
          </cell>
          <cell r="BT886">
            <v>288.0460873739799</v>
          </cell>
          <cell r="BU886">
            <v>288.0460873739799</v>
          </cell>
          <cell r="BV886">
            <v>288.0460873739799</v>
          </cell>
        </row>
        <row r="887">
          <cell r="A887" t="str">
            <v>KIA</v>
          </cell>
          <cell r="B887" t="str">
            <v>SZ1E</v>
          </cell>
          <cell r="D887" t="str">
            <v>SHIFT B  - output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</row>
        <row r="888">
          <cell r="A888" t="str">
            <v>KIA</v>
          </cell>
          <cell r="B888" t="str">
            <v>SZ1E</v>
          </cell>
          <cell r="D888" t="str">
            <v>SHIFT C  - output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</row>
        <row r="889">
          <cell r="A889" t="str">
            <v>KIA</v>
          </cell>
          <cell r="B889" t="str">
            <v>SZ1E</v>
          </cell>
          <cell r="D889" t="str">
            <v>Est. Output (Pcs day)</v>
          </cell>
          <cell r="E889">
            <v>5.6240999999999994</v>
          </cell>
          <cell r="Z889">
            <v>160.02560409665548</v>
          </cell>
          <cell r="AA889">
            <v>160.02560409665548</v>
          </cell>
          <cell r="AB889">
            <v>80.012802048327742</v>
          </cell>
          <cell r="AC889">
            <v>80.012802048327742</v>
          </cell>
          <cell r="AD889">
            <v>160.02560409665548</v>
          </cell>
          <cell r="AE889">
            <v>160.02560409665548</v>
          </cell>
          <cell r="AF889">
            <v>160.02560409665548</v>
          </cell>
          <cell r="AG889">
            <v>160.02560409665548</v>
          </cell>
          <cell r="AH889">
            <v>160.02560409665548</v>
          </cell>
          <cell r="AI889">
            <v>160.02560409665548</v>
          </cell>
          <cell r="AJ889">
            <v>160.02560409665548</v>
          </cell>
          <cell r="AK889">
            <v>160.02560409665548</v>
          </cell>
          <cell r="AL889">
            <v>80.012802048327742</v>
          </cell>
          <cell r="AM889">
            <v>80.012802048327742</v>
          </cell>
          <cell r="AN889">
            <v>160.02560409665548</v>
          </cell>
          <cell r="AO889">
            <v>80.012802048327742</v>
          </cell>
          <cell r="AP889">
            <v>160.02560409665548</v>
          </cell>
          <cell r="AQ889">
            <v>80.012802048327742</v>
          </cell>
          <cell r="AR889">
            <v>80.012802048327742</v>
          </cell>
          <cell r="AS889">
            <v>160.02560409665548</v>
          </cell>
          <cell r="AT889">
            <v>80.012802048327742</v>
          </cell>
          <cell r="AU889">
            <v>80.012802048327742</v>
          </cell>
          <cell r="AV889">
            <v>96.015362457993291</v>
          </cell>
          <cell r="AW889">
            <v>96.015362457993291</v>
          </cell>
          <cell r="AX889">
            <v>96.015362457993291</v>
          </cell>
          <cell r="AY889">
            <v>192.03072491598658</v>
          </cell>
          <cell r="AZ889">
            <v>96.015362457993291</v>
          </cell>
          <cell r="BA889">
            <v>96.015362457993291</v>
          </cell>
          <cell r="BB889">
            <v>96.015362457993291</v>
          </cell>
          <cell r="BC889">
            <v>96.015362457993291</v>
          </cell>
          <cell r="BD889">
            <v>96.015362457993291</v>
          </cell>
          <cell r="BE889">
            <v>96.015362457993291</v>
          </cell>
          <cell r="BF889">
            <v>96.015362457993291</v>
          </cell>
          <cell r="BG889">
            <v>96.015362457993291</v>
          </cell>
          <cell r="BH889">
            <v>192.03072491598658</v>
          </cell>
          <cell r="BI889">
            <v>96.015362457993291</v>
          </cell>
          <cell r="BJ889">
            <v>192.03072491598658</v>
          </cell>
          <cell r="BK889">
            <v>288.0460873739799</v>
          </cell>
          <cell r="BL889">
            <v>288.0460873739799</v>
          </cell>
          <cell r="BM889">
            <v>288.0460873739799</v>
          </cell>
          <cell r="BN889">
            <v>288.0460873739799</v>
          </cell>
          <cell r="BO889">
            <v>288.0460873739799</v>
          </cell>
          <cell r="BP889">
            <v>288.0460873739799</v>
          </cell>
          <cell r="BQ889">
            <v>288.0460873739799</v>
          </cell>
          <cell r="BR889">
            <v>288.0460873739799</v>
          </cell>
          <cell r="BS889">
            <v>288.0460873739799</v>
          </cell>
          <cell r="BT889">
            <v>288.0460873739799</v>
          </cell>
          <cell r="BU889">
            <v>288.0460873739799</v>
          </cell>
          <cell r="BV889">
            <v>288.0460873739799</v>
          </cell>
        </row>
        <row r="890">
          <cell r="A890" t="str">
            <v>KIA</v>
          </cell>
          <cell r="B890" t="str">
            <v>SZ1E</v>
          </cell>
          <cell r="D890" t="str">
            <v>Weekly Output PLAN</v>
          </cell>
          <cell r="E890" t="str">
            <v>SEW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800.1280204832774</v>
          </cell>
          <cell r="AI890">
            <v>800.1280204832774</v>
          </cell>
          <cell r="AJ890">
            <v>800.1280204832774</v>
          </cell>
          <cell r="AK890">
            <v>640.10241638662194</v>
          </cell>
          <cell r="AL890">
            <v>320.05120819331097</v>
          </cell>
          <cell r="AM890">
            <v>400.0640102416387</v>
          </cell>
          <cell r="AN890">
            <v>640.10241638662194</v>
          </cell>
          <cell r="AO890">
            <v>400.0640102416387</v>
          </cell>
          <cell r="AP890">
            <v>800.1280204832774</v>
          </cell>
          <cell r="AQ890">
            <v>400.0640102416387</v>
          </cell>
          <cell r="AR890">
            <v>400.0640102416387</v>
          </cell>
          <cell r="AS890">
            <v>800.1280204832774</v>
          </cell>
          <cell r="AT890">
            <v>400.0640102416387</v>
          </cell>
          <cell r="AU890">
            <v>400.0640102416387</v>
          </cell>
          <cell r="AV890">
            <v>480.07681228996648</v>
          </cell>
          <cell r="AW890">
            <v>480.07681228996648</v>
          </cell>
          <cell r="AX890">
            <v>480.07681228996648</v>
          </cell>
          <cell r="AY890">
            <v>960.15362457993297</v>
          </cell>
          <cell r="AZ890">
            <v>0</v>
          </cell>
          <cell r="BA890">
            <v>0</v>
          </cell>
          <cell r="BB890">
            <v>480.07681228996648</v>
          </cell>
          <cell r="BC890">
            <v>480.07681228996648</v>
          </cell>
          <cell r="BD890">
            <v>480.07681228996648</v>
          </cell>
          <cell r="BE890">
            <v>480.07681228996648</v>
          </cell>
          <cell r="BF890">
            <v>480.07681228996648</v>
          </cell>
          <cell r="BG890">
            <v>480.07681228996648</v>
          </cell>
          <cell r="BH890">
            <v>960.15362457993297</v>
          </cell>
          <cell r="BI890">
            <v>480.07681228996648</v>
          </cell>
          <cell r="BJ890">
            <v>960.15362457993297</v>
          </cell>
          <cell r="BK890">
            <v>1440.2304368698994</v>
          </cell>
          <cell r="BL890">
            <v>1440.2304368698994</v>
          </cell>
          <cell r="BM890">
            <v>1440.2304368698994</v>
          </cell>
          <cell r="BN890">
            <v>1440.2304368698994</v>
          </cell>
          <cell r="BO890">
            <v>1440.2304368698994</v>
          </cell>
          <cell r="BP890">
            <v>1440.2304368698994</v>
          </cell>
          <cell r="BQ890">
            <v>1440.2304368698994</v>
          </cell>
          <cell r="BR890">
            <v>1440.2304368698994</v>
          </cell>
          <cell r="BS890">
            <v>1440.2304368698994</v>
          </cell>
          <cell r="BT890">
            <v>1440.2304368698994</v>
          </cell>
          <cell r="BU890">
            <v>1440.2304368698994</v>
          </cell>
          <cell r="BV890">
            <v>1440.2304368698994</v>
          </cell>
        </row>
        <row r="891">
          <cell r="A891" t="str">
            <v>KIA</v>
          </cell>
          <cell r="B891" t="str">
            <v>SZ1E</v>
          </cell>
          <cell r="D891" t="str">
            <v>FAB</v>
          </cell>
          <cell r="E891">
            <v>4.7556000000000003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</row>
        <row r="892">
          <cell r="A892" t="str">
            <v>KIA</v>
          </cell>
          <cell r="B892" t="str">
            <v>SZ1E</v>
          </cell>
          <cell r="D892" t="str">
            <v>VNL</v>
          </cell>
          <cell r="E892">
            <v>5.6240999999999994</v>
          </cell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</row>
        <row r="893">
          <cell r="A893" t="str">
            <v>KIA</v>
          </cell>
          <cell r="B893" t="str">
            <v>SZ1E</v>
          </cell>
          <cell r="D893" t="str">
            <v>LTH</v>
          </cell>
          <cell r="E893">
            <v>5.6240999999999994</v>
          </cell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</row>
        <row r="894">
          <cell r="A894" t="str">
            <v>KIA</v>
          </cell>
          <cell r="B894" t="str">
            <v>SZ1E</v>
          </cell>
          <cell r="D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</row>
        <row r="895">
          <cell r="A895" t="str">
            <v>KIA</v>
          </cell>
          <cell r="B895" t="str">
            <v>SZ1E</v>
          </cell>
          <cell r="D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</row>
        <row r="896">
          <cell r="A896" t="str">
            <v>KIA</v>
          </cell>
          <cell r="B896" t="str">
            <v>SZ1E</v>
          </cell>
          <cell r="D896" t="str">
            <v>Weekly Output PLAN - SUM of models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</row>
        <row r="897">
          <cell r="A897" t="str">
            <v>KIA</v>
          </cell>
          <cell r="B897" t="str">
            <v>SZ1E</v>
          </cell>
          <cell r="D897" t="str">
            <v>Weekly Output CHECK with TO time multiple</v>
          </cell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</row>
        <row r="898">
          <cell r="A898" t="str">
            <v>KIA</v>
          </cell>
          <cell r="B898" t="str">
            <v>SZ1E</v>
          </cell>
          <cell r="D898" t="str">
            <v>Weekly Output ACT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800.1280204832774</v>
          </cell>
          <cell r="AI898">
            <v>800.1280204832774</v>
          </cell>
          <cell r="AJ898">
            <v>800.1280204832774</v>
          </cell>
          <cell r="AK898">
            <v>640.10241638662194</v>
          </cell>
          <cell r="AL898">
            <v>320.05120819331097</v>
          </cell>
          <cell r="AM898">
            <v>400.0640102416387</v>
          </cell>
          <cell r="AN898">
            <v>640.10241638662194</v>
          </cell>
          <cell r="AO898">
            <v>400.0640102416387</v>
          </cell>
          <cell r="AP898">
            <v>800.1280204832774</v>
          </cell>
          <cell r="AQ898">
            <v>400.0640102416387</v>
          </cell>
          <cell r="AR898">
            <v>400.0640102416387</v>
          </cell>
          <cell r="AS898">
            <v>800.1280204832774</v>
          </cell>
          <cell r="AT898">
            <v>400.0640102416387</v>
          </cell>
          <cell r="AU898">
            <v>400.0640102416387</v>
          </cell>
          <cell r="AV898">
            <v>480.07681228996648</v>
          </cell>
          <cell r="AW898">
            <v>480.07681228996648</v>
          </cell>
          <cell r="AX898">
            <v>480.07681228996648</v>
          </cell>
          <cell r="AY898">
            <v>960.15362457993297</v>
          </cell>
          <cell r="AZ898">
            <v>0</v>
          </cell>
          <cell r="BA898">
            <v>0</v>
          </cell>
          <cell r="BB898">
            <v>480.07681228996648</v>
          </cell>
          <cell r="BC898">
            <v>480.07681228996648</v>
          </cell>
          <cell r="BD898">
            <v>480.07681228996648</v>
          </cell>
          <cell r="BE898">
            <v>480.07681228996648</v>
          </cell>
          <cell r="BF898">
            <v>480.07681228996648</v>
          </cell>
          <cell r="BG898">
            <v>480.07681228996648</v>
          </cell>
          <cell r="BH898">
            <v>960.15362457993297</v>
          </cell>
          <cell r="BI898">
            <v>480.07681228996648</v>
          </cell>
          <cell r="BJ898">
            <v>960.15362457993297</v>
          </cell>
          <cell r="BK898">
            <v>1440.2304368698994</v>
          </cell>
          <cell r="BL898">
            <v>1440.2304368698994</v>
          </cell>
          <cell r="BM898">
            <v>1440.2304368698994</v>
          </cell>
          <cell r="BN898">
            <v>1440.2304368698994</v>
          </cell>
          <cell r="BO898">
            <v>1440.2304368698994</v>
          </cell>
          <cell r="BP898">
            <v>1440.2304368698994</v>
          </cell>
          <cell r="BQ898">
            <v>1440.2304368698994</v>
          </cell>
          <cell r="BR898">
            <v>1440.2304368698994</v>
          </cell>
          <cell r="BS898">
            <v>1440.2304368698994</v>
          </cell>
          <cell r="BT898">
            <v>1440.2304368698994</v>
          </cell>
          <cell r="BU898">
            <v>1440.2304368698994</v>
          </cell>
          <cell r="BV898">
            <v>1440.2304368698994</v>
          </cell>
        </row>
        <row r="899">
          <cell r="A899" t="str">
            <v>KIA</v>
          </cell>
          <cell r="B899" t="str">
            <v>SZ1E</v>
          </cell>
          <cell r="D899" t="str">
            <v>FAB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546.42857142857144</v>
          </cell>
          <cell r="AJ899">
            <v>546.42857142857144</v>
          </cell>
          <cell r="AK899">
            <v>437.14285714285717</v>
          </cell>
          <cell r="AL899">
            <v>437.14285714285717</v>
          </cell>
          <cell r="AM899">
            <v>546.42857142857144</v>
          </cell>
          <cell r="AN899">
            <v>437.14285714285717</v>
          </cell>
          <cell r="AO899">
            <v>546.42857142857144</v>
          </cell>
          <cell r="AP899">
            <v>546.42857142857144</v>
          </cell>
          <cell r="AQ899">
            <v>546.42857142857144</v>
          </cell>
          <cell r="AR899">
            <v>546.42857142857144</v>
          </cell>
          <cell r="AS899">
            <v>546.42857142857144</v>
          </cell>
          <cell r="AT899">
            <v>546.42857142857144</v>
          </cell>
          <cell r="AU899">
            <v>546.42857142857144</v>
          </cell>
          <cell r="AV899">
            <v>546.42857142857144</v>
          </cell>
          <cell r="AW899">
            <v>546.42857142857144</v>
          </cell>
          <cell r="AX899">
            <v>546.42857142857144</v>
          </cell>
          <cell r="AY899">
            <v>546.42857142857144</v>
          </cell>
          <cell r="AZ899">
            <v>0</v>
          </cell>
          <cell r="BA899">
            <v>0</v>
          </cell>
          <cell r="BB899">
            <v>546.42857142857144</v>
          </cell>
          <cell r="BC899">
            <v>546.42857142857144</v>
          </cell>
          <cell r="BD899">
            <v>546.42857142857144</v>
          </cell>
          <cell r="BE899">
            <v>546.42857142857144</v>
          </cell>
          <cell r="BF899">
            <v>546.42857142857144</v>
          </cell>
          <cell r="BG899">
            <v>546.42857142857144</v>
          </cell>
          <cell r="BH899">
            <v>546.42857142857144</v>
          </cell>
          <cell r="BI899">
            <v>546.42857142857144</v>
          </cell>
          <cell r="BJ899">
            <v>546.42857142857144</v>
          </cell>
          <cell r="BK899">
            <v>2314.2857142857147</v>
          </cell>
          <cell r="BL899">
            <v>2314.2857142857147</v>
          </cell>
          <cell r="BM899">
            <v>2314.2857142857147</v>
          </cell>
          <cell r="BN899">
            <v>2314.2857142857147</v>
          </cell>
          <cell r="BO899">
            <v>2314.2857142857147</v>
          </cell>
          <cell r="BP899">
            <v>2314.2857142857147</v>
          </cell>
          <cell r="BQ899">
            <v>2314.2857142857147</v>
          </cell>
          <cell r="BR899">
            <v>2314.2857142857147</v>
          </cell>
          <cell r="BS899">
            <v>2314.2857142857147</v>
          </cell>
          <cell r="BT899">
            <v>2314.2857142857147</v>
          </cell>
          <cell r="BU899">
            <v>2314.2857142857147</v>
          </cell>
          <cell r="BV899">
            <v>2314.2857142857147</v>
          </cell>
        </row>
        <row r="900">
          <cell r="A900" t="str">
            <v>KIA</v>
          </cell>
          <cell r="B900" t="str">
            <v>SZ1E</v>
          </cell>
          <cell r="D900" t="str">
            <v>VNL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</row>
        <row r="901">
          <cell r="A901" t="str">
            <v>KIA</v>
          </cell>
          <cell r="B901" t="str">
            <v>SZ1E</v>
          </cell>
          <cell r="D901" t="str">
            <v>LTH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</row>
        <row r="902">
          <cell r="A902" t="str">
            <v>KIA</v>
          </cell>
          <cell r="B902" t="str">
            <v>SZ1E</v>
          </cell>
          <cell r="D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</row>
        <row r="903">
          <cell r="A903" t="str">
            <v>KIA</v>
          </cell>
          <cell r="B903" t="str">
            <v>SZ1E</v>
          </cell>
          <cell r="D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</row>
        <row r="904">
          <cell r="A904" t="str">
            <v>KIA</v>
          </cell>
          <cell r="B904" t="str">
            <v>SZ1E</v>
          </cell>
          <cell r="D904" t="str">
            <v>Weekly demand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546.42857142857144</v>
          </cell>
          <cell r="AJ904">
            <v>546.42857142857144</v>
          </cell>
          <cell r="AK904">
            <v>437.14285714285717</v>
          </cell>
          <cell r="AL904">
            <v>437.14285714285717</v>
          </cell>
          <cell r="AM904">
            <v>546.42857142857144</v>
          </cell>
          <cell r="AN904">
            <v>437.14285714285717</v>
          </cell>
          <cell r="AO904">
            <v>546.42857142857144</v>
          </cell>
          <cell r="AP904">
            <v>546.42857142857144</v>
          </cell>
          <cell r="AQ904">
            <v>546.42857142857144</v>
          </cell>
          <cell r="AR904">
            <v>546.42857142857144</v>
          </cell>
          <cell r="AS904">
            <v>546.42857142857144</v>
          </cell>
          <cell r="AT904">
            <v>546.42857142857144</v>
          </cell>
          <cell r="AU904">
            <v>546.42857142857144</v>
          </cell>
          <cell r="AV904">
            <v>546.42857142857144</v>
          </cell>
          <cell r="AW904">
            <v>546.42857142857144</v>
          </cell>
          <cell r="AX904">
            <v>546.42857142857144</v>
          </cell>
          <cell r="AY904">
            <v>546.42857142857144</v>
          </cell>
          <cell r="AZ904">
            <v>0</v>
          </cell>
          <cell r="BA904">
            <v>0</v>
          </cell>
          <cell r="BB904">
            <v>546.42857142857144</v>
          </cell>
          <cell r="BC904">
            <v>546.42857142857144</v>
          </cell>
          <cell r="BD904">
            <v>546.42857142857144</v>
          </cell>
          <cell r="BE904">
            <v>546.42857142857144</v>
          </cell>
          <cell r="BF904">
            <v>546.42857142857144</v>
          </cell>
          <cell r="BG904">
            <v>546.42857142857144</v>
          </cell>
          <cell r="BH904">
            <v>546.42857142857144</v>
          </cell>
          <cell r="BI904">
            <v>546.42857142857144</v>
          </cell>
          <cell r="BJ904">
            <v>546.42857142857144</v>
          </cell>
          <cell r="BK904">
            <v>2314.2857142857147</v>
          </cell>
          <cell r="BL904">
            <v>2314.2857142857147</v>
          </cell>
          <cell r="BM904">
            <v>2314.2857142857147</v>
          </cell>
          <cell r="BN904">
            <v>2314.2857142857147</v>
          </cell>
          <cell r="BO904">
            <v>2314.2857142857147</v>
          </cell>
          <cell r="BP904">
            <v>2314.2857142857147</v>
          </cell>
          <cell r="BQ904">
            <v>2314.2857142857147</v>
          </cell>
          <cell r="BR904">
            <v>2314.2857142857147</v>
          </cell>
          <cell r="BS904">
            <v>2314.2857142857147</v>
          </cell>
          <cell r="BT904">
            <v>2314.2857142857147</v>
          </cell>
          <cell r="BU904">
            <v>2314.2857142857147</v>
          </cell>
          <cell r="BV904">
            <v>2314.2857142857147</v>
          </cell>
        </row>
        <row r="905">
          <cell r="A905" t="str">
            <v>KIA</v>
          </cell>
          <cell r="B905" t="str">
            <v>SZ1E</v>
          </cell>
          <cell r="D905" t="str">
            <v>Stock Target</v>
          </cell>
          <cell r="Z905">
            <v>750</v>
          </cell>
          <cell r="AA905">
            <v>750</v>
          </cell>
          <cell r="AB905">
            <v>750</v>
          </cell>
          <cell r="AC905">
            <v>750</v>
          </cell>
          <cell r="AD905">
            <v>750</v>
          </cell>
          <cell r="AE905">
            <v>750</v>
          </cell>
          <cell r="AF905">
            <v>750</v>
          </cell>
          <cell r="AG905">
            <v>750</v>
          </cell>
          <cell r="AH905">
            <v>750</v>
          </cell>
          <cell r="AI905">
            <v>750</v>
          </cell>
          <cell r="AJ905">
            <v>750</v>
          </cell>
          <cell r="AK905">
            <v>750</v>
          </cell>
          <cell r="AL905">
            <v>750</v>
          </cell>
          <cell r="AM905">
            <v>750</v>
          </cell>
          <cell r="AN905">
            <v>750</v>
          </cell>
          <cell r="AO905">
            <v>750</v>
          </cell>
          <cell r="AP905">
            <v>750</v>
          </cell>
          <cell r="AQ905">
            <v>750</v>
          </cell>
          <cell r="AR905">
            <v>750</v>
          </cell>
          <cell r="AS905">
            <v>750</v>
          </cell>
          <cell r="AT905">
            <v>750</v>
          </cell>
          <cell r="AU905">
            <v>750</v>
          </cell>
          <cell r="AV905">
            <v>750</v>
          </cell>
          <cell r="AW905">
            <v>750</v>
          </cell>
          <cell r="AX905">
            <v>750</v>
          </cell>
          <cell r="AY905">
            <v>750</v>
          </cell>
          <cell r="AZ905">
            <v>750</v>
          </cell>
          <cell r="BA905">
            <v>750</v>
          </cell>
          <cell r="BB905">
            <v>750</v>
          </cell>
          <cell r="BC905">
            <v>750</v>
          </cell>
          <cell r="BD905">
            <v>750</v>
          </cell>
          <cell r="BE905">
            <v>750</v>
          </cell>
          <cell r="BF905">
            <v>750</v>
          </cell>
          <cell r="BG905">
            <v>750</v>
          </cell>
          <cell r="BH905">
            <v>750</v>
          </cell>
          <cell r="BI905">
            <v>750</v>
          </cell>
          <cell r="BJ905">
            <v>750</v>
          </cell>
          <cell r="BK905">
            <v>750</v>
          </cell>
          <cell r="BL905">
            <v>750</v>
          </cell>
          <cell r="BM905">
            <v>750</v>
          </cell>
          <cell r="BN905">
            <v>750</v>
          </cell>
          <cell r="BO905">
            <v>750</v>
          </cell>
          <cell r="BP905">
            <v>750</v>
          </cell>
          <cell r="BQ905">
            <v>750</v>
          </cell>
          <cell r="BR905">
            <v>750</v>
          </cell>
          <cell r="BS905">
            <v>750</v>
          </cell>
          <cell r="BT905">
            <v>750</v>
          </cell>
          <cell r="BU905">
            <v>750</v>
          </cell>
          <cell r="BV905">
            <v>750</v>
          </cell>
        </row>
        <row r="906">
          <cell r="A906" t="str">
            <v>KIA</v>
          </cell>
          <cell r="B906" t="str">
            <v>SZ1E</v>
          </cell>
          <cell r="D906" t="str">
            <v>SZ1E FAB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-546.42857142857144</v>
          </cell>
          <cell r="AJ906">
            <v>-1092.8571428571429</v>
          </cell>
          <cell r="AK906">
            <v>-1530</v>
          </cell>
          <cell r="AL906">
            <v>-1967.1428571428571</v>
          </cell>
          <cell r="AM906">
            <v>-2513.5714285714284</v>
          </cell>
          <cell r="AN906">
            <v>-2950.7142857142858</v>
          </cell>
          <cell r="AO906">
            <v>-3497.1428571428573</v>
          </cell>
          <cell r="AP906">
            <v>-4043.5714285714289</v>
          </cell>
          <cell r="AQ906">
            <v>-4590</v>
          </cell>
          <cell r="AR906">
            <v>-5136.4285714285716</v>
          </cell>
          <cell r="AS906">
            <v>-5682.8571428571431</v>
          </cell>
          <cell r="AT906">
            <v>-6229.2857142857147</v>
          </cell>
          <cell r="AU906">
            <v>-6775.7142857142862</v>
          </cell>
          <cell r="AV906">
            <v>-7322.1428571428578</v>
          </cell>
          <cell r="AW906">
            <v>-7868.5714285714294</v>
          </cell>
          <cell r="AX906">
            <v>-8415</v>
          </cell>
          <cell r="AY906">
            <v>-8961.4285714285706</v>
          </cell>
          <cell r="AZ906">
            <v>-8961.4285714285706</v>
          </cell>
          <cell r="BA906">
            <v>-8961.4285714285706</v>
          </cell>
          <cell r="BB906">
            <v>-9507.8571428571413</v>
          </cell>
          <cell r="BC906">
            <v>-10054.285714285712</v>
          </cell>
          <cell r="BD906">
            <v>-10600.714285714283</v>
          </cell>
          <cell r="BE906">
            <v>-11147.142857142853</v>
          </cell>
          <cell r="BF906">
            <v>-11693.571428571424</v>
          </cell>
          <cell r="BG906">
            <v>-12239.999999999995</v>
          </cell>
          <cell r="BH906">
            <v>-12786.428571428565</v>
          </cell>
          <cell r="BI906">
            <v>-13332.857142857136</v>
          </cell>
          <cell r="BJ906">
            <v>-13879.285714285706</v>
          </cell>
          <cell r="BK906">
            <v>-16193.57142857142</v>
          </cell>
          <cell r="BL906">
            <v>-18507.857142857134</v>
          </cell>
          <cell r="BM906">
            <v>-20822.142857142848</v>
          </cell>
          <cell r="BN906">
            <v>-23136.428571428562</v>
          </cell>
          <cell r="BO906">
            <v>-25450.714285714275</v>
          </cell>
          <cell r="BP906">
            <v>-27764.999999999989</v>
          </cell>
          <cell r="BQ906">
            <v>-30079.285714285703</v>
          </cell>
          <cell r="BR906">
            <v>-32393.571428571417</v>
          </cell>
          <cell r="BS906">
            <v>-34707.85714285713</v>
          </cell>
          <cell r="BT906">
            <v>-37022.142857142848</v>
          </cell>
          <cell r="BU906">
            <v>-39336.428571428565</v>
          </cell>
          <cell r="BV906">
            <v>-41650.714285714283</v>
          </cell>
        </row>
        <row r="907">
          <cell r="A907" t="str">
            <v>KIA</v>
          </cell>
          <cell r="B907" t="str">
            <v>SZ1E</v>
          </cell>
          <cell r="D907" t="str">
            <v>SZ1E VNL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</row>
        <row r="908">
          <cell r="A908" t="str">
            <v>KIA</v>
          </cell>
          <cell r="B908" t="str">
            <v>SZ1E</v>
          </cell>
          <cell r="D908"/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</row>
        <row r="909">
          <cell r="A909" t="str">
            <v>KIA</v>
          </cell>
          <cell r="B909" t="str">
            <v>SZ1E</v>
          </cell>
          <cell r="D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</row>
        <row r="910">
          <cell r="A910" t="str">
            <v>KIA</v>
          </cell>
          <cell r="B910" t="str">
            <v>SZ1E</v>
          </cell>
          <cell r="D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</row>
        <row r="911">
          <cell r="A911" t="str">
            <v>KIA</v>
          </cell>
          <cell r="B911" t="str">
            <v>SZ1E</v>
          </cell>
          <cell r="D911" t="str">
            <v>STOCK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800.1280204832774</v>
          </cell>
          <cell r="AI911">
            <v>1053.8274695379832</v>
          </cell>
          <cell r="AJ911">
            <v>1307.5269185926891</v>
          </cell>
          <cell r="AK911">
            <v>1510.486477836454</v>
          </cell>
          <cell r="AL911">
            <v>1393.3948288869078</v>
          </cell>
          <cell r="AM911">
            <v>1247.030267699975</v>
          </cell>
          <cell r="AN911">
            <v>1449.9898269437399</v>
          </cell>
          <cell r="AO911">
            <v>1303.625265756807</v>
          </cell>
          <cell r="AP911">
            <v>1557.3247148115129</v>
          </cell>
          <cell r="AQ911">
            <v>1410.96015362458</v>
          </cell>
          <cell r="AR911">
            <v>1264.5955924376472</v>
          </cell>
          <cell r="AS911">
            <v>1518.295041492353</v>
          </cell>
          <cell r="AT911">
            <v>1371.9304803054201</v>
          </cell>
          <cell r="AU911">
            <v>1225.5659191184873</v>
          </cell>
          <cell r="AV911">
            <v>1159.2141599798824</v>
          </cell>
          <cell r="AW911">
            <v>1092.8624008412776</v>
          </cell>
          <cell r="AX911">
            <v>1026.5106417026727</v>
          </cell>
          <cell r="AY911">
            <v>1440.2356948540341</v>
          </cell>
          <cell r="AZ911">
            <v>1440.2356948540341</v>
          </cell>
          <cell r="BA911">
            <v>1440.2356948540341</v>
          </cell>
          <cell r="BB911">
            <v>1373.8839357154293</v>
          </cell>
          <cell r="BC911">
            <v>1307.5321765768244</v>
          </cell>
          <cell r="BD911">
            <v>1241.1804174382196</v>
          </cell>
          <cell r="BE911">
            <v>1174.8286582996147</v>
          </cell>
          <cell r="BF911">
            <v>1108.4768991610099</v>
          </cell>
          <cell r="BG911">
            <v>1042.125140022405</v>
          </cell>
          <cell r="BH911">
            <v>1455.8501931737665</v>
          </cell>
          <cell r="BI911">
            <v>1389.4984340351616</v>
          </cell>
          <cell r="BJ911">
            <v>1803.223487186523</v>
          </cell>
          <cell r="BK911">
            <v>929.16820977070779</v>
          </cell>
          <cell r="BL911">
            <v>55.112932354892564</v>
          </cell>
          <cell r="BM911">
            <v>-818.94234506092266</v>
          </cell>
          <cell r="BN911">
            <v>-1692.9976224767381</v>
          </cell>
          <cell r="BO911">
            <v>-2567.0528998925529</v>
          </cell>
          <cell r="BP911">
            <v>-3441.1081773083679</v>
          </cell>
          <cell r="BQ911">
            <v>-4315.1634547241829</v>
          </cell>
          <cell r="BR911">
            <v>-5189.2187321399979</v>
          </cell>
          <cell r="BS911">
            <v>-6063.2740095558129</v>
          </cell>
          <cell r="BT911">
            <v>-6937.3292869716288</v>
          </cell>
          <cell r="BU911">
            <v>-7811.3845643874438</v>
          </cell>
          <cell r="BV911">
            <v>-8685.4398418032597</v>
          </cell>
        </row>
        <row r="912">
          <cell r="A912" t="str">
            <v>Blank</v>
          </cell>
          <cell r="B912" t="str">
            <v>Blank</v>
          </cell>
          <cell r="D912" t="str">
            <v>Blank</v>
          </cell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</row>
        <row r="913">
          <cell r="A913" t="str">
            <v>CDPO</v>
          </cell>
          <cell r="B913" t="str">
            <v>P64/CR3/OV64</v>
          </cell>
          <cell r="D913" t="str">
            <v>Work days</v>
          </cell>
          <cell r="Z913">
            <v>5</v>
          </cell>
          <cell r="AA913">
            <v>5</v>
          </cell>
          <cell r="AB913">
            <v>5</v>
          </cell>
          <cell r="AC913">
            <v>5</v>
          </cell>
          <cell r="AD913">
            <v>3</v>
          </cell>
          <cell r="AE913">
            <v>5</v>
          </cell>
          <cell r="AF913">
            <v>5</v>
          </cell>
          <cell r="AG913">
            <v>5</v>
          </cell>
          <cell r="AH913">
            <v>5</v>
          </cell>
          <cell r="AI913">
            <v>5</v>
          </cell>
          <cell r="AJ913">
            <v>5</v>
          </cell>
          <cell r="AK913">
            <v>4</v>
          </cell>
          <cell r="AL913">
            <v>4</v>
          </cell>
          <cell r="AM913">
            <v>5</v>
          </cell>
          <cell r="AN913">
            <v>4</v>
          </cell>
          <cell r="AO913">
            <v>5</v>
          </cell>
          <cell r="AP913">
            <v>5</v>
          </cell>
          <cell r="AQ913">
            <v>5</v>
          </cell>
          <cell r="AR913">
            <v>5</v>
          </cell>
          <cell r="AS913">
            <v>5</v>
          </cell>
          <cell r="AT913">
            <v>5</v>
          </cell>
          <cell r="AU913">
            <v>5</v>
          </cell>
          <cell r="AV913">
            <v>5</v>
          </cell>
          <cell r="AW913">
            <v>5</v>
          </cell>
          <cell r="AX913">
            <v>5</v>
          </cell>
          <cell r="AY913">
            <v>5</v>
          </cell>
          <cell r="AZ913">
            <v>5</v>
          </cell>
          <cell r="BA913">
            <v>5</v>
          </cell>
          <cell r="BB913">
            <v>5</v>
          </cell>
          <cell r="BC913">
            <v>0</v>
          </cell>
          <cell r="BD913">
            <v>0</v>
          </cell>
          <cell r="BE913">
            <v>5</v>
          </cell>
          <cell r="BF913">
            <v>5</v>
          </cell>
          <cell r="BG913">
            <v>5</v>
          </cell>
          <cell r="BH913">
            <v>5</v>
          </cell>
          <cell r="BI913">
            <v>5</v>
          </cell>
          <cell r="BJ913">
            <v>5</v>
          </cell>
          <cell r="BK913">
            <v>5</v>
          </cell>
          <cell r="BL913">
            <v>5</v>
          </cell>
          <cell r="BM913">
            <v>3</v>
          </cell>
          <cell r="BN913">
            <v>3</v>
          </cell>
          <cell r="BO913">
            <v>3</v>
          </cell>
          <cell r="BP913">
            <v>3</v>
          </cell>
          <cell r="BQ913">
            <v>3</v>
          </cell>
          <cell r="BR913">
            <v>3</v>
          </cell>
          <cell r="BS913">
            <v>3</v>
          </cell>
          <cell r="BT913">
            <v>3</v>
          </cell>
          <cell r="BU913">
            <v>3</v>
          </cell>
          <cell r="BV913">
            <v>3</v>
          </cell>
        </row>
        <row r="914">
          <cell r="A914" t="str">
            <v>CDPO</v>
          </cell>
          <cell r="B914" t="str">
            <v>P64/CR3/OV64</v>
          </cell>
          <cell r="D914" t="str">
            <v>SHIFT A HC - operators</v>
          </cell>
          <cell r="Z914">
            <v>7</v>
          </cell>
          <cell r="AA914">
            <v>7</v>
          </cell>
          <cell r="AB914">
            <v>7</v>
          </cell>
          <cell r="AC914">
            <v>7</v>
          </cell>
          <cell r="AD914">
            <v>8</v>
          </cell>
          <cell r="AE914">
            <v>7</v>
          </cell>
          <cell r="AF914">
            <v>8</v>
          </cell>
          <cell r="AG914">
            <v>8</v>
          </cell>
          <cell r="AH914">
            <v>8</v>
          </cell>
          <cell r="AI914">
            <v>7</v>
          </cell>
          <cell r="AJ914">
            <v>8</v>
          </cell>
          <cell r="AK914">
            <v>8</v>
          </cell>
          <cell r="AL914">
            <v>8</v>
          </cell>
          <cell r="AM914">
            <v>8</v>
          </cell>
          <cell r="AN914">
            <v>8</v>
          </cell>
          <cell r="AO914">
            <v>8</v>
          </cell>
          <cell r="AP914">
            <v>8</v>
          </cell>
          <cell r="AQ914">
            <v>8</v>
          </cell>
          <cell r="AR914">
            <v>8</v>
          </cell>
          <cell r="AS914">
            <v>8</v>
          </cell>
          <cell r="AT914">
            <v>8</v>
          </cell>
          <cell r="AU914">
            <v>8</v>
          </cell>
          <cell r="AV914">
            <v>8</v>
          </cell>
          <cell r="AW914">
            <v>8</v>
          </cell>
          <cell r="AX914">
            <v>8</v>
          </cell>
          <cell r="AY914">
            <v>4</v>
          </cell>
          <cell r="AZ914">
            <v>4</v>
          </cell>
          <cell r="BA914">
            <v>4</v>
          </cell>
          <cell r="BB914">
            <v>5</v>
          </cell>
          <cell r="BC914">
            <v>4</v>
          </cell>
          <cell r="BD914">
            <v>4</v>
          </cell>
          <cell r="BE914">
            <v>4</v>
          </cell>
          <cell r="BF914">
            <v>4</v>
          </cell>
          <cell r="BG914">
            <v>4</v>
          </cell>
          <cell r="BH914">
            <v>4</v>
          </cell>
          <cell r="BI914">
            <v>4</v>
          </cell>
          <cell r="BJ914">
            <v>4</v>
          </cell>
          <cell r="BK914">
            <v>3</v>
          </cell>
          <cell r="BL914">
            <v>3</v>
          </cell>
          <cell r="BM914">
            <v>3</v>
          </cell>
          <cell r="BN914">
            <v>3</v>
          </cell>
          <cell r="BO914">
            <v>3</v>
          </cell>
          <cell r="BP914">
            <v>3</v>
          </cell>
          <cell r="BQ914">
            <v>3</v>
          </cell>
          <cell r="BR914">
            <v>3</v>
          </cell>
          <cell r="BS914">
            <v>3</v>
          </cell>
          <cell r="BT914">
            <v>3</v>
          </cell>
          <cell r="BU914">
            <v>3</v>
          </cell>
          <cell r="BV914">
            <v>3</v>
          </cell>
        </row>
        <row r="915">
          <cell r="A915" t="str">
            <v>CDPO</v>
          </cell>
          <cell r="B915" t="str">
            <v>P64/CR3/OV64</v>
          </cell>
          <cell r="D915" t="str">
            <v>SHIFT B HC  - operators</v>
          </cell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</row>
        <row r="916">
          <cell r="A916" t="str">
            <v>CDPO</v>
          </cell>
          <cell r="B916" t="str">
            <v>P64/CR3/OV64</v>
          </cell>
          <cell r="D916" t="str">
            <v>SHIFT C HC  - operators</v>
          </cell>
          <cell r="Z916"/>
          <cell r="AA916"/>
          <cell r="AB916"/>
          <cell r="AC916"/>
          <cell r="AD916"/>
          <cell r="AE916"/>
          <cell r="AF916"/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</row>
        <row r="917">
          <cell r="A917" t="str">
            <v>CDPO</v>
          </cell>
          <cell r="B917" t="str">
            <v>P64/CR3/OV64</v>
          </cell>
          <cell r="D917" t="str">
            <v>Total HC</v>
          </cell>
          <cell r="Z917">
            <v>7</v>
          </cell>
          <cell r="AA917">
            <v>7</v>
          </cell>
          <cell r="AB917">
            <v>7</v>
          </cell>
          <cell r="AC917">
            <v>7</v>
          </cell>
          <cell r="AD917">
            <v>8</v>
          </cell>
          <cell r="AE917">
            <v>7</v>
          </cell>
          <cell r="AF917">
            <v>8</v>
          </cell>
          <cell r="AG917">
            <v>8</v>
          </cell>
          <cell r="AH917">
            <v>8</v>
          </cell>
          <cell r="AI917">
            <v>7</v>
          </cell>
          <cell r="AJ917">
            <v>8</v>
          </cell>
          <cell r="AK917">
            <v>8</v>
          </cell>
          <cell r="AL917">
            <v>8</v>
          </cell>
          <cell r="AM917">
            <v>8</v>
          </cell>
          <cell r="AN917">
            <v>8</v>
          </cell>
          <cell r="AO917">
            <v>8</v>
          </cell>
          <cell r="AP917">
            <v>8</v>
          </cell>
          <cell r="AQ917">
            <v>8</v>
          </cell>
          <cell r="AR917">
            <v>8</v>
          </cell>
          <cell r="AS917">
            <v>8</v>
          </cell>
          <cell r="AT917">
            <v>8</v>
          </cell>
          <cell r="AU917">
            <v>8</v>
          </cell>
          <cell r="AV917">
            <v>8</v>
          </cell>
          <cell r="AW917">
            <v>8</v>
          </cell>
          <cell r="AX917">
            <v>8</v>
          </cell>
          <cell r="AY917">
            <v>4</v>
          </cell>
          <cell r="AZ917">
            <v>4</v>
          </cell>
          <cell r="BA917">
            <v>4</v>
          </cell>
          <cell r="BB917">
            <v>5</v>
          </cell>
          <cell r="BC917">
            <v>4</v>
          </cell>
          <cell r="BD917">
            <v>4</v>
          </cell>
          <cell r="BE917">
            <v>4</v>
          </cell>
          <cell r="BF917">
            <v>4</v>
          </cell>
          <cell r="BG917">
            <v>4</v>
          </cell>
          <cell r="BH917">
            <v>4</v>
          </cell>
          <cell r="BI917">
            <v>4</v>
          </cell>
          <cell r="BJ917">
            <v>4</v>
          </cell>
          <cell r="BK917">
            <v>3</v>
          </cell>
          <cell r="BL917">
            <v>3</v>
          </cell>
          <cell r="BM917">
            <v>3</v>
          </cell>
          <cell r="BN917">
            <v>3</v>
          </cell>
          <cell r="BO917">
            <v>3</v>
          </cell>
          <cell r="BP917">
            <v>3</v>
          </cell>
          <cell r="BQ917">
            <v>3</v>
          </cell>
          <cell r="BR917">
            <v>3</v>
          </cell>
          <cell r="BS917">
            <v>3</v>
          </cell>
          <cell r="BT917">
            <v>3</v>
          </cell>
          <cell r="BU917">
            <v>3</v>
          </cell>
          <cell r="BV917">
            <v>3</v>
          </cell>
        </row>
        <row r="918">
          <cell r="A918" t="str">
            <v>CDPO</v>
          </cell>
          <cell r="B918" t="str">
            <v>P64/CR3/OV64</v>
          </cell>
          <cell r="D918" t="str">
            <v>SHIFT A HC  - efficiency</v>
          </cell>
          <cell r="Z918">
            <v>0.85</v>
          </cell>
          <cell r="AA918">
            <v>0.85</v>
          </cell>
          <cell r="AB918">
            <v>0.85</v>
          </cell>
          <cell r="AC918">
            <v>0.85</v>
          </cell>
          <cell r="AD918">
            <v>0.85</v>
          </cell>
          <cell r="AE918">
            <v>0.85</v>
          </cell>
          <cell r="AF918">
            <v>0.85</v>
          </cell>
          <cell r="AG918">
            <v>0.85</v>
          </cell>
          <cell r="AH918">
            <v>0.85</v>
          </cell>
          <cell r="AI918">
            <v>0.85</v>
          </cell>
          <cell r="AJ918">
            <v>0.85</v>
          </cell>
          <cell r="AK918">
            <v>0.85</v>
          </cell>
          <cell r="AL918">
            <v>0.85</v>
          </cell>
          <cell r="AM918">
            <v>0.85</v>
          </cell>
          <cell r="AN918">
            <v>0.85</v>
          </cell>
          <cell r="AO918">
            <v>0.85</v>
          </cell>
          <cell r="AP918">
            <v>0.85</v>
          </cell>
          <cell r="AQ918">
            <v>0.85</v>
          </cell>
          <cell r="AR918">
            <v>0.85</v>
          </cell>
          <cell r="AS918">
            <v>0.85</v>
          </cell>
          <cell r="AT918">
            <v>0.85</v>
          </cell>
          <cell r="AU918">
            <v>0.85</v>
          </cell>
          <cell r="AV918">
            <v>0.85</v>
          </cell>
          <cell r="AW918">
            <v>0.85</v>
          </cell>
          <cell r="AX918">
            <v>0.85</v>
          </cell>
          <cell r="AY918">
            <v>0.85</v>
          </cell>
          <cell r="AZ918">
            <v>0.85</v>
          </cell>
          <cell r="BA918">
            <v>0.85</v>
          </cell>
          <cell r="BB918">
            <v>0.85</v>
          </cell>
          <cell r="BC918">
            <v>0.85</v>
          </cell>
          <cell r="BD918">
            <v>0.85</v>
          </cell>
          <cell r="BE918">
            <v>0.85</v>
          </cell>
          <cell r="BF918">
            <v>0.85</v>
          </cell>
          <cell r="BG918">
            <v>0.85</v>
          </cell>
          <cell r="BH918">
            <v>0.85</v>
          </cell>
          <cell r="BI918">
            <v>0.85</v>
          </cell>
          <cell r="BJ918">
            <v>0.85</v>
          </cell>
          <cell r="BK918">
            <v>1.2</v>
          </cell>
          <cell r="BL918">
            <v>1.2</v>
          </cell>
          <cell r="BM918">
            <v>1.2</v>
          </cell>
          <cell r="BN918">
            <v>1.2</v>
          </cell>
          <cell r="BO918">
            <v>1.2</v>
          </cell>
          <cell r="BP918">
            <v>1.2</v>
          </cell>
          <cell r="BQ918">
            <v>1.2</v>
          </cell>
          <cell r="BR918">
            <v>1.2</v>
          </cell>
          <cell r="BS918">
            <v>1.2</v>
          </cell>
          <cell r="BT918">
            <v>1.2</v>
          </cell>
          <cell r="BU918">
            <v>1.2</v>
          </cell>
          <cell r="BV918">
            <v>1.2</v>
          </cell>
        </row>
        <row r="919">
          <cell r="A919" t="str">
            <v>CDPO</v>
          </cell>
          <cell r="B919" t="str">
            <v>P64/CR3/OV64</v>
          </cell>
          <cell r="D919" t="str">
            <v>SHIFT B HC  - efficiency</v>
          </cell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>
            <v>1</v>
          </cell>
          <cell r="BL919">
            <v>1</v>
          </cell>
          <cell r="BM919">
            <v>1</v>
          </cell>
          <cell r="BN919">
            <v>1</v>
          </cell>
          <cell r="BO919">
            <v>1</v>
          </cell>
          <cell r="BP919">
            <v>1</v>
          </cell>
          <cell r="BQ919">
            <v>1</v>
          </cell>
          <cell r="BR919">
            <v>1</v>
          </cell>
          <cell r="BS919">
            <v>1</v>
          </cell>
          <cell r="BT919">
            <v>1</v>
          </cell>
          <cell r="BU919">
            <v>1</v>
          </cell>
          <cell r="BV919">
            <v>1</v>
          </cell>
        </row>
        <row r="920">
          <cell r="A920" t="str">
            <v>CDPO</v>
          </cell>
          <cell r="B920" t="str">
            <v>P64/CR3/OV64</v>
          </cell>
          <cell r="D920" t="str">
            <v>SHIFT C HC  - efficiency</v>
          </cell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>
            <v>1</v>
          </cell>
          <cell r="BL920">
            <v>1</v>
          </cell>
          <cell r="BM920">
            <v>1</v>
          </cell>
          <cell r="BN920">
            <v>1</v>
          </cell>
          <cell r="BO920">
            <v>1</v>
          </cell>
          <cell r="BP920">
            <v>1</v>
          </cell>
          <cell r="BQ920">
            <v>1</v>
          </cell>
          <cell r="BR920">
            <v>1</v>
          </cell>
          <cell r="BS920">
            <v>1</v>
          </cell>
          <cell r="BT920">
            <v>1</v>
          </cell>
          <cell r="BU920">
            <v>1</v>
          </cell>
          <cell r="BV920">
            <v>1</v>
          </cell>
        </row>
        <row r="921">
          <cell r="A921" t="str">
            <v>CDPO</v>
          </cell>
          <cell r="B921" t="str">
            <v>P64/CR3/OV64</v>
          </cell>
          <cell r="D921" t="str">
            <v>Total efficiency</v>
          </cell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</row>
        <row r="922">
          <cell r="A922" t="str">
            <v>CDPO</v>
          </cell>
          <cell r="B922" t="str">
            <v>P64/CR3/OV64</v>
          </cell>
          <cell r="D922" t="str">
            <v>SHIFT A - output</v>
          </cell>
          <cell r="Z922">
            <v>844.63722397476329</v>
          </cell>
          <cell r="AA922">
            <v>844.63722397476329</v>
          </cell>
          <cell r="AB922">
            <v>844.63722397476329</v>
          </cell>
          <cell r="AC922">
            <v>844.63722397476329</v>
          </cell>
          <cell r="AD922">
            <v>965.29968454258665</v>
          </cell>
          <cell r="AE922">
            <v>844.63722397476329</v>
          </cell>
          <cell r="AF922">
            <v>965.29968454258665</v>
          </cell>
          <cell r="AG922">
            <v>965.29968454258665</v>
          </cell>
          <cell r="AH922">
            <v>965.29968454258665</v>
          </cell>
          <cell r="AI922">
            <v>844.63722397476329</v>
          </cell>
          <cell r="AJ922">
            <v>965.29968454258665</v>
          </cell>
          <cell r="AK922">
            <v>965.29968454258665</v>
          </cell>
          <cell r="AL922">
            <v>965.29968454258665</v>
          </cell>
          <cell r="AM922">
            <v>965.29968454258665</v>
          </cell>
          <cell r="AN922">
            <v>965.29968454258665</v>
          </cell>
          <cell r="AO922">
            <v>965.29968454258665</v>
          </cell>
          <cell r="AP922">
            <v>965.29968454258665</v>
          </cell>
          <cell r="AQ922">
            <v>965.29968454258665</v>
          </cell>
          <cell r="AR922">
            <v>965.29968454258665</v>
          </cell>
          <cell r="AS922">
            <v>965.29968454258665</v>
          </cell>
          <cell r="AT922">
            <v>965.29968454258665</v>
          </cell>
          <cell r="AU922">
            <v>965.29968454258665</v>
          </cell>
          <cell r="AV922">
            <v>965.29968454258665</v>
          </cell>
          <cell r="AW922">
            <v>965.29968454258665</v>
          </cell>
          <cell r="AX922">
            <v>965.29968454258665</v>
          </cell>
          <cell r="AY922">
            <v>482.64984227129332</v>
          </cell>
          <cell r="AZ922">
            <v>482.64984227129332</v>
          </cell>
          <cell r="BA922">
            <v>482.64984227129332</v>
          </cell>
          <cell r="BB922">
            <v>603.31230283911668</v>
          </cell>
          <cell r="BC922">
            <v>482.64984227129332</v>
          </cell>
          <cell r="BD922">
            <v>482.64984227129332</v>
          </cell>
          <cell r="BE922">
            <v>482.64984227129332</v>
          </cell>
          <cell r="BF922">
            <v>482.64984227129332</v>
          </cell>
          <cell r="BG922">
            <v>482.64984227129332</v>
          </cell>
          <cell r="BH922">
            <v>482.64984227129332</v>
          </cell>
          <cell r="BI922">
            <v>482.64984227129332</v>
          </cell>
          <cell r="BJ922">
            <v>482.64984227129332</v>
          </cell>
          <cell r="BK922">
            <v>511.04100946372233</v>
          </cell>
          <cell r="BL922">
            <v>511.04100946372233</v>
          </cell>
          <cell r="BM922">
            <v>511.04100946372233</v>
          </cell>
          <cell r="BN922">
            <v>511.04100946372233</v>
          </cell>
          <cell r="BO922">
            <v>511.04100946372233</v>
          </cell>
          <cell r="BP922">
            <v>511.04100946372233</v>
          </cell>
          <cell r="BQ922">
            <v>511.04100946372233</v>
          </cell>
          <cell r="BR922">
            <v>511.04100946372233</v>
          </cell>
          <cell r="BS922">
            <v>511.04100946372233</v>
          </cell>
          <cell r="BT922">
            <v>511.04100946372233</v>
          </cell>
          <cell r="BU922">
            <v>511.04100946372233</v>
          </cell>
          <cell r="BV922">
            <v>511.04100946372233</v>
          </cell>
        </row>
        <row r="923">
          <cell r="A923" t="str">
            <v>CDPO</v>
          </cell>
          <cell r="B923" t="str">
            <v>P64/CR3/OV64</v>
          </cell>
          <cell r="D923" t="str">
            <v>SHIFT B  - output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</row>
        <row r="924">
          <cell r="A924" t="str">
            <v>CDPO</v>
          </cell>
          <cell r="B924" t="str">
            <v>P64/CR3/OV64</v>
          </cell>
          <cell r="D924" t="str">
            <v>SHIFT C  - output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</row>
        <row r="925">
          <cell r="A925" t="str">
            <v>CDPO</v>
          </cell>
          <cell r="B925" t="str">
            <v>P64/CR3/OV64</v>
          </cell>
          <cell r="D925" t="str">
            <v>Est. Output (Pcs day)</v>
          </cell>
          <cell r="E925">
            <v>3.17</v>
          </cell>
          <cell r="Z925">
            <v>844.63722397476329</v>
          </cell>
          <cell r="AA925">
            <v>844.63722397476329</v>
          </cell>
          <cell r="AB925">
            <v>844.63722397476329</v>
          </cell>
          <cell r="AC925">
            <v>844.63722397476329</v>
          </cell>
          <cell r="AD925">
            <v>965.29968454258665</v>
          </cell>
          <cell r="AE925">
            <v>844.63722397476329</v>
          </cell>
          <cell r="AF925">
            <v>965.29968454258665</v>
          </cell>
          <cell r="AG925">
            <v>965.29968454258665</v>
          </cell>
          <cell r="AH925">
            <v>965.29968454258665</v>
          </cell>
          <cell r="AI925">
            <v>844.63722397476329</v>
          </cell>
          <cell r="AJ925">
            <v>965.29968454258665</v>
          </cell>
          <cell r="AK925">
            <v>965.29968454258665</v>
          </cell>
          <cell r="AL925">
            <v>965.29968454258665</v>
          </cell>
          <cell r="AM925">
            <v>965.29968454258665</v>
          </cell>
          <cell r="AN925">
            <v>965.29968454258665</v>
          </cell>
          <cell r="AO925">
            <v>965.29968454258665</v>
          </cell>
          <cell r="AP925">
            <v>965.29968454258665</v>
          </cell>
          <cell r="AQ925">
            <v>965.29968454258665</v>
          </cell>
          <cell r="AR925">
            <v>965.29968454258665</v>
          </cell>
          <cell r="AS925">
            <v>965.29968454258665</v>
          </cell>
          <cell r="AT925">
            <v>965.29968454258665</v>
          </cell>
          <cell r="AU925">
            <v>965.29968454258665</v>
          </cell>
          <cell r="AV925">
            <v>965.29968454258665</v>
          </cell>
          <cell r="AW925">
            <v>965.29968454258665</v>
          </cell>
          <cell r="AX925">
            <v>965.29968454258665</v>
          </cell>
          <cell r="AY925">
            <v>482.64984227129332</v>
          </cell>
          <cell r="AZ925">
            <v>482.64984227129332</v>
          </cell>
          <cell r="BA925">
            <v>482.64984227129332</v>
          </cell>
          <cell r="BB925">
            <v>603.31230283911668</v>
          </cell>
          <cell r="BC925">
            <v>482.64984227129332</v>
          </cell>
          <cell r="BD925">
            <v>482.64984227129332</v>
          </cell>
          <cell r="BE925">
            <v>482.64984227129332</v>
          </cell>
          <cell r="BF925">
            <v>482.64984227129332</v>
          </cell>
          <cell r="BG925">
            <v>482.64984227129332</v>
          </cell>
          <cell r="BH925">
            <v>482.64984227129332</v>
          </cell>
          <cell r="BI925">
            <v>482.64984227129332</v>
          </cell>
          <cell r="BJ925">
            <v>482.64984227129332</v>
          </cell>
          <cell r="BK925">
            <v>511.04100946372233</v>
          </cell>
          <cell r="BL925">
            <v>511.04100946372233</v>
          </cell>
          <cell r="BM925">
            <v>511.04100946372233</v>
          </cell>
          <cell r="BN925">
            <v>511.04100946372233</v>
          </cell>
          <cell r="BO925">
            <v>511.04100946372233</v>
          </cell>
          <cell r="BP925">
            <v>511.04100946372233</v>
          </cell>
          <cell r="BQ925">
            <v>511.04100946372233</v>
          </cell>
          <cell r="BR925">
            <v>511.04100946372233</v>
          </cell>
          <cell r="BS925">
            <v>511.04100946372233</v>
          </cell>
          <cell r="BT925">
            <v>511.04100946372233</v>
          </cell>
          <cell r="BU925">
            <v>511.04100946372233</v>
          </cell>
          <cell r="BV925">
            <v>511.04100946372233</v>
          </cell>
        </row>
        <row r="926">
          <cell r="A926" t="str">
            <v>CDPO</v>
          </cell>
          <cell r="B926" t="str">
            <v>P64/CR3/OV64</v>
          </cell>
          <cell r="D926" t="str">
            <v>Weekly Output PLAN</v>
          </cell>
          <cell r="E926" t="str">
            <v>ASSY</v>
          </cell>
          <cell r="Z926">
            <v>4223.1861198738161</v>
          </cell>
          <cell r="AA926">
            <v>4223.1861198738161</v>
          </cell>
          <cell r="AB926">
            <v>4223.1861198738161</v>
          </cell>
          <cell r="AC926">
            <v>4223.1861198738161</v>
          </cell>
          <cell r="AD926">
            <v>2895.8990536277597</v>
          </cell>
          <cell r="AE926">
            <v>4223.1861198738161</v>
          </cell>
          <cell r="AF926">
            <v>4826.4984227129335</v>
          </cell>
          <cell r="AG926">
            <v>4826.4984227129335</v>
          </cell>
          <cell r="AH926">
            <v>4826.4984227129335</v>
          </cell>
          <cell r="AI926">
            <v>4223.1861198738161</v>
          </cell>
          <cell r="AJ926">
            <v>4826.4984227129335</v>
          </cell>
          <cell r="AK926">
            <v>3861.1987381703466</v>
          </cell>
          <cell r="AL926">
            <v>3861.1987381703466</v>
          </cell>
          <cell r="AM926">
            <v>4826.4984227129335</v>
          </cell>
          <cell r="AN926">
            <v>3861.1987381703466</v>
          </cell>
          <cell r="AO926">
            <v>4826.4984227129335</v>
          </cell>
          <cell r="AP926">
            <v>4826.4984227129335</v>
          </cell>
          <cell r="AQ926">
            <v>4826.4984227129335</v>
          </cell>
          <cell r="AR926">
            <v>4826.4984227129335</v>
          </cell>
          <cell r="AS926">
            <v>4826.4984227129335</v>
          </cell>
          <cell r="AT926">
            <v>4826.4984227129335</v>
          </cell>
          <cell r="AU926">
            <v>4826.4984227129335</v>
          </cell>
          <cell r="AV926">
            <v>4826.4984227129335</v>
          </cell>
          <cell r="AW926">
            <v>4826.4984227129335</v>
          </cell>
          <cell r="AX926">
            <v>4826.4984227129335</v>
          </cell>
          <cell r="AY926">
            <v>2413.2492113564667</v>
          </cell>
          <cell r="AZ926">
            <v>2413.2492113564667</v>
          </cell>
          <cell r="BA926">
            <v>2413.2492113564667</v>
          </cell>
          <cell r="BB926">
            <v>3016.5615141955832</v>
          </cell>
          <cell r="BC926">
            <v>0</v>
          </cell>
          <cell r="BD926">
            <v>0</v>
          </cell>
          <cell r="BE926">
            <v>2413.2492113564667</v>
          </cell>
          <cell r="BF926">
            <v>2413.2492113564667</v>
          </cell>
          <cell r="BG926">
            <v>2413.2492113564667</v>
          </cell>
          <cell r="BH926">
            <v>2413.2492113564667</v>
          </cell>
          <cell r="BI926">
            <v>2413.2492113564667</v>
          </cell>
          <cell r="BJ926">
            <v>2413.2492113564667</v>
          </cell>
          <cell r="BK926">
            <v>2555.2050473186118</v>
          </cell>
          <cell r="BL926">
            <v>2555.2050473186118</v>
          </cell>
          <cell r="BM926">
            <v>1533.1230283911671</v>
          </cell>
          <cell r="BN926">
            <v>1533.1230283911671</v>
          </cell>
          <cell r="BO926">
            <v>1533.1230283911671</v>
          </cell>
          <cell r="BP926">
            <v>1533.1230283911671</v>
          </cell>
          <cell r="BQ926">
            <v>1533.1230283911671</v>
          </cell>
          <cell r="BR926">
            <v>1533.1230283911671</v>
          </cell>
          <cell r="BS926">
            <v>1533.1230283911671</v>
          </cell>
          <cell r="BT926">
            <v>1533.1230283911671</v>
          </cell>
          <cell r="BU926">
            <v>1533.1230283911671</v>
          </cell>
          <cell r="BV926">
            <v>1533.1230283911671</v>
          </cell>
        </row>
        <row r="927">
          <cell r="A927" t="str">
            <v>CDPO</v>
          </cell>
          <cell r="B927" t="str">
            <v>P64/CR3/OV64</v>
          </cell>
          <cell r="D927" t="str">
            <v>P64 - VNL</v>
          </cell>
          <cell r="Z927">
            <v>866.25000000000011</v>
          </cell>
          <cell r="AA927">
            <v>866.25000000000011</v>
          </cell>
          <cell r="AB927">
            <v>866.25000000000011</v>
          </cell>
          <cell r="AC927">
            <v>866.25000000000011</v>
          </cell>
          <cell r="AD927">
            <v>866.25000000000011</v>
          </cell>
          <cell r="AE927">
            <v>866.25000000000011</v>
          </cell>
          <cell r="AF927">
            <v>866.25000000000011</v>
          </cell>
          <cell r="AG927">
            <v>866.25000000000011</v>
          </cell>
          <cell r="AH927">
            <v>866.25000000000011</v>
          </cell>
          <cell r="AI927">
            <v>866.25000000000011</v>
          </cell>
          <cell r="AJ927">
            <v>866.25000000000011</v>
          </cell>
          <cell r="AK927">
            <v>866.25000000000011</v>
          </cell>
          <cell r="AL927">
            <v>866.25000000000011</v>
          </cell>
          <cell r="AM927">
            <v>866.25000000000011</v>
          </cell>
          <cell r="AN927">
            <v>866.25000000000011</v>
          </cell>
          <cell r="AO927">
            <v>866.25000000000011</v>
          </cell>
          <cell r="AP927">
            <v>866.25000000000011</v>
          </cell>
          <cell r="AQ927">
            <v>866.25000000000011</v>
          </cell>
          <cell r="AR927">
            <v>866.25000000000011</v>
          </cell>
          <cell r="AS927">
            <v>866.25000000000011</v>
          </cell>
          <cell r="AT927">
            <v>450</v>
          </cell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</row>
        <row r="928">
          <cell r="A928" t="str">
            <v>CDPO</v>
          </cell>
          <cell r="B928" t="str">
            <v>P64/CR3/OV64</v>
          </cell>
          <cell r="D928" t="str">
            <v>P64 - LTH</v>
          </cell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</row>
        <row r="929">
          <cell r="A929" t="str">
            <v>CDPO</v>
          </cell>
          <cell r="B929" t="str">
            <v>P64/CR3/OV64</v>
          </cell>
          <cell r="D929" t="str">
            <v>CR3</v>
          </cell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</row>
        <row r="930">
          <cell r="A930" t="str">
            <v>CDPO</v>
          </cell>
          <cell r="B930" t="str">
            <v>P64/CR3/OV64</v>
          </cell>
          <cell r="D930" t="str">
            <v>OV64 - LTH</v>
          </cell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</row>
        <row r="931">
          <cell r="A931" t="str">
            <v>CDPO</v>
          </cell>
          <cell r="B931" t="str">
            <v>P64/CR3/OV64</v>
          </cell>
          <cell r="D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</row>
        <row r="932">
          <cell r="A932" t="str">
            <v>CDPO</v>
          </cell>
          <cell r="B932" t="str">
            <v>P64/CR3/OV64</v>
          </cell>
          <cell r="D932" t="str">
            <v>Weekly Output PLAN - SUM of models</v>
          </cell>
          <cell r="Z932">
            <v>866.25000000000011</v>
          </cell>
          <cell r="AA932">
            <v>866.25000000000011</v>
          </cell>
          <cell r="AB932">
            <v>866.25000000000011</v>
          </cell>
          <cell r="AC932">
            <v>866.25000000000011</v>
          </cell>
          <cell r="AD932">
            <v>866.25000000000011</v>
          </cell>
          <cell r="AE932">
            <v>866.25000000000011</v>
          </cell>
          <cell r="AF932">
            <v>866.25000000000011</v>
          </cell>
          <cell r="AG932">
            <v>866.25000000000011</v>
          </cell>
          <cell r="AH932">
            <v>866.25000000000011</v>
          </cell>
          <cell r="AI932">
            <v>866.25000000000011</v>
          </cell>
          <cell r="AJ932">
            <v>866.25000000000011</v>
          </cell>
          <cell r="AK932">
            <v>866.25000000000011</v>
          </cell>
          <cell r="AL932">
            <v>866.25000000000011</v>
          </cell>
          <cell r="AM932">
            <v>866.25000000000011</v>
          </cell>
          <cell r="AN932">
            <v>866.25000000000011</v>
          </cell>
          <cell r="AO932">
            <v>866.25000000000011</v>
          </cell>
          <cell r="AP932">
            <v>866.25000000000011</v>
          </cell>
          <cell r="AQ932">
            <v>866.25000000000011</v>
          </cell>
          <cell r="AR932">
            <v>866.25000000000011</v>
          </cell>
          <cell r="AS932">
            <v>866.25000000000011</v>
          </cell>
          <cell r="AT932">
            <v>450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</row>
        <row r="933">
          <cell r="A933" t="str">
            <v>CDPO</v>
          </cell>
          <cell r="B933" t="str">
            <v>P64/CR3/OV64</v>
          </cell>
          <cell r="D933" t="str">
            <v>Weekly Output CHECK with TO time multiple</v>
          </cell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</row>
        <row r="934">
          <cell r="A934" t="str">
            <v>CDPO</v>
          </cell>
          <cell r="B934" t="str">
            <v>P64/CR3/OV64</v>
          </cell>
          <cell r="D934" t="str">
            <v>Weekly Output ACT</v>
          </cell>
          <cell r="Z934">
            <v>4223.1861198738161</v>
          </cell>
          <cell r="AA934">
            <v>4223.1861198738161</v>
          </cell>
          <cell r="AB934">
            <v>4223.1861198738161</v>
          </cell>
          <cell r="AC934">
            <v>4223.1861198738161</v>
          </cell>
          <cell r="AD934">
            <v>2895.8990536277597</v>
          </cell>
          <cell r="AE934">
            <v>4223.1861198738161</v>
          </cell>
          <cell r="AF934">
            <v>4826.4984227129335</v>
          </cell>
          <cell r="AG934">
            <v>4826.4984227129335</v>
          </cell>
          <cell r="AH934">
            <v>4826.4984227129335</v>
          </cell>
          <cell r="AI934">
            <v>4223.1861198738161</v>
          </cell>
          <cell r="AJ934">
            <v>4826.4984227129335</v>
          </cell>
          <cell r="AK934">
            <v>3861.1987381703466</v>
          </cell>
          <cell r="AL934">
            <v>3861.1987381703466</v>
          </cell>
          <cell r="AM934">
            <v>4826.4984227129335</v>
          </cell>
          <cell r="AN934">
            <v>3861.1987381703466</v>
          </cell>
          <cell r="AO934">
            <v>4826.4984227129335</v>
          </cell>
          <cell r="AP934">
            <v>4826.4984227129335</v>
          </cell>
          <cell r="AQ934">
            <v>4826.4984227129335</v>
          </cell>
          <cell r="AR934">
            <v>4826.4984227129335</v>
          </cell>
          <cell r="AS934">
            <v>4826.4984227129335</v>
          </cell>
          <cell r="AT934">
            <v>4826.4984227129335</v>
          </cell>
          <cell r="AU934">
            <v>4826.4984227129335</v>
          </cell>
          <cell r="AV934">
            <v>4826.4984227129335</v>
          </cell>
          <cell r="AW934">
            <v>4826.4984227129335</v>
          </cell>
          <cell r="AX934">
            <v>4826.4984227129335</v>
          </cell>
          <cell r="AY934">
            <v>2413.2492113564667</v>
          </cell>
          <cell r="AZ934">
            <v>2413.2492113564667</v>
          </cell>
          <cell r="BA934">
            <v>2413.2492113564667</v>
          </cell>
          <cell r="BB934">
            <v>3016.5615141955832</v>
          </cell>
          <cell r="BC934">
            <v>0</v>
          </cell>
          <cell r="BD934">
            <v>0</v>
          </cell>
          <cell r="BE934">
            <v>2413.2492113564667</v>
          </cell>
          <cell r="BF934">
            <v>2413.2492113564667</v>
          </cell>
          <cell r="BG934">
            <v>2413.2492113564667</v>
          </cell>
          <cell r="BH934">
            <v>2413.2492113564667</v>
          </cell>
          <cell r="BI934">
            <v>2413.2492113564667</v>
          </cell>
          <cell r="BJ934">
            <v>2413.2492113564667</v>
          </cell>
          <cell r="BK934">
            <v>2555.2050473186118</v>
          </cell>
          <cell r="BL934">
            <v>2555.2050473186118</v>
          </cell>
          <cell r="BM934">
            <v>1533.1230283911671</v>
          </cell>
          <cell r="BN934">
            <v>1533.1230283911671</v>
          </cell>
          <cell r="BO934">
            <v>1533.1230283911671</v>
          </cell>
          <cell r="BP934">
            <v>1533.1230283911671</v>
          </cell>
          <cell r="BQ934">
            <v>1533.1230283911671</v>
          </cell>
          <cell r="BR934">
            <v>1533.1230283911671</v>
          </cell>
          <cell r="BS934">
            <v>1533.1230283911671</v>
          </cell>
          <cell r="BT934">
            <v>1533.1230283911671</v>
          </cell>
          <cell r="BU934">
            <v>1533.1230283911671</v>
          </cell>
          <cell r="BV934">
            <v>1533.1230283911671</v>
          </cell>
        </row>
        <row r="935">
          <cell r="A935" t="str">
            <v>CDPO</v>
          </cell>
          <cell r="B935" t="str">
            <v>P64/CR3/OV64</v>
          </cell>
          <cell r="D935" t="str">
            <v>P64 - VNL</v>
          </cell>
          <cell r="Z935">
            <v>2070</v>
          </cell>
          <cell r="AA935">
            <v>2520</v>
          </cell>
          <cell r="AB935">
            <v>2340</v>
          </cell>
          <cell r="AC935">
            <v>2430</v>
          </cell>
          <cell r="AD935">
            <v>2430</v>
          </cell>
          <cell r="AE935">
            <v>2430</v>
          </cell>
          <cell r="AF935">
            <v>2430</v>
          </cell>
          <cell r="AG935">
            <v>2430</v>
          </cell>
          <cell r="AH935">
            <v>3240</v>
          </cell>
          <cell r="AI935">
            <v>1170</v>
          </cell>
          <cell r="AJ935">
            <v>2700</v>
          </cell>
          <cell r="AK935">
            <v>2970</v>
          </cell>
          <cell r="AL935">
            <v>2790</v>
          </cell>
          <cell r="AM935">
            <v>2250</v>
          </cell>
          <cell r="AN935">
            <v>1440</v>
          </cell>
          <cell r="AO935">
            <v>2610</v>
          </cell>
          <cell r="AP935">
            <v>2520</v>
          </cell>
          <cell r="AQ935">
            <v>2430</v>
          </cell>
          <cell r="AR935">
            <v>2700</v>
          </cell>
          <cell r="AS935">
            <v>2700</v>
          </cell>
          <cell r="AT935">
            <v>2610</v>
          </cell>
          <cell r="AU935">
            <v>2430</v>
          </cell>
          <cell r="AV935">
            <v>2520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2579.7600000000002</v>
          </cell>
          <cell r="BB935">
            <v>1086.8399999999999</v>
          </cell>
          <cell r="BC935">
            <v>1086.8399999999999</v>
          </cell>
          <cell r="BD935">
            <v>1086.8399999999999</v>
          </cell>
          <cell r="BE935">
            <v>1086.8399999999999</v>
          </cell>
          <cell r="BF935">
            <v>1086.8399999999999</v>
          </cell>
          <cell r="BG935">
            <v>2681.46</v>
          </cell>
          <cell r="BH935">
            <v>2681.46</v>
          </cell>
          <cell r="BI935">
            <v>2681.46</v>
          </cell>
          <cell r="BJ935">
            <v>2681.46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</row>
        <row r="936">
          <cell r="A936" t="str">
            <v>CDPO</v>
          </cell>
          <cell r="B936" t="str">
            <v>P64/CR3/OV64</v>
          </cell>
          <cell r="D936" t="str">
            <v>P64 - LTH</v>
          </cell>
          <cell r="Z936">
            <v>180</v>
          </cell>
          <cell r="AA936">
            <v>90</v>
          </cell>
          <cell r="AB936">
            <v>270</v>
          </cell>
          <cell r="AC936">
            <v>90</v>
          </cell>
          <cell r="AD936">
            <v>90</v>
          </cell>
          <cell r="AE936">
            <v>180</v>
          </cell>
          <cell r="AF936">
            <v>180</v>
          </cell>
          <cell r="AG936">
            <v>270</v>
          </cell>
          <cell r="AH936">
            <v>270</v>
          </cell>
          <cell r="AI936">
            <v>0</v>
          </cell>
          <cell r="AJ936">
            <v>180</v>
          </cell>
          <cell r="AK936">
            <v>270</v>
          </cell>
          <cell r="AL936">
            <v>270</v>
          </cell>
          <cell r="AM936">
            <v>180</v>
          </cell>
          <cell r="AN936">
            <v>90</v>
          </cell>
          <cell r="AO936">
            <v>180</v>
          </cell>
          <cell r="AP936">
            <v>180</v>
          </cell>
          <cell r="AQ936">
            <v>270</v>
          </cell>
          <cell r="AR936">
            <v>90</v>
          </cell>
          <cell r="AS936">
            <v>180</v>
          </cell>
          <cell r="AT936">
            <v>180</v>
          </cell>
          <cell r="AU936">
            <v>180</v>
          </cell>
          <cell r="AV936">
            <v>180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</row>
        <row r="937">
          <cell r="A937" t="str">
            <v>CDPO</v>
          </cell>
          <cell r="B937" t="str">
            <v>P64/CR3/OV64</v>
          </cell>
          <cell r="D937" t="str">
            <v>CR3</v>
          </cell>
          <cell r="Z937">
            <v>3024</v>
          </cell>
          <cell r="AA937">
            <v>0</v>
          </cell>
          <cell r="AB937">
            <v>4158</v>
          </cell>
          <cell r="AC937">
            <v>0</v>
          </cell>
          <cell r="AD937">
            <v>0</v>
          </cell>
          <cell r="AE937">
            <v>4158</v>
          </cell>
          <cell r="AF937">
            <v>4158</v>
          </cell>
          <cell r="AG937">
            <v>0</v>
          </cell>
          <cell r="AH937">
            <v>0</v>
          </cell>
          <cell r="AI937">
            <v>4158</v>
          </cell>
          <cell r="AJ937">
            <v>0</v>
          </cell>
          <cell r="AK937">
            <v>4158</v>
          </cell>
          <cell r="AL937">
            <v>0</v>
          </cell>
          <cell r="AM937">
            <v>4158</v>
          </cell>
          <cell r="AN937">
            <v>0</v>
          </cell>
          <cell r="AO937">
            <v>0</v>
          </cell>
          <cell r="AP937">
            <v>3024</v>
          </cell>
          <cell r="AQ937">
            <v>3024</v>
          </cell>
          <cell r="AR937">
            <v>0</v>
          </cell>
          <cell r="AS937">
            <v>3024</v>
          </cell>
          <cell r="AT937">
            <v>0</v>
          </cell>
          <cell r="AU937">
            <v>3024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</row>
        <row r="938">
          <cell r="A938" t="str">
            <v>CDPO</v>
          </cell>
          <cell r="B938" t="str">
            <v>P64/CR3/OV64</v>
          </cell>
          <cell r="D938" t="str">
            <v>OV64 - LTH</v>
          </cell>
          <cell r="Z938">
            <v>180</v>
          </cell>
          <cell r="AA938">
            <v>270</v>
          </cell>
          <cell r="AB938">
            <v>90</v>
          </cell>
          <cell r="AC938">
            <v>90</v>
          </cell>
          <cell r="AD938">
            <v>180</v>
          </cell>
          <cell r="AE938">
            <v>180</v>
          </cell>
          <cell r="AF938">
            <v>90</v>
          </cell>
          <cell r="AG938">
            <v>180</v>
          </cell>
          <cell r="AH938">
            <v>180</v>
          </cell>
          <cell r="AI938">
            <v>90</v>
          </cell>
          <cell r="AJ938">
            <v>180</v>
          </cell>
          <cell r="AK938">
            <v>180</v>
          </cell>
          <cell r="AL938">
            <v>180</v>
          </cell>
          <cell r="AM938">
            <v>90</v>
          </cell>
          <cell r="AN938">
            <v>180</v>
          </cell>
          <cell r="AO938">
            <v>90</v>
          </cell>
          <cell r="AP938">
            <v>180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</row>
        <row r="939">
          <cell r="A939" t="str">
            <v>CDPO</v>
          </cell>
          <cell r="B939" t="str">
            <v>P64/CR3/OV64</v>
          </cell>
          <cell r="D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</row>
        <row r="940">
          <cell r="A940" t="str">
            <v>CDPO</v>
          </cell>
          <cell r="B940" t="str">
            <v>P64/CR3/OV64</v>
          </cell>
          <cell r="D940" t="str">
            <v>Weekly demand</v>
          </cell>
          <cell r="Z940">
            <v>5454</v>
          </cell>
          <cell r="AA940">
            <v>2880</v>
          </cell>
          <cell r="AB940">
            <v>6858</v>
          </cell>
          <cell r="AC940">
            <v>2610</v>
          </cell>
          <cell r="AD940">
            <v>2700</v>
          </cell>
          <cell r="AE940">
            <v>6948</v>
          </cell>
          <cell r="AF940">
            <v>6858</v>
          </cell>
          <cell r="AG940">
            <v>2880</v>
          </cell>
          <cell r="AH940">
            <v>3690</v>
          </cell>
          <cell r="AI940">
            <v>5418</v>
          </cell>
          <cell r="AJ940">
            <v>3060</v>
          </cell>
          <cell r="AK940">
            <v>7578</v>
          </cell>
          <cell r="AL940">
            <v>3240</v>
          </cell>
          <cell r="AM940">
            <v>6678</v>
          </cell>
          <cell r="AN940">
            <v>1710</v>
          </cell>
          <cell r="AO940">
            <v>2880</v>
          </cell>
          <cell r="AP940">
            <v>5904</v>
          </cell>
          <cell r="AQ940">
            <v>5724</v>
          </cell>
          <cell r="AR940">
            <v>2790</v>
          </cell>
          <cell r="AS940">
            <v>5904</v>
          </cell>
          <cell r="AT940">
            <v>2790</v>
          </cell>
          <cell r="AU940">
            <v>5634</v>
          </cell>
          <cell r="AV940">
            <v>2700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2579.7600000000002</v>
          </cell>
          <cell r="BB940">
            <v>1086.8399999999999</v>
          </cell>
          <cell r="BC940">
            <v>1086.8399999999999</v>
          </cell>
          <cell r="BD940">
            <v>1086.8399999999999</v>
          </cell>
          <cell r="BE940">
            <v>1086.8399999999999</v>
          </cell>
          <cell r="BF940">
            <v>1086.8399999999999</v>
          </cell>
          <cell r="BG940">
            <v>2681.46</v>
          </cell>
          <cell r="BH940">
            <v>2681.46</v>
          </cell>
          <cell r="BI940">
            <v>2681.46</v>
          </cell>
          <cell r="BJ940">
            <v>2681.46</v>
          </cell>
          <cell r="BK940">
            <v>0</v>
          </cell>
          <cell r="BL940">
            <v>129134.34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</row>
        <row r="941">
          <cell r="A941" t="str">
            <v>CDPO</v>
          </cell>
          <cell r="B941" t="str">
            <v>P64/CR3/OV64</v>
          </cell>
          <cell r="D941" t="str">
            <v>Stock Target</v>
          </cell>
          <cell r="Z941">
            <v>3000</v>
          </cell>
          <cell r="AA941">
            <v>3000</v>
          </cell>
          <cell r="AB941">
            <v>3000</v>
          </cell>
          <cell r="AC941">
            <v>3000</v>
          </cell>
          <cell r="AD941">
            <v>3000</v>
          </cell>
          <cell r="AE941">
            <v>3000</v>
          </cell>
          <cell r="AF941">
            <v>3000</v>
          </cell>
          <cell r="AG941">
            <v>3000</v>
          </cell>
          <cell r="AH941">
            <v>3000</v>
          </cell>
          <cell r="AI941">
            <v>3000</v>
          </cell>
          <cell r="AJ941">
            <v>3000</v>
          </cell>
          <cell r="AK941">
            <v>3000</v>
          </cell>
          <cell r="AL941">
            <v>3000</v>
          </cell>
          <cell r="AM941">
            <v>3000</v>
          </cell>
          <cell r="AN941">
            <v>3000</v>
          </cell>
          <cell r="AO941">
            <v>3000</v>
          </cell>
          <cell r="AP941">
            <v>3000</v>
          </cell>
          <cell r="AQ941">
            <v>3000</v>
          </cell>
          <cell r="AR941">
            <v>3000</v>
          </cell>
          <cell r="AS941">
            <v>3000</v>
          </cell>
          <cell r="AT941">
            <v>3000</v>
          </cell>
          <cell r="AU941">
            <v>3000</v>
          </cell>
          <cell r="AV941">
            <v>3000</v>
          </cell>
          <cell r="AW941">
            <v>3000</v>
          </cell>
          <cell r="AX941">
            <v>3000</v>
          </cell>
          <cell r="AY941">
            <v>3000</v>
          </cell>
          <cell r="AZ941">
            <v>3000</v>
          </cell>
          <cell r="BA941">
            <v>3000</v>
          </cell>
          <cell r="BB941">
            <v>3000</v>
          </cell>
          <cell r="BC941">
            <v>3000</v>
          </cell>
          <cell r="BD941">
            <v>3000</v>
          </cell>
          <cell r="BE941">
            <v>3000</v>
          </cell>
          <cell r="BF941">
            <v>3000</v>
          </cell>
          <cell r="BG941">
            <v>3000</v>
          </cell>
          <cell r="BH941">
            <v>3000</v>
          </cell>
          <cell r="BI941">
            <v>3000</v>
          </cell>
          <cell r="BJ941">
            <v>3000</v>
          </cell>
          <cell r="BK941">
            <v>3000</v>
          </cell>
          <cell r="BL941">
            <v>3000</v>
          </cell>
          <cell r="BM941">
            <v>3000</v>
          </cell>
          <cell r="BN941">
            <v>3000</v>
          </cell>
          <cell r="BO941">
            <v>3000</v>
          </cell>
          <cell r="BP941">
            <v>3000</v>
          </cell>
          <cell r="BQ941">
            <v>3000</v>
          </cell>
          <cell r="BR941">
            <v>3000</v>
          </cell>
          <cell r="BS941">
            <v>3000</v>
          </cell>
          <cell r="BT941">
            <v>3000</v>
          </cell>
          <cell r="BU941">
            <v>3000</v>
          </cell>
          <cell r="BV941">
            <v>3000</v>
          </cell>
        </row>
        <row r="942">
          <cell r="A942" t="str">
            <v>CDPO</v>
          </cell>
          <cell r="B942" t="str">
            <v>P64/CR3/OV64</v>
          </cell>
          <cell r="D942" t="str">
            <v>P64 - VNL</v>
          </cell>
          <cell r="Z942">
            <v>3510</v>
          </cell>
          <cell r="AA942">
            <v>3510</v>
          </cell>
          <cell r="AB942">
            <v>2036.25</v>
          </cell>
          <cell r="AC942">
            <v>472.50000000000011</v>
          </cell>
          <cell r="AD942">
            <v>-1091.25</v>
          </cell>
          <cell r="AE942">
            <v>-2655</v>
          </cell>
          <cell r="AF942">
            <v>-4218.75</v>
          </cell>
          <cell r="AG942">
            <v>-5782.5</v>
          </cell>
          <cell r="AH942">
            <v>-8156.25</v>
          </cell>
          <cell r="AI942">
            <v>-8460</v>
          </cell>
          <cell r="AJ942">
            <v>-10293.75</v>
          </cell>
          <cell r="AK942">
            <v>-12397.5</v>
          </cell>
          <cell r="AL942">
            <v>-14321.25</v>
          </cell>
          <cell r="AM942">
            <v>-15705</v>
          </cell>
          <cell r="AN942">
            <v>-16278.75</v>
          </cell>
          <cell r="AO942">
            <v>-18022.5</v>
          </cell>
          <cell r="AP942">
            <v>-19676.25</v>
          </cell>
          <cell r="AQ942">
            <v>-21240</v>
          </cell>
          <cell r="AR942">
            <v>-23073.75</v>
          </cell>
          <cell r="AS942">
            <v>-24907.5</v>
          </cell>
          <cell r="AT942">
            <v>-27067.5</v>
          </cell>
          <cell r="AU942">
            <v>-29497.5</v>
          </cell>
          <cell r="AV942">
            <v>-32017.5</v>
          </cell>
          <cell r="AW942">
            <v>-32017.5</v>
          </cell>
          <cell r="AX942">
            <v>-32017.5</v>
          </cell>
          <cell r="AY942">
            <v>-32017.5</v>
          </cell>
          <cell r="AZ942">
            <v>-32017.5</v>
          </cell>
          <cell r="BA942">
            <v>-34597.26</v>
          </cell>
          <cell r="BB942">
            <v>-35684.1</v>
          </cell>
          <cell r="BC942">
            <v>-36770.939999999995</v>
          </cell>
          <cell r="BD942">
            <v>-37857.779999999992</v>
          </cell>
          <cell r="BE942">
            <v>-38944.619999999988</v>
          </cell>
          <cell r="BF942">
            <v>-40031.459999999985</v>
          </cell>
          <cell r="BG942">
            <v>-42712.919999999984</v>
          </cell>
          <cell r="BH942">
            <v>-45394.379999999983</v>
          </cell>
          <cell r="BI942">
            <v>-48075.839999999982</v>
          </cell>
          <cell r="BJ942">
            <v>-50757.299999999981</v>
          </cell>
          <cell r="BK942">
            <v>-50757.299999999981</v>
          </cell>
          <cell r="BL942">
            <v>-50757.299999999981</v>
          </cell>
          <cell r="BM942">
            <v>-50757.299999999981</v>
          </cell>
          <cell r="BN942">
            <v>-50757.299999999981</v>
          </cell>
          <cell r="BO942">
            <v>-50757.299999999981</v>
          </cell>
          <cell r="BP942">
            <v>-50757.299999999981</v>
          </cell>
          <cell r="BQ942">
            <v>-50757.299999999981</v>
          </cell>
          <cell r="BR942">
            <v>-50757.299999999981</v>
          </cell>
          <cell r="BS942">
            <v>-50757.299999999981</v>
          </cell>
          <cell r="BT942">
            <v>-50757.299999999981</v>
          </cell>
          <cell r="BU942">
            <v>-50757.299999999981</v>
          </cell>
          <cell r="BV942">
            <v>-50757.299999999981</v>
          </cell>
        </row>
        <row r="943">
          <cell r="A943" t="str">
            <v>CDPO</v>
          </cell>
          <cell r="B943" t="str">
            <v>P64/CR3/OV64</v>
          </cell>
          <cell r="D943" t="str">
            <v>P64 - LTH</v>
          </cell>
          <cell r="Z943">
            <v>270</v>
          </cell>
          <cell r="AA943">
            <v>180</v>
          </cell>
          <cell r="AB943">
            <v>-90</v>
          </cell>
          <cell r="AC943">
            <v>-180</v>
          </cell>
          <cell r="AD943">
            <v>-270</v>
          </cell>
          <cell r="AE943">
            <v>-450</v>
          </cell>
          <cell r="AF943">
            <v>-630</v>
          </cell>
          <cell r="AG943">
            <v>-900</v>
          </cell>
          <cell r="AH943">
            <v>-1170</v>
          </cell>
          <cell r="AI943">
            <v>-1170</v>
          </cell>
          <cell r="AJ943">
            <v>-1350</v>
          </cell>
          <cell r="AK943">
            <v>-1620</v>
          </cell>
          <cell r="AL943">
            <v>-1890</v>
          </cell>
          <cell r="AM943">
            <v>-2070</v>
          </cell>
          <cell r="AN943">
            <v>-2160</v>
          </cell>
          <cell r="AO943">
            <v>-2340</v>
          </cell>
          <cell r="AP943">
            <v>-2520</v>
          </cell>
          <cell r="AQ943">
            <v>-2790</v>
          </cell>
          <cell r="AR943">
            <v>-2880</v>
          </cell>
          <cell r="AS943">
            <v>-3060</v>
          </cell>
          <cell r="AT943">
            <v>-3240</v>
          </cell>
          <cell r="AU943">
            <v>-3420</v>
          </cell>
          <cell r="AV943">
            <v>-3600</v>
          </cell>
          <cell r="AW943">
            <v>-3600</v>
          </cell>
          <cell r="AX943">
            <v>-3600</v>
          </cell>
          <cell r="AY943">
            <v>-3600</v>
          </cell>
          <cell r="AZ943">
            <v>-3600</v>
          </cell>
          <cell r="BA943">
            <v>-3600</v>
          </cell>
          <cell r="BB943">
            <v>-3600</v>
          </cell>
          <cell r="BC943">
            <v>-3600</v>
          </cell>
          <cell r="BD943">
            <v>-3600</v>
          </cell>
          <cell r="BE943">
            <v>-3600</v>
          </cell>
          <cell r="BF943">
            <v>-3600</v>
          </cell>
          <cell r="BG943">
            <v>-3600</v>
          </cell>
          <cell r="BH943">
            <v>-3600</v>
          </cell>
          <cell r="BI943">
            <v>-3600</v>
          </cell>
          <cell r="BJ943">
            <v>-3600</v>
          </cell>
          <cell r="BK943">
            <v>-3600</v>
          </cell>
          <cell r="BL943">
            <v>-3600</v>
          </cell>
          <cell r="BM943">
            <v>-3600</v>
          </cell>
          <cell r="BN943">
            <v>-3600</v>
          </cell>
          <cell r="BO943">
            <v>-3600</v>
          </cell>
          <cell r="BP943">
            <v>-3600</v>
          </cell>
          <cell r="BQ943">
            <v>-3600</v>
          </cell>
          <cell r="BR943">
            <v>-3600</v>
          </cell>
          <cell r="BS943">
            <v>-3600</v>
          </cell>
          <cell r="BT943">
            <v>-3600</v>
          </cell>
          <cell r="BU943">
            <v>-3600</v>
          </cell>
          <cell r="BV943">
            <v>-3600</v>
          </cell>
        </row>
        <row r="944">
          <cell r="A944" t="str">
            <v>CDPO</v>
          </cell>
          <cell r="B944" t="str">
            <v>P64/CR3/OV64</v>
          </cell>
          <cell r="D944" t="str">
            <v>CR3</v>
          </cell>
          <cell r="Z944">
            <v>2310</v>
          </cell>
          <cell r="AA944">
            <v>4248</v>
          </cell>
          <cell r="AB944">
            <v>90</v>
          </cell>
          <cell r="AC944">
            <v>90</v>
          </cell>
          <cell r="AD944">
            <v>90</v>
          </cell>
          <cell r="AE944">
            <v>-4068</v>
          </cell>
          <cell r="AF944">
            <v>-8226</v>
          </cell>
          <cell r="AG944">
            <v>-8226</v>
          </cell>
          <cell r="AH944">
            <v>-8226</v>
          </cell>
          <cell r="AI944">
            <v>-12384</v>
          </cell>
          <cell r="AJ944">
            <v>-12384</v>
          </cell>
          <cell r="AK944">
            <v>-16542</v>
          </cell>
          <cell r="AL944">
            <v>-16542</v>
          </cell>
          <cell r="AM944">
            <v>-20700</v>
          </cell>
          <cell r="AN944">
            <v>-20700</v>
          </cell>
          <cell r="AO944">
            <v>-20700</v>
          </cell>
          <cell r="AP944">
            <v>-23724</v>
          </cell>
          <cell r="AQ944">
            <v>-26748</v>
          </cell>
          <cell r="AR944">
            <v>-26748</v>
          </cell>
          <cell r="AS944">
            <v>-29772</v>
          </cell>
          <cell r="AT944">
            <v>-29772</v>
          </cell>
          <cell r="AU944">
            <v>-32796</v>
          </cell>
          <cell r="AV944">
            <v>-32796</v>
          </cell>
          <cell r="AW944">
            <v>-32796</v>
          </cell>
          <cell r="AX944">
            <v>-32796</v>
          </cell>
          <cell r="AY944">
            <v>-32796</v>
          </cell>
          <cell r="AZ944">
            <v>-32796</v>
          </cell>
          <cell r="BA944">
            <v>-32796</v>
          </cell>
          <cell r="BB944">
            <v>-32796</v>
          </cell>
          <cell r="BC944">
            <v>-32796</v>
          </cell>
          <cell r="BD944">
            <v>-32796</v>
          </cell>
          <cell r="BE944">
            <v>-32796</v>
          </cell>
          <cell r="BF944">
            <v>-32796</v>
          </cell>
          <cell r="BG944">
            <v>-32796</v>
          </cell>
          <cell r="BH944">
            <v>-32796</v>
          </cell>
          <cell r="BI944">
            <v>-32796</v>
          </cell>
          <cell r="BJ944">
            <v>-32796</v>
          </cell>
          <cell r="BK944">
            <v>-32796</v>
          </cell>
          <cell r="BL944">
            <v>-32796</v>
          </cell>
          <cell r="BM944">
            <v>-32796</v>
          </cell>
          <cell r="BN944">
            <v>-32796</v>
          </cell>
          <cell r="BO944">
            <v>-32796</v>
          </cell>
          <cell r="BP944">
            <v>-32796</v>
          </cell>
          <cell r="BQ944">
            <v>-32796</v>
          </cell>
          <cell r="BR944">
            <v>-32796</v>
          </cell>
          <cell r="BS944">
            <v>-32796</v>
          </cell>
          <cell r="BT944">
            <v>-32796</v>
          </cell>
          <cell r="BU944">
            <v>-32796</v>
          </cell>
          <cell r="BV944">
            <v>-32796</v>
          </cell>
        </row>
        <row r="945">
          <cell r="A945" t="str">
            <v>CDPO</v>
          </cell>
          <cell r="B945" t="str">
            <v>P64/CR3/OV64</v>
          </cell>
          <cell r="D945" t="str">
            <v>OV64 - LTH</v>
          </cell>
          <cell r="Z945">
            <v>0</v>
          </cell>
          <cell r="AA945">
            <v>0</v>
          </cell>
          <cell r="AB945">
            <v>-90</v>
          </cell>
          <cell r="AC945">
            <v>-180</v>
          </cell>
          <cell r="AD945">
            <v>-360</v>
          </cell>
          <cell r="AE945">
            <v>-540</v>
          </cell>
          <cell r="AF945">
            <v>-630</v>
          </cell>
          <cell r="AG945">
            <v>-810</v>
          </cell>
          <cell r="AH945">
            <v>-990</v>
          </cell>
          <cell r="AI945">
            <v>-1080</v>
          </cell>
          <cell r="AJ945">
            <v>-1260</v>
          </cell>
          <cell r="AK945">
            <v>-1440</v>
          </cell>
          <cell r="AL945">
            <v>-1620</v>
          </cell>
          <cell r="AM945">
            <v>-1710</v>
          </cell>
          <cell r="AN945">
            <v>-1890</v>
          </cell>
          <cell r="AO945">
            <v>-1980</v>
          </cell>
          <cell r="AP945">
            <v>-2160</v>
          </cell>
          <cell r="AQ945">
            <v>-2160</v>
          </cell>
          <cell r="AR945">
            <v>-2160</v>
          </cell>
          <cell r="AS945">
            <v>-2160</v>
          </cell>
          <cell r="AT945">
            <v>-2160</v>
          </cell>
          <cell r="AU945">
            <v>-2160</v>
          </cell>
          <cell r="AV945">
            <v>-2160</v>
          </cell>
          <cell r="AW945">
            <v>-2160</v>
          </cell>
          <cell r="AX945">
            <v>-2160</v>
          </cell>
          <cell r="AY945">
            <v>-2160</v>
          </cell>
          <cell r="AZ945">
            <v>-2160</v>
          </cell>
          <cell r="BA945">
            <v>-2160</v>
          </cell>
          <cell r="BB945">
            <v>-2160</v>
          </cell>
          <cell r="BC945">
            <v>-2160</v>
          </cell>
          <cell r="BD945">
            <v>-2160</v>
          </cell>
          <cell r="BE945">
            <v>-2160</v>
          </cell>
          <cell r="BF945">
            <v>-2160</v>
          </cell>
          <cell r="BG945">
            <v>-2160</v>
          </cell>
          <cell r="BH945">
            <v>-2160</v>
          </cell>
          <cell r="BI945">
            <v>-2160</v>
          </cell>
          <cell r="BJ945">
            <v>-2160</v>
          </cell>
          <cell r="BK945">
            <v>-2160</v>
          </cell>
          <cell r="BL945">
            <v>-2160</v>
          </cell>
          <cell r="BM945">
            <v>-2160</v>
          </cell>
          <cell r="BN945">
            <v>-2160</v>
          </cell>
          <cell r="BO945">
            <v>-2160</v>
          </cell>
          <cell r="BP945">
            <v>-2160</v>
          </cell>
          <cell r="BQ945">
            <v>-2160</v>
          </cell>
          <cell r="BR945">
            <v>-2160</v>
          </cell>
          <cell r="BS945">
            <v>-2160</v>
          </cell>
          <cell r="BT945">
            <v>-2160</v>
          </cell>
          <cell r="BU945">
            <v>-2160</v>
          </cell>
          <cell r="BV945">
            <v>-2160</v>
          </cell>
        </row>
        <row r="946">
          <cell r="A946" t="str">
            <v>CDPO</v>
          </cell>
          <cell r="B946" t="str">
            <v>P64/CR3/OV64</v>
          </cell>
          <cell r="D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</row>
        <row r="947">
          <cell r="A947" t="str">
            <v>CDPO</v>
          </cell>
          <cell r="B947" t="str">
            <v>P64/CR3/OV64</v>
          </cell>
          <cell r="D947" t="str">
            <v>STOCK</v>
          </cell>
          <cell r="Z947">
            <v>6090</v>
          </cell>
          <cell r="AA947">
            <v>7433.1861198738161</v>
          </cell>
          <cell r="AB947">
            <v>4798.3722397476322</v>
          </cell>
          <cell r="AC947">
            <v>6411.5583596214483</v>
          </cell>
          <cell r="AD947">
            <v>6607.457413249208</v>
          </cell>
          <cell r="AE947">
            <v>3882.6435331230241</v>
          </cell>
          <cell r="AF947">
            <v>1851.1419558359576</v>
          </cell>
          <cell r="AG947">
            <v>3797.640378548891</v>
          </cell>
          <cell r="AH947">
            <v>4934.1388012618245</v>
          </cell>
          <cell r="AI947">
            <v>3739.3249211356406</v>
          </cell>
          <cell r="AJ947">
            <v>5505.823343848574</v>
          </cell>
          <cell r="AK947">
            <v>1789.0220820189206</v>
          </cell>
          <cell r="AL947">
            <v>2410.2208201892672</v>
          </cell>
          <cell r="AM947">
            <v>558.71924290220068</v>
          </cell>
          <cell r="AN947">
            <v>2709.9179810725473</v>
          </cell>
          <cell r="AO947">
            <v>4656.4164037854807</v>
          </cell>
          <cell r="AP947">
            <v>3578.9148264984142</v>
          </cell>
          <cell r="AQ947">
            <v>2681.4132492113476</v>
          </cell>
          <cell r="AR947">
            <v>4717.9116719242811</v>
          </cell>
          <cell r="AS947">
            <v>3640.4100946372146</v>
          </cell>
          <cell r="AT947">
            <v>5676.908517350148</v>
          </cell>
          <cell r="AU947">
            <v>4869.4069400630815</v>
          </cell>
          <cell r="AV947">
            <v>6995.905362776015</v>
          </cell>
          <cell r="AW947">
            <v>11822.403785488948</v>
          </cell>
          <cell r="AX947">
            <v>16648.902208201882</v>
          </cell>
          <cell r="AY947">
            <v>19062.151419558348</v>
          </cell>
          <cell r="AZ947">
            <v>21475.400630914814</v>
          </cell>
          <cell r="BA947">
            <v>21308.889842271281</v>
          </cell>
          <cell r="BB947">
            <v>23238.611356466863</v>
          </cell>
          <cell r="BC947">
            <v>22151.771356466863</v>
          </cell>
          <cell r="BD947">
            <v>21064.931356466863</v>
          </cell>
          <cell r="BE947">
            <v>22391.340567823328</v>
          </cell>
          <cell r="BF947">
            <v>23717.749779179794</v>
          </cell>
          <cell r="BG947">
            <v>23449.538990536261</v>
          </cell>
          <cell r="BH947">
            <v>23181.328201892728</v>
          </cell>
          <cell r="BI947">
            <v>22913.117413249194</v>
          </cell>
          <cell r="BJ947">
            <v>22644.906624605661</v>
          </cell>
          <cell r="BK947">
            <v>25200.111671924271</v>
          </cell>
          <cell r="BL947">
            <v>-101379.02328075712</v>
          </cell>
          <cell r="BM947">
            <v>-99845.900252365944</v>
          </cell>
          <cell r="BN947">
            <v>-98312.777223974772</v>
          </cell>
          <cell r="BO947">
            <v>-96779.6541955836</v>
          </cell>
          <cell r="BP947">
            <v>-95246.531167192428</v>
          </cell>
          <cell r="BQ947">
            <v>-93713.408138801256</v>
          </cell>
          <cell r="BR947">
            <v>-92180.285110410085</v>
          </cell>
          <cell r="BS947">
            <v>-90647.162082018913</v>
          </cell>
          <cell r="BT947">
            <v>-89114.039053627741</v>
          </cell>
          <cell r="BU947">
            <v>-87580.916025236569</v>
          </cell>
          <cell r="BV947">
            <v>-86047.792996845397</v>
          </cell>
        </row>
        <row r="948">
          <cell r="A948" t="str">
            <v>Total CDPO Volumes</v>
          </cell>
          <cell r="D948" t="str">
            <v>Blank</v>
          </cell>
          <cell r="Z948">
            <v>6606</v>
          </cell>
          <cell r="AA948">
            <v>4104</v>
          </cell>
          <cell r="AB948">
            <v>7938</v>
          </cell>
          <cell r="AC948">
            <v>3834</v>
          </cell>
          <cell r="AD948">
            <v>3708</v>
          </cell>
          <cell r="AE948">
            <v>7956</v>
          </cell>
          <cell r="AF948">
            <v>8082</v>
          </cell>
          <cell r="AG948">
            <v>4104</v>
          </cell>
          <cell r="AH948">
            <v>4986</v>
          </cell>
          <cell r="AI948">
            <v>5850</v>
          </cell>
          <cell r="AJ948">
            <v>3924</v>
          </cell>
          <cell r="AK948">
            <v>8442</v>
          </cell>
          <cell r="AL948">
            <v>4248</v>
          </cell>
          <cell r="AM948">
            <v>7614</v>
          </cell>
          <cell r="AN948">
            <v>2430</v>
          </cell>
          <cell r="AO948">
            <v>4104</v>
          </cell>
          <cell r="AP948">
            <v>7056</v>
          </cell>
          <cell r="AQ948">
            <v>6732</v>
          </cell>
          <cell r="AR948">
            <v>3798</v>
          </cell>
          <cell r="AS948">
            <v>6912</v>
          </cell>
          <cell r="AT948">
            <v>3942</v>
          </cell>
          <cell r="AU948">
            <v>6786</v>
          </cell>
          <cell r="AV948">
            <v>3636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3147.8488888888892</v>
          </cell>
          <cell r="BB948">
            <v>1261.1399999999999</v>
          </cell>
          <cell r="BC948">
            <v>1261.1399999999999</v>
          </cell>
          <cell r="BD948">
            <v>1261.1399999999999</v>
          </cell>
          <cell r="BE948">
            <v>1261.1399999999999</v>
          </cell>
          <cell r="BF948">
            <v>1261.1399999999999</v>
          </cell>
          <cell r="BG948">
            <v>3249.46</v>
          </cell>
          <cell r="BH948">
            <v>3249.46</v>
          </cell>
          <cell r="BI948">
            <v>3249.46</v>
          </cell>
          <cell r="BJ948">
            <v>3249.46</v>
          </cell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</row>
        <row r="949">
          <cell r="A949" t="str">
            <v>CDPO</v>
          </cell>
          <cell r="B949" t="str">
            <v>P64/CR3/OV64</v>
          </cell>
          <cell r="D949" t="str">
            <v>Work days</v>
          </cell>
          <cell r="Z949">
            <v>5</v>
          </cell>
          <cell r="AA949">
            <v>5</v>
          </cell>
          <cell r="AB949">
            <v>5</v>
          </cell>
          <cell r="AC949">
            <v>5</v>
          </cell>
          <cell r="AD949">
            <v>3</v>
          </cell>
          <cell r="AE949">
            <v>5</v>
          </cell>
          <cell r="AF949">
            <v>5</v>
          </cell>
          <cell r="AG949">
            <v>5</v>
          </cell>
          <cell r="AH949">
            <v>5</v>
          </cell>
          <cell r="AI949">
            <v>5</v>
          </cell>
          <cell r="AJ949">
            <v>5</v>
          </cell>
          <cell r="AK949">
            <v>4</v>
          </cell>
          <cell r="AL949">
            <v>4</v>
          </cell>
          <cell r="AM949">
            <v>5</v>
          </cell>
          <cell r="AN949">
            <v>4</v>
          </cell>
          <cell r="AO949">
            <v>5</v>
          </cell>
          <cell r="AP949">
            <v>5</v>
          </cell>
          <cell r="AQ949">
            <v>5</v>
          </cell>
          <cell r="AR949">
            <v>5</v>
          </cell>
          <cell r="AS949">
            <v>5</v>
          </cell>
          <cell r="AT949">
            <v>5</v>
          </cell>
          <cell r="AU949">
            <v>5</v>
          </cell>
          <cell r="AV949">
            <v>5</v>
          </cell>
          <cell r="AW949">
            <v>5</v>
          </cell>
          <cell r="AX949">
            <v>5</v>
          </cell>
          <cell r="AY949">
            <v>5</v>
          </cell>
          <cell r="AZ949">
            <v>5</v>
          </cell>
          <cell r="BA949">
            <v>0</v>
          </cell>
          <cell r="BB949">
            <v>0</v>
          </cell>
          <cell r="BC949">
            <v>0</v>
          </cell>
          <cell r="BD949">
            <v>5</v>
          </cell>
          <cell r="BE949">
            <v>5</v>
          </cell>
          <cell r="BF949">
            <v>5</v>
          </cell>
          <cell r="BG949">
            <v>5</v>
          </cell>
          <cell r="BH949">
            <v>5</v>
          </cell>
          <cell r="BI949">
            <v>5</v>
          </cell>
          <cell r="BJ949">
            <v>5</v>
          </cell>
          <cell r="BK949">
            <v>5</v>
          </cell>
          <cell r="BL949">
            <v>5</v>
          </cell>
          <cell r="BM949">
            <v>5</v>
          </cell>
          <cell r="BN949">
            <v>5</v>
          </cell>
          <cell r="BO949">
            <v>5</v>
          </cell>
          <cell r="BP949">
            <v>5</v>
          </cell>
          <cell r="BQ949">
            <v>5</v>
          </cell>
          <cell r="BR949">
            <v>5</v>
          </cell>
          <cell r="BS949">
            <v>5</v>
          </cell>
          <cell r="BT949">
            <v>5</v>
          </cell>
          <cell r="BU949">
            <v>5</v>
          </cell>
          <cell r="BV949">
            <v>5</v>
          </cell>
        </row>
        <row r="950">
          <cell r="A950" t="str">
            <v>CDPO</v>
          </cell>
          <cell r="B950" t="str">
            <v>P64/CR3/OV64</v>
          </cell>
          <cell r="D950" t="str">
            <v>SHIFT A HC - operators</v>
          </cell>
          <cell r="Z950">
            <v>5</v>
          </cell>
          <cell r="AA950">
            <v>5</v>
          </cell>
          <cell r="AB950">
            <v>5</v>
          </cell>
          <cell r="AC950">
            <v>5</v>
          </cell>
          <cell r="AD950">
            <v>5</v>
          </cell>
          <cell r="AE950">
            <v>5</v>
          </cell>
          <cell r="AF950">
            <v>5</v>
          </cell>
          <cell r="AG950">
            <v>6</v>
          </cell>
          <cell r="AH950">
            <v>6</v>
          </cell>
          <cell r="AI950">
            <v>6</v>
          </cell>
          <cell r="AJ950">
            <v>6</v>
          </cell>
          <cell r="AK950">
            <v>6</v>
          </cell>
          <cell r="AL950">
            <v>6</v>
          </cell>
          <cell r="AM950">
            <v>6</v>
          </cell>
          <cell r="AN950">
            <v>6</v>
          </cell>
          <cell r="AO950">
            <v>6</v>
          </cell>
          <cell r="AP950">
            <v>6</v>
          </cell>
          <cell r="AQ950">
            <v>6</v>
          </cell>
          <cell r="AR950">
            <v>6</v>
          </cell>
          <cell r="AS950">
            <v>6</v>
          </cell>
          <cell r="AT950">
            <v>6</v>
          </cell>
          <cell r="AU950">
            <v>6</v>
          </cell>
          <cell r="AV950">
            <v>6</v>
          </cell>
          <cell r="AW950">
            <v>6</v>
          </cell>
          <cell r="AX950">
            <v>6</v>
          </cell>
          <cell r="AY950">
            <v>6</v>
          </cell>
          <cell r="AZ950">
            <v>6</v>
          </cell>
          <cell r="BA950">
            <v>5</v>
          </cell>
          <cell r="BB950">
            <v>5</v>
          </cell>
          <cell r="BC950">
            <v>5</v>
          </cell>
          <cell r="BD950">
            <v>5</v>
          </cell>
          <cell r="BE950">
            <v>5</v>
          </cell>
          <cell r="BF950">
            <v>5</v>
          </cell>
          <cell r="BG950">
            <v>5</v>
          </cell>
          <cell r="BH950">
            <v>5</v>
          </cell>
          <cell r="BI950">
            <v>5</v>
          </cell>
          <cell r="BJ950">
            <v>5</v>
          </cell>
          <cell r="BK950">
            <v>3</v>
          </cell>
          <cell r="BL950">
            <v>3</v>
          </cell>
          <cell r="BM950">
            <v>3</v>
          </cell>
          <cell r="BN950">
            <v>3</v>
          </cell>
          <cell r="BO950">
            <v>3</v>
          </cell>
          <cell r="BP950">
            <v>3</v>
          </cell>
          <cell r="BQ950">
            <v>3</v>
          </cell>
          <cell r="BR950">
            <v>3</v>
          </cell>
          <cell r="BS950">
            <v>3</v>
          </cell>
          <cell r="BT950">
            <v>3</v>
          </cell>
          <cell r="BU950">
            <v>3</v>
          </cell>
          <cell r="BV950">
            <v>3</v>
          </cell>
        </row>
        <row r="951">
          <cell r="A951" t="str">
            <v>CDPO</v>
          </cell>
          <cell r="B951" t="str">
            <v>P64/CR3/OV64</v>
          </cell>
          <cell r="D951" t="str">
            <v>SHIFT B HC  - operators</v>
          </cell>
          <cell r="Z951">
            <v>4</v>
          </cell>
          <cell r="AA951">
            <v>4</v>
          </cell>
          <cell r="AB951">
            <v>4</v>
          </cell>
          <cell r="AC951">
            <v>5</v>
          </cell>
          <cell r="AD951">
            <v>5</v>
          </cell>
          <cell r="AE951">
            <v>5</v>
          </cell>
          <cell r="AF951">
            <v>5</v>
          </cell>
          <cell r="AG951">
            <v>5</v>
          </cell>
          <cell r="AH951">
            <v>5</v>
          </cell>
          <cell r="AI951">
            <v>5</v>
          </cell>
          <cell r="AJ951">
            <v>5</v>
          </cell>
          <cell r="AK951">
            <v>5</v>
          </cell>
          <cell r="AL951">
            <v>5</v>
          </cell>
          <cell r="AM951">
            <v>5</v>
          </cell>
          <cell r="AN951">
            <v>5</v>
          </cell>
          <cell r="AO951">
            <v>5</v>
          </cell>
          <cell r="AP951">
            <v>5</v>
          </cell>
          <cell r="AQ951">
            <v>5</v>
          </cell>
          <cell r="AR951">
            <v>5</v>
          </cell>
          <cell r="AS951">
            <v>5</v>
          </cell>
          <cell r="AT951">
            <v>5</v>
          </cell>
          <cell r="AU951">
            <v>5</v>
          </cell>
          <cell r="AV951">
            <v>5</v>
          </cell>
          <cell r="AW951">
            <v>5</v>
          </cell>
          <cell r="AX951">
            <v>5</v>
          </cell>
          <cell r="AY951">
            <v>5</v>
          </cell>
          <cell r="AZ951">
            <v>5</v>
          </cell>
          <cell r="BA951"/>
          <cell r="BB951"/>
          <cell r="BC951"/>
          <cell r="BD951"/>
          <cell r="BE951"/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</row>
        <row r="952">
          <cell r="A952" t="str">
            <v>CDPO</v>
          </cell>
          <cell r="B952" t="str">
            <v>P64/CR3/OV64</v>
          </cell>
          <cell r="D952" t="str">
            <v>SHIFT C HC  - operators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</row>
        <row r="953">
          <cell r="A953" t="str">
            <v>CDPO</v>
          </cell>
          <cell r="B953" t="str">
            <v>P64/CR3/OV64</v>
          </cell>
          <cell r="D953" t="str">
            <v>Total HC</v>
          </cell>
          <cell r="Z953">
            <v>9</v>
          </cell>
          <cell r="AA953">
            <v>9</v>
          </cell>
          <cell r="AB953">
            <v>9</v>
          </cell>
          <cell r="AC953">
            <v>10</v>
          </cell>
          <cell r="AD953">
            <v>10</v>
          </cell>
          <cell r="AE953">
            <v>10</v>
          </cell>
          <cell r="AF953">
            <v>10</v>
          </cell>
          <cell r="AG953">
            <v>11</v>
          </cell>
          <cell r="AH953">
            <v>11</v>
          </cell>
          <cell r="AI953">
            <v>11</v>
          </cell>
          <cell r="AJ953">
            <v>11</v>
          </cell>
          <cell r="AK953">
            <v>11</v>
          </cell>
          <cell r="AL953">
            <v>11</v>
          </cell>
          <cell r="AM953">
            <v>11</v>
          </cell>
          <cell r="AN953">
            <v>11</v>
          </cell>
          <cell r="AO953">
            <v>11</v>
          </cell>
          <cell r="AP953">
            <v>11</v>
          </cell>
          <cell r="AQ953">
            <v>11</v>
          </cell>
          <cell r="AR953">
            <v>11</v>
          </cell>
          <cell r="AS953">
            <v>11</v>
          </cell>
          <cell r="AT953">
            <v>11</v>
          </cell>
          <cell r="AU953">
            <v>11</v>
          </cell>
          <cell r="AV953">
            <v>11</v>
          </cell>
          <cell r="AW953">
            <v>11</v>
          </cell>
          <cell r="AX953">
            <v>11</v>
          </cell>
          <cell r="AY953">
            <v>11</v>
          </cell>
          <cell r="AZ953">
            <v>11</v>
          </cell>
          <cell r="BA953">
            <v>5</v>
          </cell>
          <cell r="BB953">
            <v>5</v>
          </cell>
          <cell r="BC953">
            <v>5</v>
          </cell>
          <cell r="BD953">
            <v>5</v>
          </cell>
          <cell r="BE953">
            <v>5</v>
          </cell>
          <cell r="BF953">
            <v>5</v>
          </cell>
          <cell r="BG953">
            <v>5</v>
          </cell>
          <cell r="BH953">
            <v>5</v>
          </cell>
          <cell r="BI953">
            <v>5</v>
          </cell>
          <cell r="BJ953">
            <v>5</v>
          </cell>
          <cell r="BK953">
            <v>3</v>
          </cell>
          <cell r="BL953">
            <v>3</v>
          </cell>
          <cell r="BM953">
            <v>3</v>
          </cell>
          <cell r="BN953">
            <v>3</v>
          </cell>
          <cell r="BO953">
            <v>3</v>
          </cell>
          <cell r="BP953">
            <v>3</v>
          </cell>
          <cell r="BQ953">
            <v>3</v>
          </cell>
          <cell r="BR953">
            <v>3</v>
          </cell>
          <cell r="BS953">
            <v>3</v>
          </cell>
          <cell r="BT953">
            <v>3</v>
          </cell>
          <cell r="BU953">
            <v>3</v>
          </cell>
          <cell r="BV953">
            <v>3</v>
          </cell>
        </row>
        <row r="954">
          <cell r="A954" t="str">
            <v>CDPO</v>
          </cell>
          <cell r="B954" t="str">
            <v>P64/CR3/OV64</v>
          </cell>
          <cell r="D954" t="str">
            <v>SHIFT A HC  - efficiency</v>
          </cell>
          <cell r="Z954">
            <v>1.1000000000000001</v>
          </cell>
          <cell r="AA954">
            <v>1.2</v>
          </cell>
          <cell r="AB954">
            <v>1.2</v>
          </cell>
          <cell r="AC954">
            <v>1.25</v>
          </cell>
          <cell r="AD954">
            <v>1.25</v>
          </cell>
          <cell r="AE954">
            <v>1.25</v>
          </cell>
          <cell r="AF954">
            <v>1.25</v>
          </cell>
          <cell r="AG954">
            <v>1.25</v>
          </cell>
          <cell r="AH954">
            <v>1.25</v>
          </cell>
          <cell r="AI954">
            <v>1.25</v>
          </cell>
          <cell r="AJ954">
            <v>1.25</v>
          </cell>
          <cell r="AK954">
            <v>1.25</v>
          </cell>
          <cell r="AL954">
            <v>1.25</v>
          </cell>
          <cell r="AM954">
            <v>1.25</v>
          </cell>
          <cell r="AN954">
            <v>1.25</v>
          </cell>
          <cell r="AO954">
            <v>1.25</v>
          </cell>
          <cell r="AP954">
            <v>1.25</v>
          </cell>
          <cell r="AQ954">
            <v>1.25</v>
          </cell>
          <cell r="AR954">
            <v>1.25</v>
          </cell>
          <cell r="AS954">
            <v>1.2</v>
          </cell>
          <cell r="AT954">
            <v>1.2</v>
          </cell>
          <cell r="AU954">
            <v>1.2</v>
          </cell>
          <cell r="AV954">
            <v>1.2</v>
          </cell>
          <cell r="AW954">
            <v>1.2</v>
          </cell>
          <cell r="AX954">
            <v>1.2</v>
          </cell>
          <cell r="AY954">
            <v>1.2</v>
          </cell>
          <cell r="AZ954">
            <v>1.2</v>
          </cell>
          <cell r="BA954">
            <v>1.2</v>
          </cell>
          <cell r="BB954">
            <v>1.2</v>
          </cell>
          <cell r="BC954">
            <v>1.2</v>
          </cell>
          <cell r="BD954">
            <v>1.2</v>
          </cell>
          <cell r="BE954">
            <v>1.2</v>
          </cell>
          <cell r="BF954">
            <v>1.2</v>
          </cell>
          <cell r="BG954">
            <v>1.2</v>
          </cell>
          <cell r="BH954">
            <v>1.2</v>
          </cell>
          <cell r="BI954">
            <v>1.2</v>
          </cell>
          <cell r="BJ954">
            <v>1.2</v>
          </cell>
          <cell r="BK954">
            <v>1.2</v>
          </cell>
          <cell r="BL954">
            <v>1.2</v>
          </cell>
          <cell r="BM954">
            <v>1.2</v>
          </cell>
          <cell r="BN954">
            <v>1.2</v>
          </cell>
          <cell r="BO954">
            <v>1.2</v>
          </cell>
          <cell r="BP954">
            <v>1.2</v>
          </cell>
          <cell r="BQ954">
            <v>1.2</v>
          </cell>
          <cell r="BR954">
            <v>1.2</v>
          </cell>
          <cell r="BS954">
            <v>1.2</v>
          </cell>
          <cell r="BT954">
            <v>1.2</v>
          </cell>
          <cell r="BU954">
            <v>1.2</v>
          </cell>
          <cell r="BV954">
            <v>1.2</v>
          </cell>
        </row>
        <row r="955">
          <cell r="A955" t="str">
            <v>CDPO</v>
          </cell>
          <cell r="B955" t="str">
            <v>P64/CR3/OV64</v>
          </cell>
          <cell r="D955" t="str">
            <v>SHIFT B HC  - efficiency</v>
          </cell>
          <cell r="Z955">
            <v>1.1000000000000001</v>
          </cell>
          <cell r="AA955">
            <v>1.2</v>
          </cell>
          <cell r="AB955">
            <v>1.2</v>
          </cell>
          <cell r="AC955">
            <v>1.25</v>
          </cell>
          <cell r="AD955">
            <v>1.25</v>
          </cell>
          <cell r="AE955">
            <v>1.25</v>
          </cell>
          <cell r="AF955">
            <v>1.25</v>
          </cell>
          <cell r="AG955">
            <v>1.25</v>
          </cell>
          <cell r="AH955">
            <v>1.25</v>
          </cell>
          <cell r="AI955">
            <v>1.25</v>
          </cell>
          <cell r="AJ955">
            <v>1.25</v>
          </cell>
          <cell r="AK955">
            <v>1.25</v>
          </cell>
          <cell r="AL955">
            <v>1.25</v>
          </cell>
          <cell r="AM955">
            <v>1.25</v>
          </cell>
          <cell r="AN955">
            <v>1.25</v>
          </cell>
          <cell r="AO955">
            <v>1.25</v>
          </cell>
          <cell r="AP955">
            <v>1.25</v>
          </cell>
          <cell r="AQ955">
            <v>1.25</v>
          </cell>
          <cell r="AR955">
            <v>1.25</v>
          </cell>
          <cell r="AS955">
            <v>1.2</v>
          </cell>
          <cell r="AT955">
            <v>1.2</v>
          </cell>
          <cell r="AU955">
            <v>1.2</v>
          </cell>
          <cell r="AV955">
            <v>1.2</v>
          </cell>
          <cell r="AW955">
            <v>1.2</v>
          </cell>
          <cell r="AX955">
            <v>1.2</v>
          </cell>
          <cell r="AY955">
            <v>1.2</v>
          </cell>
          <cell r="AZ955">
            <v>1.2</v>
          </cell>
          <cell r="BA955">
            <v>1.2</v>
          </cell>
          <cell r="BB955">
            <v>1.2</v>
          </cell>
          <cell r="BC955">
            <v>1.2</v>
          </cell>
          <cell r="BD955">
            <v>1.2</v>
          </cell>
          <cell r="BE955">
            <v>1.2</v>
          </cell>
          <cell r="BF955">
            <v>1.2</v>
          </cell>
          <cell r="BG955">
            <v>1.2</v>
          </cell>
          <cell r="BH955">
            <v>1.2</v>
          </cell>
          <cell r="BI955">
            <v>1.2</v>
          </cell>
          <cell r="BJ955">
            <v>1.2</v>
          </cell>
          <cell r="BK955">
            <v>1.2</v>
          </cell>
          <cell r="BL955">
            <v>1.2</v>
          </cell>
          <cell r="BM955">
            <v>1.2</v>
          </cell>
          <cell r="BN955">
            <v>1.2</v>
          </cell>
          <cell r="BO955">
            <v>1.2</v>
          </cell>
          <cell r="BP955">
            <v>1.2</v>
          </cell>
          <cell r="BQ955">
            <v>1.2</v>
          </cell>
          <cell r="BR955">
            <v>1.2</v>
          </cell>
          <cell r="BS955">
            <v>1.2</v>
          </cell>
          <cell r="BT955">
            <v>1.2</v>
          </cell>
          <cell r="BU955">
            <v>1.2</v>
          </cell>
          <cell r="BV955">
            <v>1.2</v>
          </cell>
        </row>
        <row r="956">
          <cell r="A956" t="str">
            <v>CDPO</v>
          </cell>
          <cell r="B956" t="str">
            <v>P64/CR3/OV64</v>
          </cell>
          <cell r="D956" t="str">
            <v>SHIFT C HC  - efficiency</v>
          </cell>
          <cell r="Z956">
            <v>1</v>
          </cell>
          <cell r="AA956">
            <v>1</v>
          </cell>
          <cell r="AB956">
            <v>1</v>
          </cell>
          <cell r="AC956">
            <v>1</v>
          </cell>
          <cell r="AD956">
            <v>1</v>
          </cell>
          <cell r="AE956">
            <v>1</v>
          </cell>
          <cell r="AF956">
            <v>1</v>
          </cell>
          <cell r="AG956">
            <v>1</v>
          </cell>
          <cell r="AH956">
            <v>1</v>
          </cell>
          <cell r="AI956">
            <v>1</v>
          </cell>
          <cell r="AJ956">
            <v>1</v>
          </cell>
          <cell r="AK956">
            <v>1</v>
          </cell>
          <cell r="AL956">
            <v>1</v>
          </cell>
          <cell r="AM956">
            <v>1</v>
          </cell>
          <cell r="AN956">
            <v>1</v>
          </cell>
          <cell r="AO956">
            <v>1</v>
          </cell>
          <cell r="AP956">
            <v>1</v>
          </cell>
          <cell r="AQ956">
            <v>1</v>
          </cell>
          <cell r="AR956">
            <v>1</v>
          </cell>
          <cell r="AS956">
            <v>1</v>
          </cell>
          <cell r="AT956">
            <v>1</v>
          </cell>
          <cell r="AU956">
            <v>1</v>
          </cell>
          <cell r="AV956">
            <v>1</v>
          </cell>
          <cell r="AW956">
            <v>1</v>
          </cell>
          <cell r="AX956">
            <v>1</v>
          </cell>
          <cell r="AY956">
            <v>1</v>
          </cell>
          <cell r="AZ956">
            <v>1</v>
          </cell>
          <cell r="BA956">
            <v>1</v>
          </cell>
          <cell r="BB956">
            <v>1</v>
          </cell>
          <cell r="BC956">
            <v>1</v>
          </cell>
          <cell r="BD956">
            <v>1</v>
          </cell>
          <cell r="BE956">
            <v>1</v>
          </cell>
          <cell r="BF956">
            <v>1</v>
          </cell>
          <cell r="BG956">
            <v>1</v>
          </cell>
          <cell r="BH956">
            <v>1</v>
          </cell>
          <cell r="BI956">
            <v>1</v>
          </cell>
          <cell r="BJ956">
            <v>1</v>
          </cell>
          <cell r="BK956">
            <v>1</v>
          </cell>
          <cell r="BL956">
            <v>1</v>
          </cell>
          <cell r="BM956">
            <v>1</v>
          </cell>
          <cell r="BN956">
            <v>1</v>
          </cell>
          <cell r="BO956">
            <v>1</v>
          </cell>
          <cell r="BP956">
            <v>1</v>
          </cell>
          <cell r="BQ956">
            <v>1</v>
          </cell>
          <cell r="BR956">
            <v>1</v>
          </cell>
          <cell r="BS956">
            <v>1</v>
          </cell>
          <cell r="BT956">
            <v>1</v>
          </cell>
          <cell r="BU956">
            <v>1</v>
          </cell>
          <cell r="BV956">
            <v>1</v>
          </cell>
        </row>
        <row r="957">
          <cell r="A957" t="str">
            <v>CDPO</v>
          </cell>
          <cell r="B957" t="str">
            <v>P64/CR3/OV64</v>
          </cell>
          <cell r="D957" t="str">
            <v>Total efficiency</v>
          </cell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</row>
        <row r="958">
          <cell r="A958" t="str">
            <v>CDPO</v>
          </cell>
          <cell r="B958" t="str">
            <v>P64/CR3/OV64</v>
          </cell>
          <cell r="D958" t="str">
            <v>SHIFT A - output</v>
          </cell>
          <cell r="Z958">
            <v>385.51401869158877</v>
          </cell>
          <cell r="AA958">
            <v>420.56074766355135</v>
          </cell>
          <cell r="AB958">
            <v>420.56074766355135</v>
          </cell>
          <cell r="AC958">
            <v>438.08411214953264</v>
          </cell>
          <cell r="AD958">
            <v>438.08411214953264</v>
          </cell>
          <cell r="AE958">
            <v>438.08411214953264</v>
          </cell>
          <cell r="AF958">
            <v>438.08411214953264</v>
          </cell>
          <cell r="AG958">
            <v>525.70093457943926</v>
          </cell>
          <cell r="AH958">
            <v>525.70093457943926</v>
          </cell>
          <cell r="AI958">
            <v>525.70093457943926</v>
          </cell>
          <cell r="AJ958">
            <v>525.70093457943926</v>
          </cell>
          <cell r="AK958">
            <v>525.70093457943926</v>
          </cell>
          <cell r="AL958">
            <v>525.70093457943926</v>
          </cell>
          <cell r="AM958">
            <v>525.70093457943926</v>
          </cell>
          <cell r="AN958">
            <v>525.70093457943926</v>
          </cell>
          <cell r="AO958">
            <v>525.70093457943926</v>
          </cell>
          <cell r="AP958">
            <v>525.70093457943926</v>
          </cell>
          <cell r="AQ958">
            <v>525.70093457943926</v>
          </cell>
          <cell r="AR958">
            <v>525.70093457943926</v>
          </cell>
          <cell r="AS958">
            <v>504.67289719626166</v>
          </cell>
          <cell r="AT958">
            <v>504.67289719626166</v>
          </cell>
          <cell r="AU958">
            <v>504.67289719626166</v>
          </cell>
          <cell r="AV958">
            <v>504.67289719626166</v>
          </cell>
          <cell r="AW958">
            <v>504.67289719626166</v>
          </cell>
          <cell r="AX958">
            <v>504.67289719626166</v>
          </cell>
          <cell r="AY958">
            <v>504.67289719626166</v>
          </cell>
          <cell r="AZ958">
            <v>504.67289719626166</v>
          </cell>
          <cell r="BA958">
            <v>420.56074766355135</v>
          </cell>
          <cell r="BB958">
            <v>420.56074766355135</v>
          </cell>
          <cell r="BC958">
            <v>420.56074766355135</v>
          </cell>
          <cell r="BD958">
            <v>420.56074766355135</v>
          </cell>
          <cell r="BE958">
            <v>420.56074766355135</v>
          </cell>
          <cell r="BF958">
            <v>420.56074766355135</v>
          </cell>
          <cell r="BG958">
            <v>420.56074766355135</v>
          </cell>
          <cell r="BH958">
            <v>420.56074766355135</v>
          </cell>
          <cell r="BI958">
            <v>420.56074766355135</v>
          </cell>
          <cell r="BJ958">
            <v>420.56074766355135</v>
          </cell>
          <cell r="BK958">
            <v>252.33644859813083</v>
          </cell>
          <cell r="BL958">
            <v>252.33644859813083</v>
          </cell>
          <cell r="BM958">
            <v>252.33644859813083</v>
          </cell>
          <cell r="BN958">
            <v>252.33644859813083</v>
          </cell>
          <cell r="BO958">
            <v>252.33644859813083</v>
          </cell>
          <cell r="BP958">
            <v>252.33644859813083</v>
          </cell>
          <cell r="BQ958">
            <v>252.33644859813083</v>
          </cell>
          <cell r="BR958">
            <v>252.33644859813083</v>
          </cell>
          <cell r="BS958">
            <v>252.33644859813083</v>
          </cell>
          <cell r="BT958">
            <v>252.33644859813083</v>
          </cell>
          <cell r="BU958">
            <v>252.33644859813083</v>
          </cell>
          <cell r="BV958">
            <v>252.33644859813083</v>
          </cell>
        </row>
        <row r="959">
          <cell r="A959" t="str">
            <v>CDPO</v>
          </cell>
          <cell r="B959" t="str">
            <v>P64/CR3/OV64</v>
          </cell>
          <cell r="D959" t="str">
            <v>SHIFT B  - output</v>
          </cell>
          <cell r="Z959">
            <v>308.41121495327104</v>
          </cell>
          <cell r="AA959">
            <v>336.44859813084111</v>
          </cell>
          <cell r="AB959">
            <v>336.44859813084111</v>
          </cell>
          <cell r="AC959">
            <v>438.08411214953264</v>
          </cell>
          <cell r="AD959">
            <v>438.08411214953264</v>
          </cell>
          <cell r="AE959">
            <v>438.08411214953264</v>
          </cell>
          <cell r="AF959">
            <v>438.08411214953264</v>
          </cell>
          <cell r="AG959">
            <v>438.08411214953264</v>
          </cell>
          <cell r="AH959">
            <v>438.08411214953264</v>
          </cell>
          <cell r="AI959">
            <v>438.08411214953264</v>
          </cell>
          <cell r="AJ959">
            <v>438.08411214953264</v>
          </cell>
          <cell r="AK959">
            <v>438.08411214953264</v>
          </cell>
          <cell r="AL959">
            <v>438.08411214953264</v>
          </cell>
          <cell r="AM959">
            <v>438.08411214953264</v>
          </cell>
          <cell r="AN959">
            <v>438.08411214953264</v>
          </cell>
          <cell r="AO959">
            <v>438.08411214953264</v>
          </cell>
          <cell r="AP959">
            <v>438.08411214953264</v>
          </cell>
          <cell r="AQ959">
            <v>438.08411214953264</v>
          </cell>
          <cell r="AR959">
            <v>438.08411214953264</v>
          </cell>
          <cell r="AS959">
            <v>420.56074766355135</v>
          </cell>
          <cell r="AT959">
            <v>420.56074766355135</v>
          </cell>
          <cell r="AU959">
            <v>420.56074766355135</v>
          </cell>
          <cell r="AV959">
            <v>420.56074766355135</v>
          </cell>
          <cell r="AW959">
            <v>420.56074766355135</v>
          </cell>
          <cell r="AX959">
            <v>420.56074766355135</v>
          </cell>
          <cell r="AY959">
            <v>420.56074766355135</v>
          </cell>
          <cell r="AZ959">
            <v>420.56074766355135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</row>
        <row r="960">
          <cell r="A960" t="str">
            <v>CDPO</v>
          </cell>
          <cell r="B960" t="str">
            <v>P64/CR3/OV64</v>
          </cell>
          <cell r="D960" t="str">
            <v>SHIFT C  - output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</row>
        <row r="961">
          <cell r="A961" t="str">
            <v>CDPO</v>
          </cell>
          <cell r="B961" t="str">
            <v>P64/CR3/OV64</v>
          </cell>
          <cell r="D961" t="str">
            <v>Est. Output (Pcs day)</v>
          </cell>
          <cell r="E961">
            <v>6.42</v>
          </cell>
          <cell r="Z961">
            <v>693.92523364485987</v>
          </cell>
          <cell r="AA961">
            <v>757.0093457943924</v>
          </cell>
          <cell r="AB961">
            <v>757.0093457943924</v>
          </cell>
          <cell r="AC961">
            <v>876.16822429906529</v>
          </cell>
          <cell r="AD961">
            <v>876.16822429906529</v>
          </cell>
          <cell r="AE961">
            <v>876.16822429906529</v>
          </cell>
          <cell r="AF961">
            <v>876.16822429906529</v>
          </cell>
          <cell r="AG961">
            <v>963.78504672897191</v>
          </cell>
          <cell r="AH961">
            <v>963.78504672897191</v>
          </cell>
          <cell r="AI961">
            <v>963.78504672897191</v>
          </cell>
          <cell r="AJ961">
            <v>963.78504672897191</v>
          </cell>
          <cell r="AK961">
            <v>963.78504672897191</v>
          </cell>
          <cell r="AL961">
            <v>963.78504672897191</v>
          </cell>
          <cell r="AM961">
            <v>963.78504672897191</v>
          </cell>
          <cell r="AN961">
            <v>963.78504672897191</v>
          </cell>
          <cell r="AO961">
            <v>963.78504672897191</v>
          </cell>
          <cell r="AP961">
            <v>963.78504672897191</v>
          </cell>
          <cell r="AQ961">
            <v>963.78504672897191</v>
          </cell>
          <cell r="AR961">
            <v>963.78504672897191</v>
          </cell>
          <cell r="AS961">
            <v>925.23364485981301</v>
          </cell>
          <cell r="AT961">
            <v>925.23364485981301</v>
          </cell>
          <cell r="AU961">
            <v>925.23364485981301</v>
          </cell>
          <cell r="AV961">
            <v>925.23364485981301</v>
          </cell>
          <cell r="AW961">
            <v>925.23364485981301</v>
          </cell>
          <cell r="AX961">
            <v>925.23364485981301</v>
          </cell>
          <cell r="AY961">
            <v>925.23364485981301</v>
          </cell>
          <cell r="AZ961">
            <v>925.23364485981301</v>
          </cell>
          <cell r="BA961">
            <v>420.56074766355135</v>
          </cell>
          <cell r="BB961">
            <v>420.56074766355135</v>
          </cell>
          <cell r="BC961">
            <v>420.56074766355135</v>
          </cell>
          <cell r="BD961">
            <v>420.56074766355135</v>
          </cell>
          <cell r="BE961">
            <v>420.56074766355135</v>
          </cell>
          <cell r="BF961">
            <v>420.56074766355135</v>
          </cell>
          <cell r="BG961">
            <v>420.56074766355135</v>
          </cell>
          <cell r="BH961">
            <v>420.56074766355135</v>
          </cell>
          <cell r="BI961">
            <v>420.56074766355135</v>
          </cell>
          <cell r="BJ961">
            <v>420.56074766355135</v>
          </cell>
          <cell r="BK961">
            <v>252.33644859813083</v>
          </cell>
          <cell r="BL961">
            <v>252.33644859813083</v>
          </cell>
          <cell r="BM961">
            <v>252.33644859813083</v>
          </cell>
          <cell r="BN961">
            <v>252.33644859813083</v>
          </cell>
          <cell r="BO961">
            <v>252.33644859813083</v>
          </cell>
          <cell r="BP961">
            <v>252.33644859813083</v>
          </cell>
          <cell r="BQ961">
            <v>252.33644859813083</v>
          </cell>
          <cell r="BR961">
            <v>252.33644859813083</v>
          </cell>
          <cell r="BS961">
            <v>252.33644859813083</v>
          </cell>
          <cell r="BT961">
            <v>252.33644859813083</v>
          </cell>
          <cell r="BU961">
            <v>252.33644859813083</v>
          </cell>
          <cell r="BV961">
            <v>252.33644859813083</v>
          </cell>
        </row>
        <row r="962">
          <cell r="A962" t="str">
            <v>CDPO</v>
          </cell>
          <cell r="B962" t="str">
            <v>P64/CR3/OV64</v>
          </cell>
          <cell r="D962" t="str">
            <v>Weekly Output PLAN</v>
          </cell>
          <cell r="E962" t="str">
            <v>SEW</v>
          </cell>
          <cell r="Z962">
            <v>3469.6261682242994</v>
          </cell>
          <cell r="AA962">
            <v>3785.0467289719618</v>
          </cell>
          <cell r="AB962">
            <v>3785.0467289719618</v>
          </cell>
          <cell r="AC962">
            <v>4380.8411214953267</v>
          </cell>
          <cell r="AD962">
            <v>2628.5046728971956</v>
          </cell>
          <cell r="AE962">
            <v>4380.8411214953267</v>
          </cell>
          <cell r="AF962">
            <v>4380.8411214953267</v>
          </cell>
          <cell r="AG962">
            <v>4818.9252336448599</v>
          </cell>
          <cell r="AH962">
            <v>4818.9252336448599</v>
          </cell>
          <cell r="AI962">
            <v>4818.9252336448599</v>
          </cell>
          <cell r="AJ962">
            <v>4818.9252336448599</v>
          </cell>
          <cell r="AK962">
            <v>3855.1401869158876</v>
          </cell>
          <cell r="AL962">
            <v>3855.1401869158876</v>
          </cell>
          <cell r="AM962">
            <v>4818.9252336448599</v>
          </cell>
          <cell r="AN962">
            <v>3855.1401869158876</v>
          </cell>
          <cell r="AO962">
            <v>4818.9252336448599</v>
          </cell>
          <cell r="AP962">
            <v>4818.9252336448599</v>
          </cell>
          <cell r="AQ962">
            <v>4818.9252336448599</v>
          </cell>
          <cell r="AR962">
            <v>4818.9252336448599</v>
          </cell>
          <cell r="AS962">
            <v>4626.1682242990646</v>
          </cell>
          <cell r="AT962">
            <v>4626.1682242990646</v>
          </cell>
          <cell r="AU962">
            <v>4626.1682242990646</v>
          </cell>
          <cell r="AV962">
            <v>4626.1682242990646</v>
          </cell>
          <cell r="AW962">
            <v>4626.1682242990646</v>
          </cell>
          <cell r="AX962">
            <v>4626.1682242990646</v>
          </cell>
          <cell r="AY962">
            <v>4626.1682242990646</v>
          </cell>
          <cell r="AZ962">
            <v>4626.1682242990646</v>
          </cell>
          <cell r="BA962">
            <v>0</v>
          </cell>
          <cell r="BB962">
            <v>0</v>
          </cell>
          <cell r="BC962">
            <v>0</v>
          </cell>
          <cell r="BD962">
            <v>2102.8037383177566</v>
          </cell>
          <cell r="BE962">
            <v>2102.8037383177566</v>
          </cell>
          <cell r="BF962">
            <v>2102.8037383177566</v>
          </cell>
          <cell r="BG962">
            <v>2102.8037383177566</v>
          </cell>
          <cell r="BH962">
            <v>2102.8037383177566</v>
          </cell>
          <cell r="BI962">
            <v>2102.8037383177566</v>
          </cell>
          <cell r="BJ962">
            <v>2102.8037383177566</v>
          </cell>
          <cell r="BK962">
            <v>1261.6822429906542</v>
          </cell>
          <cell r="BL962">
            <v>1261.6822429906542</v>
          </cell>
          <cell r="BM962">
            <v>1261.6822429906542</v>
          </cell>
          <cell r="BN962">
            <v>1261.6822429906542</v>
          </cell>
          <cell r="BO962">
            <v>1261.6822429906542</v>
          </cell>
          <cell r="BP962">
            <v>1261.6822429906542</v>
          </cell>
          <cell r="BQ962">
            <v>1261.6822429906542</v>
          </cell>
          <cell r="BR962">
            <v>1261.6822429906542</v>
          </cell>
          <cell r="BS962">
            <v>1261.6822429906542</v>
          </cell>
          <cell r="BT962">
            <v>1261.6822429906542</v>
          </cell>
          <cell r="BU962">
            <v>1261.6822429906542</v>
          </cell>
          <cell r="BV962">
            <v>1261.6822429906542</v>
          </cell>
        </row>
        <row r="963">
          <cell r="A963" t="str">
            <v>CDPO</v>
          </cell>
          <cell r="B963" t="str">
            <v>P64/CR3/OV64</v>
          </cell>
          <cell r="D963" t="str">
            <v>P64 - VNL</v>
          </cell>
          <cell r="E963">
            <v>5.9661</v>
          </cell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</row>
        <row r="964">
          <cell r="A964" t="str">
            <v>CDPO</v>
          </cell>
          <cell r="B964" t="str">
            <v>P64/CR3/OV64</v>
          </cell>
          <cell r="D964" t="str">
            <v>P64 - LTH</v>
          </cell>
          <cell r="E964">
            <v>6.4889999999999999</v>
          </cell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</row>
        <row r="965">
          <cell r="A965" t="str">
            <v>CDPO</v>
          </cell>
          <cell r="B965" t="str">
            <v>P64/CR3/OV64</v>
          </cell>
          <cell r="D965" t="str">
            <v>CR3</v>
          </cell>
          <cell r="E965">
            <v>6.4161000000000001</v>
          </cell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</row>
        <row r="966">
          <cell r="A966" t="str">
            <v>CDPO</v>
          </cell>
          <cell r="B966" t="str">
            <v>P64/CR3/OV64</v>
          </cell>
          <cell r="D966" t="str">
            <v>OV64 - LTH</v>
          </cell>
          <cell r="E966">
            <v>6.4889999999999999</v>
          </cell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</row>
        <row r="967">
          <cell r="A967" t="str">
            <v>CDPO</v>
          </cell>
          <cell r="B967" t="str">
            <v>P64/CR3/OV64</v>
          </cell>
          <cell r="D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</row>
        <row r="968">
          <cell r="A968" t="str">
            <v>CDPO</v>
          </cell>
          <cell r="B968" t="str">
            <v>P64/CR3/OV64</v>
          </cell>
          <cell r="D968" t="str">
            <v>Weekly Output PLAN - SUM of models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</row>
        <row r="969">
          <cell r="A969" t="str">
            <v>CDPO</v>
          </cell>
          <cell r="B969" t="str">
            <v>P64/CR3/OV64</v>
          </cell>
          <cell r="D969" t="str">
            <v>Weekly Output CHECK with TO time multiple</v>
          </cell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</row>
        <row r="970">
          <cell r="A970" t="str">
            <v>CDPO</v>
          </cell>
          <cell r="B970" t="str">
            <v>P64/CR3/OV64</v>
          </cell>
          <cell r="D970" t="str">
            <v>Weekly Output ACT</v>
          </cell>
          <cell r="Z970">
            <v>3469.6261682242994</v>
          </cell>
          <cell r="AA970">
            <v>3785.0467289719618</v>
          </cell>
          <cell r="AB970">
            <v>3785.0467289719618</v>
          </cell>
          <cell r="AC970">
            <v>4380.8411214953267</v>
          </cell>
          <cell r="AD970">
            <v>2628.5046728971956</v>
          </cell>
          <cell r="AE970">
            <v>4380.8411214953267</v>
          </cell>
          <cell r="AF970">
            <v>4380.8411214953267</v>
          </cell>
          <cell r="AG970">
            <v>4818.9252336448599</v>
          </cell>
          <cell r="AH970">
            <v>4818.9252336448599</v>
          </cell>
          <cell r="AI970">
            <v>4818.9252336448599</v>
          </cell>
          <cell r="AJ970">
            <v>4818.9252336448599</v>
          </cell>
          <cell r="AK970">
            <v>3855.1401869158876</v>
          </cell>
          <cell r="AL970">
            <v>3855.1401869158876</v>
          </cell>
          <cell r="AM970">
            <v>4818.9252336448599</v>
          </cell>
          <cell r="AN970">
            <v>3855.1401869158876</v>
          </cell>
          <cell r="AO970">
            <v>4818.9252336448599</v>
          </cell>
          <cell r="AP970">
            <v>4818.9252336448599</v>
          </cell>
          <cell r="AQ970">
            <v>4818.9252336448599</v>
          </cell>
          <cell r="AR970">
            <v>4818.9252336448599</v>
          </cell>
          <cell r="AS970">
            <v>4626.1682242990646</v>
          </cell>
          <cell r="AT970">
            <v>4626.1682242990646</v>
          </cell>
          <cell r="AU970">
            <v>4626.1682242990646</v>
          </cell>
          <cell r="AV970">
            <v>4626.1682242990646</v>
          </cell>
          <cell r="AW970">
            <v>4626.1682242990646</v>
          </cell>
          <cell r="AX970">
            <v>4626.1682242990646</v>
          </cell>
          <cell r="AY970">
            <v>4626.1682242990646</v>
          </cell>
          <cell r="AZ970">
            <v>4626.1682242990646</v>
          </cell>
          <cell r="BA970">
            <v>0</v>
          </cell>
          <cell r="BB970">
            <v>0</v>
          </cell>
          <cell r="BC970">
            <v>0</v>
          </cell>
          <cell r="BD970">
            <v>2102.8037383177566</v>
          </cell>
          <cell r="BE970">
            <v>2102.8037383177566</v>
          </cell>
          <cell r="BF970">
            <v>2102.8037383177566</v>
          </cell>
          <cell r="BG970">
            <v>2102.8037383177566</v>
          </cell>
          <cell r="BH970">
            <v>2102.8037383177566</v>
          </cell>
          <cell r="BI970">
            <v>2102.8037383177566</v>
          </cell>
          <cell r="BJ970">
            <v>2102.8037383177566</v>
          </cell>
          <cell r="BK970">
            <v>1261.6822429906542</v>
          </cell>
          <cell r="BL970">
            <v>1261.6822429906542</v>
          </cell>
          <cell r="BM970">
            <v>1261.6822429906542</v>
          </cell>
          <cell r="BN970">
            <v>1261.6822429906542</v>
          </cell>
          <cell r="BO970">
            <v>1261.6822429906542</v>
          </cell>
          <cell r="BP970">
            <v>1261.6822429906542</v>
          </cell>
          <cell r="BQ970">
            <v>1261.6822429906542</v>
          </cell>
          <cell r="BR970">
            <v>1261.6822429906542</v>
          </cell>
          <cell r="BS970">
            <v>1261.6822429906542</v>
          </cell>
          <cell r="BT970">
            <v>1261.6822429906542</v>
          </cell>
          <cell r="BU970">
            <v>1261.6822429906542</v>
          </cell>
          <cell r="BV970">
            <v>1261.6822429906542</v>
          </cell>
        </row>
        <row r="971">
          <cell r="A971" t="str">
            <v>CDPO</v>
          </cell>
          <cell r="B971" t="str">
            <v>P64/CR3/OV64</v>
          </cell>
          <cell r="D971" t="str">
            <v>P64 - VNL</v>
          </cell>
          <cell r="Z971">
            <v>4223.1861198738161</v>
          </cell>
          <cell r="AA971">
            <v>4223.1861198738161</v>
          </cell>
          <cell r="AB971">
            <v>4223.1861198738161</v>
          </cell>
          <cell r="AC971">
            <v>4223.1861198738161</v>
          </cell>
          <cell r="AD971">
            <v>2895.8990536277597</v>
          </cell>
          <cell r="AE971">
            <v>4223.1861198738161</v>
          </cell>
          <cell r="AF971">
            <v>4826.4984227129335</v>
          </cell>
          <cell r="AG971">
            <v>4826.4984227129335</v>
          </cell>
          <cell r="AH971">
            <v>4826.4984227129335</v>
          </cell>
          <cell r="AI971">
            <v>4223.1861198738161</v>
          </cell>
          <cell r="AJ971">
            <v>4826.4984227129335</v>
          </cell>
          <cell r="AK971">
            <v>3861.1987381703466</v>
          </cell>
          <cell r="AL971">
            <v>3861.1987381703466</v>
          </cell>
          <cell r="AM971">
            <v>4826.4984227129335</v>
          </cell>
          <cell r="AN971">
            <v>3861.1987381703466</v>
          </cell>
          <cell r="AO971">
            <v>4826.4984227129335</v>
          </cell>
          <cell r="AP971">
            <v>4826.4984227129335</v>
          </cell>
          <cell r="AQ971">
            <v>4826.4984227129335</v>
          </cell>
          <cell r="AR971">
            <v>4826.4984227129335</v>
          </cell>
          <cell r="AS971">
            <v>4826.4984227129335</v>
          </cell>
          <cell r="AT971">
            <v>4826.4984227129335</v>
          </cell>
          <cell r="AU971">
            <v>4826.4984227129335</v>
          </cell>
          <cell r="AV971">
            <v>4826.4984227129335</v>
          </cell>
          <cell r="AW971">
            <v>4826.4984227129335</v>
          </cell>
          <cell r="AX971">
            <v>4826.4984227129335</v>
          </cell>
          <cell r="AY971">
            <v>2413.2492113564667</v>
          </cell>
          <cell r="AZ971">
            <v>2413.2492113564667</v>
          </cell>
          <cell r="BA971">
            <v>2413.2492113564667</v>
          </cell>
          <cell r="BB971">
            <v>3016.5615141955832</v>
          </cell>
          <cell r="BC971">
            <v>0</v>
          </cell>
          <cell r="BD971">
            <v>0</v>
          </cell>
          <cell r="BE971">
            <v>2413.2492113564667</v>
          </cell>
          <cell r="BF971">
            <v>2413.2492113564667</v>
          </cell>
          <cell r="BG971">
            <v>2413.2492113564667</v>
          </cell>
          <cell r="BH971">
            <v>2413.2492113564667</v>
          </cell>
          <cell r="BI971">
            <v>2413.2492113564667</v>
          </cell>
          <cell r="BJ971">
            <v>2413.2492113564667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</row>
        <row r="972">
          <cell r="A972" t="str">
            <v>CDPO</v>
          </cell>
          <cell r="B972" t="str">
            <v>P64/CR3/OV64</v>
          </cell>
          <cell r="D972" t="str">
            <v>P64 - LTH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</row>
        <row r="973">
          <cell r="A973" t="str">
            <v>CDPO</v>
          </cell>
          <cell r="B973" t="str">
            <v>P64/CR3/OV64</v>
          </cell>
          <cell r="D973" t="str">
            <v>CR3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</row>
        <row r="974">
          <cell r="A974" t="str">
            <v>CDPO</v>
          </cell>
          <cell r="B974" t="str">
            <v>P64/CR3/OV64</v>
          </cell>
          <cell r="D974" t="str">
            <v>OV64 - LTH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</row>
        <row r="975">
          <cell r="A975" t="str">
            <v>CDPO</v>
          </cell>
          <cell r="B975" t="str">
            <v>P64/CR3/OV64</v>
          </cell>
          <cell r="D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</row>
        <row r="976">
          <cell r="A976" t="str">
            <v>CDPO</v>
          </cell>
          <cell r="B976" t="str">
            <v>P64/CR3/OV64</v>
          </cell>
          <cell r="D976" t="str">
            <v>Weekly demand</v>
          </cell>
          <cell r="Z976">
            <v>4223.1861198738161</v>
          </cell>
          <cell r="AA976">
            <v>4223.1861198738161</v>
          </cell>
          <cell r="AB976">
            <v>4223.1861198738161</v>
          </cell>
          <cell r="AC976">
            <v>4223.1861198738161</v>
          </cell>
          <cell r="AD976">
            <v>2895.8990536277597</v>
          </cell>
          <cell r="AE976">
            <v>4223.1861198738161</v>
          </cell>
          <cell r="AF976">
            <v>4826.4984227129335</v>
          </cell>
          <cell r="AG976">
            <v>4826.4984227129335</v>
          </cell>
          <cell r="AH976">
            <v>4826.4984227129335</v>
          </cell>
          <cell r="AI976">
            <v>4223.1861198738161</v>
          </cell>
          <cell r="AJ976">
            <v>4826.4984227129335</v>
          </cell>
          <cell r="AK976">
            <v>3861.1987381703466</v>
          </cell>
          <cell r="AL976">
            <v>3861.1987381703466</v>
          </cell>
          <cell r="AM976">
            <v>4826.4984227129335</v>
          </cell>
          <cell r="AN976">
            <v>3861.1987381703466</v>
          </cell>
          <cell r="AO976">
            <v>4826.4984227129335</v>
          </cell>
          <cell r="AP976">
            <v>4826.4984227129335</v>
          </cell>
          <cell r="AQ976">
            <v>4826.4984227129335</v>
          </cell>
          <cell r="AR976">
            <v>4826.4984227129335</v>
          </cell>
          <cell r="AS976">
            <v>4826.4984227129335</v>
          </cell>
          <cell r="AT976">
            <v>4826.4984227129335</v>
          </cell>
          <cell r="AU976">
            <v>4826.4984227129335</v>
          </cell>
          <cell r="AV976">
            <v>4826.4984227129335</v>
          </cell>
          <cell r="AW976">
            <v>4826.4984227129335</v>
          </cell>
          <cell r="AX976">
            <v>4826.4984227129335</v>
          </cell>
          <cell r="AY976">
            <v>2413.2492113564667</v>
          </cell>
          <cell r="AZ976">
            <v>2413.2492113564667</v>
          </cell>
          <cell r="BA976">
            <v>2413.2492113564667</v>
          </cell>
          <cell r="BB976">
            <v>3016.5615141955832</v>
          </cell>
          <cell r="BC976">
            <v>0</v>
          </cell>
          <cell r="BD976">
            <v>0</v>
          </cell>
          <cell r="BE976">
            <v>2413.2492113564667</v>
          </cell>
          <cell r="BF976">
            <v>2413.2492113564667</v>
          </cell>
          <cell r="BG976">
            <v>2413.2492113564667</v>
          </cell>
          <cell r="BH976">
            <v>2413.2492113564667</v>
          </cell>
          <cell r="BI976">
            <v>2413.2492113564667</v>
          </cell>
          <cell r="BJ976">
            <v>2413.2492113564667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</row>
        <row r="977">
          <cell r="A977" t="str">
            <v>CDPO</v>
          </cell>
          <cell r="B977" t="str">
            <v>P64/CR3/OV64</v>
          </cell>
          <cell r="D977" t="str">
            <v>Stock Target</v>
          </cell>
          <cell r="Z977">
            <v>2000</v>
          </cell>
          <cell r="AA977">
            <v>2000</v>
          </cell>
          <cell r="AB977">
            <v>2000</v>
          </cell>
          <cell r="AC977">
            <v>2000</v>
          </cell>
          <cell r="AD977">
            <v>2000</v>
          </cell>
          <cell r="AE977">
            <v>2000</v>
          </cell>
          <cell r="AF977">
            <v>2000</v>
          </cell>
          <cell r="AG977">
            <v>2000</v>
          </cell>
          <cell r="AH977">
            <v>2000</v>
          </cell>
          <cell r="AI977">
            <v>2000</v>
          </cell>
          <cell r="AJ977">
            <v>2000</v>
          </cell>
          <cell r="AK977">
            <v>2000</v>
          </cell>
          <cell r="AL977">
            <v>2000</v>
          </cell>
          <cell r="AM977">
            <v>2000</v>
          </cell>
          <cell r="AN977">
            <v>2000</v>
          </cell>
          <cell r="AO977">
            <v>2000</v>
          </cell>
          <cell r="AP977">
            <v>2000</v>
          </cell>
          <cell r="AQ977">
            <v>2000</v>
          </cell>
          <cell r="AR977">
            <v>2000</v>
          </cell>
          <cell r="AS977">
            <v>2000</v>
          </cell>
          <cell r="AT977">
            <v>2000</v>
          </cell>
          <cell r="AU977">
            <v>2000</v>
          </cell>
          <cell r="AV977">
            <v>2000</v>
          </cell>
          <cell r="AW977">
            <v>2000</v>
          </cell>
          <cell r="AX977">
            <v>2000</v>
          </cell>
          <cell r="AY977">
            <v>2000</v>
          </cell>
          <cell r="AZ977">
            <v>2000</v>
          </cell>
          <cell r="BA977">
            <v>2000</v>
          </cell>
          <cell r="BB977">
            <v>2000</v>
          </cell>
          <cell r="BC977">
            <v>2000</v>
          </cell>
          <cell r="BD977">
            <v>2000</v>
          </cell>
          <cell r="BE977">
            <v>2000</v>
          </cell>
          <cell r="BF977">
            <v>2000</v>
          </cell>
          <cell r="BG977">
            <v>2000</v>
          </cell>
          <cell r="BH977">
            <v>2000</v>
          </cell>
          <cell r="BI977">
            <v>2000</v>
          </cell>
          <cell r="BJ977">
            <v>2000</v>
          </cell>
          <cell r="BK977">
            <v>2000</v>
          </cell>
          <cell r="BL977">
            <v>2000</v>
          </cell>
          <cell r="BM977">
            <v>2000</v>
          </cell>
          <cell r="BN977">
            <v>2000</v>
          </cell>
          <cell r="BO977">
            <v>2000</v>
          </cell>
          <cell r="BP977">
            <v>2000</v>
          </cell>
          <cell r="BQ977">
            <v>2000</v>
          </cell>
          <cell r="BR977">
            <v>2000</v>
          </cell>
          <cell r="BS977">
            <v>2000</v>
          </cell>
          <cell r="BT977">
            <v>2000</v>
          </cell>
          <cell r="BU977">
            <v>2000</v>
          </cell>
          <cell r="BV977">
            <v>2000</v>
          </cell>
        </row>
        <row r="978">
          <cell r="A978" t="str">
            <v>CDPO</v>
          </cell>
          <cell r="B978" t="str">
            <v>P64/CR3/OV64</v>
          </cell>
          <cell r="D978" t="str">
            <v>P64 - VNL</v>
          </cell>
          <cell r="Z978">
            <v>0</v>
          </cell>
          <cell r="AA978">
            <v>120</v>
          </cell>
          <cell r="AB978">
            <v>-4103.1861198738161</v>
          </cell>
          <cell r="AC978">
            <v>-8326.3722397476322</v>
          </cell>
          <cell r="AD978">
            <v>-11222.271293375392</v>
          </cell>
          <cell r="AE978">
            <v>-15445.457413249209</v>
          </cell>
          <cell r="AF978">
            <v>-20271.955835962144</v>
          </cell>
          <cell r="AG978">
            <v>-25098.454258675076</v>
          </cell>
          <cell r="AH978">
            <v>-29924.952681388007</v>
          </cell>
          <cell r="AI978">
            <v>-34148.138801261826</v>
          </cell>
          <cell r="AJ978">
            <v>-38974.637223974758</v>
          </cell>
          <cell r="AK978">
            <v>-42835.835962145102</v>
          </cell>
          <cell r="AL978">
            <v>-46697.034700315446</v>
          </cell>
          <cell r="AM978">
            <v>-51523.533123028377</v>
          </cell>
          <cell r="AN978">
            <v>-55384.731861198721</v>
          </cell>
          <cell r="AO978">
            <v>-60211.230283911653</v>
          </cell>
          <cell r="AP978">
            <v>-65037.728706624584</v>
          </cell>
          <cell r="AQ978">
            <v>-69864.227129337523</v>
          </cell>
          <cell r="AR978">
            <v>-74690.725552050455</v>
          </cell>
          <cell r="AS978">
            <v>-79517.223974763387</v>
          </cell>
          <cell r="AT978">
            <v>-84343.722397476318</v>
          </cell>
          <cell r="AU978">
            <v>-89170.22082018925</v>
          </cell>
          <cell r="AV978">
            <v>-93996.719242902182</v>
          </cell>
          <cell r="AW978">
            <v>-98823.217665615113</v>
          </cell>
          <cell r="AX978">
            <v>-103649.71608832804</v>
          </cell>
          <cell r="AY978">
            <v>-106062.96529968451</v>
          </cell>
          <cell r="AZ978">
            <v>-108476.21451104098</v>
          </cell>
          <cell r="BA978">
            <v>-110889.46372239744</v>
          </cell>
          <cell r="BB978">
            <v>-113906.02523659302</v>
          </cell>
          <cell r="BC978">
            <v>-113906.02523659302</v>
          </cell>
          <cell r="BD978">
            <v>-113906.02523659302</v>
          </cell>
          <cell r="BE978">
            <v>-116319.27444794949</v>
          </cell>
          <cell r="BF978">
            <v>-118732.52365930595</v>
          </cell>
          <cell r="BG978">
            <v>-121145.77287066242</v>
          </cell>
          <cell r="BH978">
            <v>-123559.02208201888</v>
          </cell>
          <cell r="BI978">
            <v>-125972.27129337535</v>
          </cell>
          <cell r="BJ978">
            <v>-128385.52050473182</v>
          </cell>
          <cell r="BK978">
            <v>-128385.52050473182</v>
          </cell>
          <cell r="BL978">
            <v>-128385.52050473182</v>
          </cell>
          <cell r="BM978">
            <v>-128385.52050473182</v>
          </cell>
          <cell r="BN978">
            <v>-128385.52050473182</v>
          </cell>
          <cell r="BO978">
            <v>-128385.52050473182</v>
          </cell>
          <cell r="BP978">
            <v>-128385.52050473182</v>
          </cell>
          <cell r="BQ978">
            <v>-128385.52050473182</v>
          </cell>
          <cell r="BR978">
            <v>-128385.52050473182</v>
          </cell>
          <cell r="BS978">
            <v>-128385.52050473182</v>
          </cell>
          <cell r="BT978">
            <v>-128385.52050473182</v>
          </cell>
          <cell r="BU978">
            <v>-128385.52050473182</v>
          </cell>
          <cell r="BV978">
            <v>-128385.52050473182</v>
          </cell>
        </row>
        <row r="979">
          <cell r="A979" t="str">
            <v>CDPO</v>
          </cell>
          <cell r="B979" t="str">
            <v>P64/CR3/OV64</v>
          </cell>
          <cell r="D979" t="str">
            <v>P64 - LTH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</row>
        <row r="980">
          <cell r="A980" t="str">
            <v>CDPO</v>
          </cell>
          <cell r="B980" t="str">
            <v>P64/CR3/OV64</v>
          </cell>
          <cell r="D980" t="str">
            <v>CR3</v>
          </cell>
          <cell r="Z980">
            <v>1686</v>
          </cell>
          <cell r="AA980">
            <v>546</v>
          </cell>
          <cell r="AB980">
            <v>546</v>
          </cell>
          <cell r="AC980">
            <v>546</v>
          </cell>
          <cell r="AD980">
            <v>546</v>
          </cell>
          <cell r="AE980">
            <v>546</v>
          </cell>
          <cell r="AF980">
            <v>546</v>
          </cell>
          <cell r="AG980">
            <v>546</v>
          </cell>
          <cell r="AH980">
            <v>546</v>
          </cell>
          <cell r="AI980">
            <v>546</v>
          </cell>
          <cell r="AJ980">
            <v>546</v>
          </cell>
          <cell r="AK980">
            <v>546</v>
          </cell>
          <cell r="AL980">
            <v>546</v>
          </cell>
          <cell r="AM980">
            <v>546</v>
          </cell>
          <cell r="AN980">
            <v>546</v>
          </cell>
          <cell r="AO980">
            <v>546</v>
          </cell>
          <cell r="AP980">
            <v>546</v>
          </cell>
          <cell r="AQ980">
            <v>546</v>
          </cell>
          <cell r="AR980">
            <v>546</v>
          </cell>
          <cell r="AS980">
            <v>546</v>
          </cell>
          <cell r="AT980">
            <v>546</v>
          </cell>
          <cell r="AU980">
            <v>546</v>
          </cell>
          <cell r="AV980">
            <v>546</v>
          </cell>
          <cell r="AW980">
            <v>546</v>
          </cell>
          <cell r="AX980">
            <v>546</v>
          </cell>
          <cell r="AY980">
            <v>546</v>
          </cell>
          <cell r="AZ980">
            <v>546</v>
          </cell>
          <cell r="BA980">
            <v>546</v>
          </cell>
          <cell r="BB980">
            <v>546</v>
          </cell>
          <cell r="BC980">
            <v>546</v>
          </cell>
          <cell r="BD980">
            <v>546</v>
          </cell>
          <cell r="BE980">
            <v>546</v>
          </cell>
          <cell r="BF980">
            <v>546</v>
          </cell>
          <cell r="BG980">
            <v>546</v>
          </cell>
          <cell r="BH980">
            <v>546</v>
          </cell>
          <cell r="BI980">
            <v>546</v>
          </cell>
          <cell r="BJ980">
            <v>546</v>
          </cell>
          <cell r="BK980">
            <v>546</v>
          </cell>
          <cell r="BL980">
            <v>546</v>
          </cell>
          <cell r="BM980">
            <v>546</v>
          </cell>
          <cell r="BN980">
            <v>546</v>
          </cell>
          <cell r="BO980">
            <v>546</v>
          </cell>
          <cell r="BP980">
            <v>546</v>
          </cell>
          <cell r="BQ980">
            <v>546</v>
          </cell>
          <cell r="BR980">
            <v>546</v>
          </cell>
          <cell r="BS980">
            <v>546</v>
          </cell>
          <cell r="BT980">
            <v>546</v>
          </cell>
          <cell r="BU980">
            <v>546</v>
          </cell>
          <cell r="BV980">
            <v>546</v>
          </cell>
        </row>
        <row r="981">
          <cell r="A981" t="str">
            <v>CDPO</v>
          </cell>
          <cell r="B981" t="str">
            <v>P64/CR3/OV64</v>
          </cell>
          <cell r="D981" t="str">
            <v>OV64 - LTH</v>
          </cell>
          <cell r="Z981">
            <v>520</v>
          </cell>
          <cell r="AA981">
            <v>440</v>
          </cell>
          <cell r="AB981">
            <v>440</v>
          </cell>
          <cell r="AC981">
            <v>440</v>
          </cell>
          <cell r="AD981">
            <v>440</v>
          </cell>
          <cell r="AE981">
            <v>440</v>
          </cell>
          <cell r="AF981">
            <v>440</v>
          </cell>
          <cell r="AG981">
            <v>440</v>
          </cell>
          <cell r="AH981">
            <v>440</v>
          </cell>
          <cell r="AI981">
            <v>440</v>
          </cell>
          <cell r="AJ981">
            <v>440</v>
          </cell>
          <cell r="AK981">
            <v>440</v>
          </cell>
          <cell r="AL981">
            <v>440</v>
          </cell>
          <cell r="AM981">
            <v>440</v>
          </cell>
          <cell r="AN981">
            <v>440</v>
          </cell>
          <cell r="AO981">
            <v>440</v>
          </cell>
          <cell r="AP981">
            <v>440</v>
          </cell>
          <cell r="AQ981">
            <v>440</v>
          </cell>
          <cell r="AR981">
            <v>440</v>
          </cell>
          <cell r="AS981">
            <v>440</v>
          </cell>
          <cell r="AT981">
            <v>440</v>
          </cell>
          <cell r="AU981">
            <v>440</v>
          </cell>
          <cell r="AV981">
            <v>440</v>
          </cell>
          <cell r="AW981">
            <v>440</v>
          </cell>
          <cell r="AX981">
            <v>440</v>
          </cell>
          <cell r="AY981">
            <v>440</v>
          </cell>
          <cell r="AZ981">
            <v>440</v>
          </cell>
          <cell r="BA981">
            <v>440</v>
          </cell>
          <cell r="BB981">
            <v>440</v>
          </cell>
          <cell r="BC981">
            <v>440</v>
          </cell>
          <cell r="BD981">
            <v>440</v>
          </cell>
          <cell r="BE981">
            <v>440</v>
          </cell>
          <cell r="BF981">
            <v>440</v>
          </cell>
          <cell r="BG981">
            <v>440</v>
          </cell>
          <cell r="BH981">
            <v>440</v>
          </cell>
          <cell r="BI981">
            <v>440</v>
          </cell>
          <cell r="BJ981">
            <v>440</v>
          </cell>
          <cell r="BK981">
            <v>440</v>
          </cell>
          <cell r="BL981">
            <v>440</v>
          </cell>
          <cell r="BM981">
            <v>440</v>
          </cell>
          <cell r="BN981">
            <v>440</v>
          </cell>
          <cell r="BO981">
            <v>440</v>
          </cell>
          <cell r="BP981">
            <v>440</v>
          </cell>
          <cell r="BQ981">
            <v>440</v>
          </cell>
          <cell r="BR981">
            <v>440</v>
          </cell>
          <cell r="BS981">
            <v>440</v>
          </cell>
          <cell r="BT981">
            <v>440</v>
          </cell>
          <cell r="BU981">
            <v>440</v>
          </cell>
          <cell r="BV981">
            <v>440</v>
          </cell>
        </row>
        <row r="982">
          <cell r="A982" t="str">
            <v>CDPO</v>
          </cell>
          <cell r="B982" t="str">
            <v>P64/CR3/OV64</v>
          </cell>
          <cell r="D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</row>
        <row r="983">
          <cell r="A983" t="str">
            <v>CDPO</v>
          </cell>
          <cell r="B983" t="str">
            <v>P64/CR3/OV64</v>
          </cell>
          <cell r="D983" t="str">
            <v>STOCK</v>
          </cell>
          <cell r="Z983">
            <v>2206</v>
          </cell>
          <cell r="AA983">
            <v>1767.8606090981457</v>
          </cell>
          <cell r="AB983">
            <v>1329.7212181962914</v>
          </cell>
          <cell r="AC983">
            <v>1487.3762198178019</v>
          </cell>
          <cell r="AD983">
            <v>1219.9818390872379</v>
          </cell>
          <cell r="AE983">
            <v>1377.6368407087484</v>
          </cell>
          <cell r="AF983">
            <v>931.97953949114162</v>
          </cell>
          <cell r="AG983">
            <v>924.40635042306803</v>
          </cell>
          <cell r="AH983">
            <v>916.83316135499444</v>
          </cell>
          <cell r="AI983">
            <v>1512.5722751260382</v>
          </cell>
          <cell r="AJ983">
            <v>1504.9990860579646</v>
          </cell>
          <cell r="AK983">
            <v>1498.9405348035057</v>
          </cell>
          <cell r="AL983">
            <v>1492.8819835490467</v>
          </cell>
          <cell r="AM983">
            <v>1485.3087944809731</v>
          </cell>
          <cell r="AN983">
            <v>1479.2502432265142</v>
          </cell>
          <cell r="AO983">
            <v>1471.6770541584406</v>
          </cell>
          <cell r="AP983">
            <v>1464.103865090367</v>
          </cell>
          <cell r="AQ983">
            <v>1456.5306760222934</v>
          </cell>
          <cell r="AR983">
            <v>1448.9574869542198</v>
          </cell>
          <cell r="AS983">
            <v>1248.6272885403509</v>
          </cell>
          <cell r="AT983">
            <v>1048.2970901264821</v>
          </cell>
          <cell r="AU983">
            <v>847.96689171261323</v>
          </cell>
          <cell r="AV983">
            <v>647.63669329874438</v>
          </cell>
          <cell r="AW983">
            <v>447.30649488487506</v>
          </cell>
          <cell r="AX983">
            <v>246.97629647100621</v>
          </cell>
          <cell r="AY983">
            <v>2459.8953094136041</v>
          </cell>
          <cell r="AZ983">
            <v>4672.814322356202</v>
          </cell>
          <cell r="BA983">
            <v>2259.5651109997352</v>
          </cell>
          <cell r="BB983">
            <v>-756.99640319584796</v>
          </cell>
          <cell r="BC983">
            <v>-756.99640319584796</v>
          </cell>
          <cell r="BD983">
            <v>1345.8073351219086</v>
          </cell>
          <cell r="BE983">
            <v>1035.3618620831985</v>
          </cell>
          <cell r="BF983">
            <v>724.91638904448837</v>
          </cell>
          <cell r="BG983">
            <v>414.47091600577824</v>
          </cell>
          <cell r="BH983">
            <v>104.0254429670681</v>
          </cell>
          <cell r="BI983">
            <v>-206.42003007164203</v>
          </cell>
          <cell r="BJ983">
            <v>-516.86550311035217</v>
          </cell>
          <cell r="BK983">
            <v>744.81673988030207</v>
          </cell>
          <cell r="BL983">
            <v>2006.4989828709563</v>
          </cell>
          <cell r="BM983">
            <v>3268.1812258616105</v>
          </cell>
          <cell r="BN983">
            <v>4529.8634688522652</v>
          </cell>
          <cell r="BO983">
            <v>5791.5457118429194</v>
          </cell>
          <cell r="BP983">
            <v>7053.2279548335737</v>
          </cell>
          <cell r="BQ983">
            <v>8314.9101978242288</v>
          </cell>
          <cell r="BR983">
            <v>9576.5924408148821</v>
          </cell>
          <cell r="BS983">
            <v>10838.274683805535</v>
          </cell>
          <cell r="BT983">
            <v>12099.956926796189</v>
          </cell>
          <cell r="BU983">
            <v>13361.639169786842</v>
          </cell>
          <cell r="BV983">
            <v>14623.321412777495</v>
          </cell>
        </row>
        <row r="984">
          <cell r="A984" t="str">
            <v>Blank</v>
          </cell>
          <cell r="B984" t="str">
            <v>Blank</v>
          </cell>
          <cell r="D984" t="str">
            <v>Blank</v>
          </cell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</row>
        <row r="985">
          <cell r="A985" t="str">
            <v>CDPO</v>
          </cell>
          <cell r="B985" t="str">
            <v>P74</v>
          </cell>
          <cell r="D985" t="str">
            <v>Work days</v>
          </cell>
          <cell r="Z985">
            <v>5</v>
          </cell>
          <cell r="AA985">
            <v>5</v>
          </cell>
          <cell r="AB985">
            <v>5</v>
          </cell>
          <cell r="AC985">
            <v>5</v>
          </cell>
          <cell r="AD985">
            <v>3</v>
          </cell>
          <cell r="AE985">
            <v>5</v>
          </cell>
          <cell r="AF985">
            <v>5</v>
          </cell>
          <cell r="AG985">
            <v>5</v>
          </cell>
          <cell r="AH985">
            <v>5</v>
          </cell>
          <cell r="AI985">
            <v>5</v>
          </cell>
          <cell r="AJ985">
            <v>5</v>
          </cell>
          <cell r="AK985">
            <v>4</v>
          </cell>
          <cell r="AL985">
            <v>4</v>
          </cell>
          <cell r="AM985">
            <v>5</v>
          </cell>
          <cell r="AN985">
            <v>4</v>
          </cell>
          <cell r="AO985">
            <v>5</v>
          </cell>
          <cell r="AP985">
            <v>5</v>
          </cell>
          <cell r="AQ985">
            <v>5</v>
          </cell>
          <cell r="AR985">
            <v>5</v>
          </cell>
          <cell r="AS985">
            <v>5</v>
          </cell>
          <cell r="AT985">
            <v>5</v>
          </cell>
          <cell r="AU985">
            <v>5</v>
          </cell>
          <cell r="AV985">
            <v>5</v>
          </cell>
          <cell r="AW985">
            <v>5</v>
          </cell>
          <cell r="AX985">
            <v>5</v>
          </cell>
          <cell r="AY985">
            <v>5</v>
          </cell>
          <cell r="AZ985">
            <v>5</v>
          </cell>
          <cell r="BA985">
            <v>0</v>
          </cell>
          <cell r="BB985">
            <v>0</v>
          </cell>
          <cell r="BC985">
            <v>5</v>
          </cell>
          <cell r="BD985">
            <v>5</v>
          </cell>
          <cell r="BE985">
            <v>5</v>
          </cell>
          <cell r="BF985">
            <v>5</v>
          </cell>
          <cell r="BG985">
            <v>5</v>
          </cell>
          <cell r="BH985">
            <v>5</v>
          </cell>
          <cell r="BI985">
            <v>5</v>
          </cell>
          <cell r="BJ985">
            <v>5</v>
          </cell>
          <cell r="BK985">
            <v>5</v>
          </cell>
          <cell r="BL985">
            <v>5</v>
          </cell>
          <cell r="BM985">
            <v>5</v>
          </cell>
          <cell r="BN985">
            <v>5</v>
          </cell>
          <cell r="BO985">
            <v>5</v>
          </cell>
          <cell r="BP985">
            <v>5</v>
          </cell>
          <cell r="BQ985">
            <v>5</v>
          </cell>
          <cell r="BR985">
            <v>5</v>
          </cell>
          <cell r="BS985">
            <v>5</v>
          </cell>
          <cell r="BT985">
            <v>5</v>
          </cell>
          <cell r="BU985">
            <v>5</v>
          </cell>
          <cell r="BV985">
            <v>5</v>
          </cell>
        </row>
        <row r="986">
          <cell r="A986" t="str">
            <v>CDPO</v>
          </cell>
          <cell r="B986" t="str">
            <v>P74</v>
          </cell>
          <cell r="D986" t="str">
            <v>SHIFT A HC - operators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3</v>
          </cell>
        </row>
        <row r="987">
          <cell r="A987" t="str">
            <v>CDPO</v>
          </cell>
          <cell r="B987" t="str">
            <v>P74</v>
          </cell>
          <cell r="D987" t="str">
            <v>SHIFT B HC  - operators</v>
          </cell>
          <cell r="Z987">
            <v>3</v>
          </cell>
          <cell r="AA987">
            <v>4</v>
          </cell>
          <cell r="AB987">
            <v>3</v>
          </cell>
          <cell r="AC987">
            <v>3</v>
          </cell>
          <cell r="AD987">
            <v>3</v>
          </cell>
          <cell r="AE987">
            <v>3</v>
          </cell>
          <cell r="AF987">
            <v>3</v>
          </cell>
          <cell r="AG987">
            <v>3</v>
          </cell>
          <cell r="AH987">
            <v>3</v>
          </cell>
          <cell r="AI987">
            <v>3</v>
          </cell>
          <cell r="AJ987">
            <v>3</v>
          </cell>
          <cell r="AK987">
            <v>3</v>
          </cell>
          <cell r="AL987">
            <v>3</v>
          </cell>
          <cell r="AM987">
            <v>3</v>
          </cell>
          <cell r="AN987">
            <v>3</v>
          </cell>
          <cell r="AO987">
            <v>3</v>
          </cell>
          <cell r="AP987">
            <v>3</v>
          </cell>
          <cell r="AQ987">
            <v>3</v>
          </cell>
          <cell r="AR987">
            <v>3</v>
          </cell>
          <cell r="AS987">
            <v>3</v>
          </cell>
          <cell r="AT987">
            <v>2</v>
          </cell>
          <cell r="AU987">
            <v>2</v>
          </cell>
          <cell r="AV987">
            <v>2</v>
          </cell>
          <cell r="AW987">
            <v>1</v>
          </cell>
          <cell r="AX987">
            <v>1</v>
          </cell>
          <cell r="AY987">
            <v>1</v>
          </cell>
          <cell r="AZ987">
            <v>1</v>
          </cell>
          <cell r="BA987">
            <v>1</v>
          </cell>
          <cell r="BB987">
            <v>1</v>
          </cell>
          <cell r="BC987">
            <v>1</v>
          </cell>
          <cell r="BD987">
            <v>1</v>
          </cell>
          <cell r="BE987">
            <v>1</v>
          </cell>
          <cell r="BF987">
            <v>1</v>
          </cell>
          <cell r="BG987">
            <v>1</v>
          </cell>
          <cell r="BH987">
            <v>1</v>
          </cell>
          <cell r="BI987">
            <v>1</v>
          </cell>
          <cell r="BJ987">
            <v>1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</row>
        <row r="988">
          <cell r="A988" t="str">
            <v>CDPO</v>
          </cell>
          <cell r="B988" t="str">
            <v>P74</v>
          </cell>
          <cell r="D988" t="str">
            <v>SHIFT C HC  - operators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</row>
        <row r="989">
          <cell r="A989" t="str">
            <v>CDPO</v>
          </cell>
          <cell r="B989" t="str">
            <v>P74</v>
          </cell>
          <cell r="D989" t="str">
            <v>Total HC</v>
          </cell>
          <cell r="Z989">
            <v>3</v>
          </cell>
          <cell r="AA989">
            <v>4</v>
          </cell>
          <cell r="AB989">
            <v>3</v>
          </cell>
          <cell r="AC989">
            <v>3</v>
          </cell>
          <cell r="AD989">
            <v>3</v>
          </cell>
          <cell r="AE989">
            <v>3</v>
          </cell>
          <cell r="AF989">
            <v>3</v>
          </cell>
          <cell r="AG989">
            <v>3</v>
          </cell>
          <cell r="AH989">
            <v>3</v>
          </cell>
          <cell r="AI989">
            <v>3</v>
          </cell>
          <cell r="AJ989">
            <v>3</v>
          </cell>
          <cell r="AK989">
            <v>3</v>
          </cell>
          <cell r="AL989">
            <v>3</v>
          </cell>
          <cell r="AM989">
            <v>3</v>
          </cell>
          <cell r="AN989">
            <v>3</v>
          </cell>
          <cell r="AO989">
            <v>3</v>
          </cell>
          <cell r="AP989">
            <v>3</v>
          </cell>
          <cell r="AQ989">
            <v>3</v>
          </cell>
          <cell r="AR989">
            <v>3</v>
          </cell>
          <cell r="AS989">
            <v>3</v>
          </cell>
          <cell r="AT989">
            <v>2</v>
          </cell>
          <cell r="AU989">
            <v>2</v>
          </cell>
          <cell r="AV989">
            <v>2</v>
          </cell>
          <cell r="AW989">
            <v>1</v>
          </cell>
          <cell r="AX989">
            <v>1</v>
          </cell>
          <cell r="AY989">
            <v>1</v>
          </cell>
          <cell r="AZ989">
            <v>1</v>
          </cell>
          <cell r="BA989">
            <v>1</v>
          </cell>
          <cell r="BB989">
            <v>1</v>
          </cell>
          <cell r="BC989">
            <v>1</v>
          </cell>
          <cell r="BD989">
            <v>1</v>
          </cell>
          <cell r="BE989">
            <v>1</v>
          </cell>
          <cell r="BF989">
            <v>1</v>
          </cell>
          <cell r="BG989">
            <v>1</v>
          </cell>
          <cell r="BH989">
            <v>1</v>
          </cell>
          <cell r="BI989">
            <v>1</v>
          </cell>
          <cell r="BJ989">
            <v>1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3</v>
          </cell>
        </row>
        <row r="990">
          <cell r="A990" t="str">
            <v>CDPO</v>
          </cell>
          <cell r="B990" t="str">
            <v>P74</v>
          </cell>
          <cell r="D990" t="str">
            <v>SHIFT A HC  - efficiency</v>
          </cell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</row>
        <row r="991">
          <cell r="A991" t="str">
            <v>CDPO</v>
          </cell>
          <cell r="B991" t="str">
            <v>P74</v>
          </cell>
          <cell r="D991" t="str">
            <v>SHIFT B HC  - efficiency</v>
          </cell>
          <cell r="Z991">
            <v>0.85</v>
          </cell>
          <cell r="AA991">
            <v>0.85</v>
          </cell>
          <cell r="AB991">
            <v>0.85</v>
          </cell>
          <cell r="AC991">
            <v>0.85</v>
          </cell>
          <cell r="AD991">
            <v>0.85</v>
          </cell>
          <cell r="AE991">
            <v>0.85</v>
          </cell>
          <cell r="AF991">
            <v>0.85</v>
          </cell>
          <cell r="AG991">
            <v>0.85</v>
          </cell>
          <cell r="AH991">
            <v>0.85</v>
          </cell>
          <cell r="AI991">
            <v>0.85</v>
          </cell>
          <cell r="AJ991">
            <v>0.85</v>
          </cell>
          <cell r="AK991">
            <v>0.85</v>
          </cell>
          <cell r="AL991">
            <v>0.85</v>
          </cell>
          <cell r="AM991">
            <v>0.85</v>
          </cell>
          <cell r="AN991">
            <v>0.85</v>
          </cell>
          <cell r="AO991">
            <v>0.85</v>
          </cell>
          <cell r="AP991">
            <v>0.85</v>
          </cell>
          <cell r="AQ991">
            <v>0.85</v>
          </cell>
          <cell r="AR991">
            <v>0.85</v>
          </cell>
          <cell r="AS991">
            <v>0.85</v>
          </cell>
          <cell r="AT991">
            <v>0.85</v>
          </cell>
          <cell r="AU991">
            <v>0.85</v>
          </cell>
          <cell r="AV991">
            <v>0.85</v>
          </cell>
          <cell r="AW991">
            <v>0.85</v>
          </cell>
          <cell r="AX991">
            <v>0.85</v>
          </cell>
          <cell r="AY991">
            <v>0.85</v>
          </cell>
          <cell r="AZ991">
            <v>0.85</v>
          </cell>
          <cell r="BA991">
            <v>0.85</v>
          </cell>
          <cell r="BB991">
            <v>0.85</v>
          </cell>
          <cell r="BC991">
            <v>0.85</v>
          </cell>
          <cell r="BD991">
            <v>0.85</v>
          </cell>
          <cell r="BE991">
            <v>0.85</v>
          </cell>
          <cell r="BF991">
            <v>0.85</v>
          </cell>
          <cell r="BG991">
            <v>0.85</v>
          </cell>
          <cell r="BH991">
            <v>0.85</v>
          </cell>
          <cell r="BI991">
            <v>0.85</v>
          </cell>
          <cell r="BJ991">
            <v>0.85</v>
          </cell>
          <cell r="BK991">
            <v>1.2</v>
          </cell>
          <cell r="BL991">
            <v>1.2</v>
          </cell>
          <cell r="BM991">
            <v>1.2</v>
          </cell>
          <cell r="BN991">
            <v>1.2</v>
          </cell>
          <cell r="BO991">
            <v>1.2</v>
          </cell>
          <cell r="BP991">
            <v>1.2</v>
          </cell>
          <cell r="BQ991">
            <v>1.2</v>
          </cell>
          <cell r="BR991">
            <v>1.2</v>
          </cell>
          <cell r="BS991">
            <v>1.2</v>
          </cell>
          <cell r="BT991">
            <v>1.2</v>
          </cell>
          <cell r="BU991">
            <v>1.2</v>
          </cell>
          <cell r="BV991">
            <v>1.2</v>
          </cell>
        </row>
        <row r="992">
          <cell r="A992" t="str">
            <v>CDPO</v>
          </cell>
          <cell r="B992" t="str">
            <v>P74</v>
          </cell>
          <cell r="D992" t="str">
            <v>SHIFT C HC  - efficiency</v>
          </cell>
          <cell r="Z992"/>
          <cell r="AA992"/>
          <cell r="AB992"/>
          <cell r="AC992"/>
          <cell r="AD992"/>
          <cell r="AE992"/>
          <cell r="AF992"/>
          <cell r="AG992"/>
          <cell r="AH992"/>
          <cell r="AI992">
            <v>1</v>
          </cell>
          <cell r="AJ992">
            <v>1</v>
          </cell>
          <cell r="AK992">
            <v>1</v>
          </cell>
          <cell r="AL992">
            <v>1</v>
          </cell>
          <cell r="AM992">
            <v>1</v>
          </cell>
          <cell r="AN992">
            <v>1</v>
          </cell>
          <cell r="AO992">
            <v>1</v>
          </cell>
          <cell r="AP992">
            <v>1</v>
          </cell>
          <cell r="AQ992">
            <v>1</v>
          </cell>
          <cell r="AR992">
            <v>1</v>
          </cell>
          <cell r="AS992">
            <v>1</v>
          </cell>
          <cell r="AT992">
            <v>1</v>
          </cell>
          <cell r="AU992">
            <v>1</v>
          </cell>
          <cell r="AV992">
            <v>1</v>
          </cell>
          <cell r="AW992">
            <v>1</v>
          </cell>
          <cell r="AX992">
            <v>1</v>
          </cell>
          <cell r="AY992">
            <v>1</v>
          </cell>
          <cell r="AZ992">
            <v>1</v>
          </cell>
          <cell r="BA992">
            <v>1</v>
          </cell>
          <cell r="BB992">
            <v>1</v>
          </cell>
          <cell r="BC992">
            <v>1</v>
          </cell>
          <cell r="BD992">
            <v>1</v>
          </cell>
          <cell r="BE992">
            <v>1</v>
          </cell>
          <cell r="BF992">
            <v>1</v>
          </cell>
          <cell r="BG992">
            <v>1</v>
          </cell>
          <cell r="BH992">
            <v>1</v>
          </cell>
          <cell r="BI992">
            <v>1</v>
          </cell>
          <cell r="BJ992">
            <v>1</v>
          </cell>
          <cell r="BK992">
            <v>1</v>
          </cell>
          <cell r="BL992">
            <v>1</v>
          </cell>
          <cell r="BM992">
            <v>1</v>
          </cell>
          <cell r="BN992">
            <v>1</v>
          </cell>
          <cell r="BO992">
            <v>1</v>
          </cell>
          <cell r="BP992">
            <v>1</v>
          </cell>
          <cell r="BQ992">
            <v>1</v>
          </cell>
          <cell r="BR992">
            <v>1</v>
          </cell>
          <cell r="BS992">
            <v>1</v>
          </cell>
          <cell r="BT992">
            <v>1</v>
          </cell>
          <cell r="BU992">
            <v>1</v>
          </cell>
          <cell r="BV992">
            <v>1</v>
          </cell>
        </row>
        <row r="993">
          <cell r="A993" t="str">
            <v>CDPO</v>
          </cell>
          <cell r="B993" t="str">
            <v>P74</v>
          </cell>
          <cell r="D993" t="str">
            <v>Total efficiency</v>
          </cell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</row>
        <row r="994">
          <cell r="A994" t="str">
            <v>CDPO</v>
          </cell>
          <cell r="B994" t="str">
            <v>P74</v>
          </cell>
          <cell r="D994" t="str">
            <v>SHIFT A - output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</row>
        <row r="995">
          <cell r="A995" t="str">
            <v>CDPO</v>
          </cell>
          <cell r="B995" t="str">
            <v>P74</v>
          </cell>
          <cell r="D995" t="str">
            <v>SHIFT B  - output</v>
          </cell>
          <cell r="Z995">
            <v>212.89424860853435</v>
          </cell>
          <cell r="AA995">
            <v>283.85899814471247</v>
          </cell>
          <cell r="AB995">
            <v>212.89424860853435</v>
          </cell>
          <cell r="AC995">
            <v>212.89424860853435</v>
          </cell>
          <cell r="AD995">
            <v>212.89424860853435</v>
          </cell>
          <cell r="AE995">
            <v>212.89424860853435</v>
          </cell>
          <cell r="AF995">
            <v>212.89424860853435</v>
          </cell>
          <cell r="AG995">
            <v>212.89424860853435</v>
          </cell>
          <cell r="AH995">
            <v>212.89424860853435</v>
          </cell>
          <cell r="AI995">
            <v>212.89424860853435</v>
          </cell>
          <cell r="AJ995">
            <v>212.89424860853435</v>
          </cell>
          <cell r="AK995">
            <v>212.89424860853435</v>
          </cell>
          <cell r="AL995">
            <v>212.89424860853435</v>
          </cell>
          <cell r="AM995">
            <v>212.89424860853435</v>
          </cell>
          <cell r="AN995">
            <v>212.89424860853435</v>
          </cell>
          <cell r="AO995">
            <v>212.89424860853435</v>
          </cell>
          <cell r="AP995">
            <v>212.89424860853435</v>
          </cell>
          <cell r="AQ995">
            <v>212.89424860853435</v>
          </cell>
          <cell r="AR995">
            <v>212.89424860853435</v>
          </cell>
          <cell r="AS995">
            <v>212.89424860853435</v>
          </cell>
          <cell r="AT995">
            <v>141.92949907235624</v>
          </cell>
          <cell r="AU995">
            <v>141.92949907235624</v>
          </cell>
          <cell r="AV995">
            <v>141.92949907235624</v>
          </cell>
          <cell r="AW995">
            <v>70.964749536178118</v>
          </cell>
          <cell r="AX995">
            <v>70.964749536178118</v>
          </cell>
          <cell r="AY995">
            <v>70.964749536178118</v>
          </cell>
          <cell r="AZ995">
            <v>70.964749536178118</v>
          </cell>
          <cell r="BA995">
            <v>70.964749536178118</v>
          </cell>
          <cell r="BB995">
            <v>70.964749536178118</v>
          </cell>
          <cell r="BC995">
            <v>70.964749536178118</v>
          </cell>
          <cell r="BD995">
            <v>70.964749536178118</v>
          </cell>
          <cell r="BE995">
            <v>70.964749536178118</v>
          </cell>
          <cell r="BF995">
            <v>70.964749536178118</v>
          </cell>
          <cell r="BG995">
            <v>70.964749536178118</v>
          </cell>
          <cell r="BH995">
            <v>70.964749536178118</v>
          </cell>
          <cell r="BI995">
            <v>70.964749536178118</v>
          </cell>
          <cell r="BJ995">
            <v>70.964749536178118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</row>
        <row r="996">
          <cell r="A996" t="str">
            <v>CDPO</v>
          </cell>
          <cell r="B996" t="str">
            <v>P74</v>
          </cell>
          <cell r="D996" t="str">
            <v>SHIFT C  - output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</row>
        <row r="997">
          <cell r="A997" t="str">
            <v>CDPO</v>
          </cell>
          <cell r="B997" t="str">
            <v>P74</v>
          </cell>
          <cell r="D997" t="str">
            <v>Est. Output (Pcs day)</v>
          </cell>
          <cell r="E997">
            <v>5.39</v>
          </cell>
          <cell r="Z997">
            <v>212.89424860853435</v>
          </cell>
          <cell r="AA997">
            <v>283.85899814471247</v>
          </cell>
          <cell r="AB997">
            <v>212.89424860853435</v>
          </cell>
          <cell r="AC997">
            <v>212.89424860853435</v>
          </cell>
          <cell r="AD997">
            <v>212.89424860853435</v>
          </cell>
          <cell r="AE997">
            <v>212.89424860853435</v>
          </cell>
          <cell r="AF997">
            <v>212.89424860853435</v>
          </cell>
          <cell r="AG997">
            <v>212.89424860853435</v>
          </cell>
          <cell r="AH997">
            <v>212.89424860853435</v>
          </cell>
          <cell r="AI997">
            <v>212.89424860853435</v>
          </cell>
          <cell r="AJ997">
            <v>212.89424860853435</v>
          </cell>
          <cell r="AK997">
            <v>212.89424860853435</v>
          </cell>
          <cell r="AL997">
            <v>212.89424860853435</v>
          </cell>
          <cell r="AM997">
            <v>212.89424860853435</v>
          </cell>
          <cell r="AN997">
            <v>212.89424860853435</v>
          </cell>
          <cell r="AO997">
            <v>212.89424860853435</v>
          </cell>
          <cell r="AP997">
            <v>212.89424860853435</v>
          </cell>
          <cell r="AQ997">
            <v>212.89424860853435</v>
          </cell>
          <cell r="AR997">
            <v>212.89424860853435</v>
          </cell>
          <cell r="AS997">
            <v>212.89424860853435</v>
          </cell>
          <cell r="AT997">
            <v>141.92949907235624</v>
          </cell>
          <cell r="AU997">
            <v>141.92949907235624</v>
          </cell>
          <cell r="AV997">
            <v>141.92949907235624</v>
          </cell>
          <cell r="AW997">
            <v>70.964749536178118</v>
          </cell>
          <cell r="AX997">
            <v>70.964749536178118</v>
          </cell>
          <cell r="AY997">
            <v>70.964749536178118</v>
          </cell>
          <cell r="AZ997">
            <v>70.964749536178118</v>
          </cell>
          <cell r="BA997">
            <v>70.964749536178118</v>
          </cell>
          <cell r="BB997">
            <v>70.964749536178118</v>
          </cell>
          <cell r="BC997">
            <v>70.964749536178118</v>
          </cell>
          <cell r="BD997">
            <v>70.964749536178118</v>
          </cell>
          <cell r="BE997">
            <v>70.964749536178118</v>
          </cell>
          <cell r="BF997">
            <v>70.964749536178118</v>
          </cell>
          <cell r="BG997">
            <v>70.964749536178118</v>
          </cell>
          <cell r="BH997">
            <v>70.964749536178118</v>
          </cell>
          <cell r="BI997">
            <v>70.964749536178118</v>
          </cell>
          <cell r="BJ997">
            <v>70.964749536178118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</row>
        <row r="998">
          <cell r="A998" t="str">
            <v>CDPO</v>
          </cell>
          <cell r="B998" t="str">
            <v>P74</v>
          </cell>
          <cell r="D998" t="str">
            <v>Weekly Output PLAN</v>
          </cell>
          <cell r="E998" t="str">
            <v>ASSY</v>
          </cell>
          <cell r="Z998">
            <v>1064.4712430426719</v>
          </cell>
          <cell r="AA998">
            <v>1419.2949907235625</v>
          </cell>
          <cell r="AB998">
            <v>1064.4712430426719</v>
          </cell>
          <cell r="AC998">
            <v>1064.4712430426719</v>
          </cell>
          <cell r="AD998">
            <v>638.68274582560309</v>
          </cell>
          <cell r="AE998">
            <v>1064.4712430426719</v>
          </cell>
          <cell r="AF998">
            <v>1064.4712430426719</v>
          </cell>
          <cell r="AG998">
            <v>1064.4712430426719</v>
          </cell>
          <cell r="AH998">
            <v>1064.4712430426719</v>
          </cell>
          <cell r="AI998">
            <v>1064.4712430426719</v>
          </cell>
          <cell r="AJ998">
            <v>1064.4712430426719</v>
          </cell>
          <cell r="AK998">
            <v>851.57699443413742</v>
          </cell>
          <cell r="AL998">
            <v>851.57699443413742</v>
          </cell>
          <cell r="AM998">
            <v>1064.4712430426719</v>
          </cell>
          <cell r="AN998">
            <v>851.57699443413742</v>
          </cell>
          <cell r="AO998">
            <v>1064.4712430426719</v>
          </cell>
          <cell r="AP998">
            <v>1064.4712430426719</v>
          </cell>
          <cell r="AQ998">
            <v>1064.4712430426719</v>
          </cell>
          <cell r="AR998">
            <v>1064.4712430426719</v>
          </cell>
          <cell r="AS998">
            <v>1064.4712430426719</v>
          </cell>
          <cell r="AT998">
            <v>709.64749536178124</v>
          </cell>
          <cell r="AU998">
            <v>709.64749536178124</v>
          </cell>
          <cell r="AV998">
            <v>709.64749536178124</v>
          </cell>
          <cell r="AW998">
            <v>354.82374768089062</v>
          </cell>
          <cell r="AX998">
            <v>354.82374768089062</v>
          </cell>
          <cell r="AY998">
            <v>354.82374768089062</v>
          </cell>
          <cell r="AZ998">
            <v>354.82374768089062</v>
          </cell>
          <cell r="BA998">
            <v>0</v>
          </cell>
          <cell r="BB998">
            <v>0</v>
          </cell>
          <cell r="BC998">
            <v>354.82374768089062</v>
          </cell>
          <cell r="BD998">
            <v>354.82374768089062</v>
          </cell>
          <cell r="BE998">
            <v>354.82374768089062</v>
          </cell>
          <cell r="BF998">
            <v>354.82374768089062</v>
          </cell>
          <cell r="BG998">
            <v>354.82374768089062</v>
          </cell>
          <cell r="BH998">
            <v>354.82374768089062</v>
          </cell>
          <cell r="BI998">
            <v>354.82374768089062</v>
          </cell>
          <cell r="BJ998">
            <v>354.82374768089062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</row>
        <row r="999">
          <cell r="A999" t="str">
            <v>CDPO</v>
          </cell>
          <cell r="B999" t="str">
            <v>P74</v>
          </cell>
          <cell r="D999" t="str">
            <v>CDPO P74 ALKANTARA</v>
          </cell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</row>
        <row r="1000">
          <cell r="A1000" t="str">
            <v>CDPO</v>
          </cell>
          <cell r="B1000" t="str">
            <v>P74</v>
          </cell>
          <cell r="D1000" t="str">
            <v>CDPO P74-LTH</v>
          </cell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</row>
        <row r="1001">
          <cell r="A1001" t="str">
            <v>CDPO</v>
          </cell>
          <cell r="B1001" t="str">
            <v>P74</v>
          </cell>
          <cell r="D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</row>
        <row r="1002">
          <cell r="A1002" t="str">
            <v>CDPO</v>
          </cell>
          <cell r="B1002" t="str">
            <v>P74</v>
          </cell>
          <cell r="D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</row>
        <row r="1003">
          <cell r="A1003" t="str">
            <v>CDPO</v>
          </cell>
          <cell r="B1003" t="str">
            <v>P74</v>
          </cell>
          <cell r="D1003"/>
          <cell r="Z1003">
            <v>936</v>
          </cell>
          <cell r="AA1003">
            <v>936</v>
          </cell>
          <cell r="AB1003">
            <v>864</v>
          </cell>
          <cell r="AC1003">
            <v>1080</v>
          </cell>
          <cell r="AD1003">
            <v>1008</v>
          </cell>
          <cell r="AE1003">
            <v>1080</v>
          </cell>
          <cell r="AF1003">
            <v>1080</v>
          </cell>
          <cell r="AG1003">
            <v>1152</v>
          </cell>
          <cell r="AH1003">
            <v>1296</v>
          </cell>
          <cell r="AI1003">
            <v>504</v>
          </cell>
          <cell r="AJ1003">
            <v>936</v>
          </cell>
          <cell r="AK1003">
            <v>1008</v>
          </cell>
          <cell r="AL1003">
            <v>1224</v>
          </cell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</row>
        <row r="1004">
          <cell r="A1004" t="str">
            <v>CDPO</v>
          </cell>
          <cell r="B1004" t="str">
            <v>P74</v>
          </cell>
          <cell r="D1004" t="str">
            <v>Weekly Output PLAN - SUM of models</v>
          </cell>
          <cell r="Z1004">
            <v>936</v>
          </cell>
          <cell r="AA1004">
            <v>936</v>
          </cell>
          <cell r="AB1004">
            <v>864</v>
          </cell>
          <cell r="AC1004">
            <v>1080</v>
          </cell>
          <cell r="AD1004">
            <v>1008</v>
          </cell>
          <cell r="AE1004">
            <v>1080</v>
          </cell>
          <cell r="AF1004">
            <v>1080</v>
          </cell>
          <cell r="AG1004">
            <v>1152</v>
          </cell>
          <cell r="AH1004">
            <v>1296</v>
          </cell>
          <cell r="AI1004">
            <v>504</v>
          </cell>
          <cell r="AJ1004">
            <v>936</v>
          </cell>
          <cell r="AK1004">
            <v>1008</v>
          </cell>
          <cell r="AL1004">
            <v>1224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</row>
        <row r="1005">
          <cell r="A1005" t="str">
            <v>CDPO</v>
          </cell>
          <cell r="B1005" t="str">
            <v>P74</v>
          </cell>
          <cell r="D1005" t="str">
            <v>Weekly Output CHECK with TO time multiple</v>
          </cell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</row>
        <row r="1006">
          <cell r="A1006" t="str">
            <v>CDPO</v>
          </cell>
          <cell r="B1006" t="str">
            <v>P74</v>
          </cell>
          <cell r="D1006" t="str">
            <v>Weekly Output ACT</v>
          </cell>
          <cell r="Z1006">
            <v>1064.4712430426719</v>
          </cell>
          <cell r="AA1006">
            <v>1419.2949907235625</v>
          </cell>
          <cell r="AB1006">
            <v>1064.4712430426719</v>
          </cell>
          <cell r="AC1006">
            <v>1064.4712430426719</v>
          </cell>
          <cell r="AD1006">
            <v>638.68274582560309</v>
          </cell>
          <cell r="AE1006">
            <v>1064.4712430426719</v>
          </cell>
          <cell r="AF1006">
            <v>1064.4712430426719</v>
          </cell>
          <cell r="AG1006">
            <v>1064.4712430426719</v>
          </cell>
          <cell r="AH1006">
            <v>1064.4712430426719</v>
          </cell>
          <cell r="AI1006">
            <v>1064.4712430426719</v>
          </cell>
          <cell r="AJ1006">
            <v>1064.4712430426719</v>
          </cell>
          <cell r="AK1006">
            <v>851.57699443413742</v>
          </cell>
          <cell r="AL1006">
            <v>851.57699443413742</v>
          </cell>
          <cell r="AM1006">
            <v>1064.4712430426719</v>
          </cell>
          <cell r="AN1006">
            <v>851.57699443413742</v>
          </cell>
          <cell r="AO1006">
            <v>1064.4712430426719</v>
          </cell>
          <cell r="AP1006">
            <v>1064.4712430426719</v>
          </cell>
          <cell r="AQ1006">
            <v>1064.4712430426719</v>
          </cell>
          <cell r="AR1006">
            <v>1064.4712430426719</v>
          </cell>
          <cell r="AS1006">
            <v>1064.4712430426719</v>
          </cell>
          <cell r="AT1006">
            <v>709.64749536178124</v>
          </cell>
          <cell r="AU1006">
            <v>709.64749536178124</v>
          </cell>
          <cell r="AV1006">
            <v>709.64749536178124</v>
          </cell>
          <cell r="AW1006">
            <v>354.82374768089062</v>
          </cell>
          <cell r="AX1006">
            <v>354.82374768089062</v>
          </cell>
          <cell r="AY1006">
            <v>354.82374768089062</v>
          </cell>
          <cell r="AZ1006">
            <v>354.82374768089062</v>
          </cell>
          <cell r="BA1006">
            <v>0</v>
          </cell>
          <cell r="BB1006">
            <v>0</v>
          </cell>
          <cell r="BC1006">
            <v>354.82374768089062</v>
          </cell>
          <cell r="BD1006">
            <v>354.82374768089062</v>
          </cell>
          <cell r="BE1006">
            <v>354.82374768089062</v>
          </cell>
          <cell r="BF1006">
            <v>354.82374768089062</v>
          </cell>
          <cell r="BG1006">
            <v>354.82374768089062</v>
          </cell>
          <cell r="BH1006">
            <v>354.82374768089062</v>
          </cell>
          <cell r="BI1006">
            <v>354.82374768089062</v>
          </cell>
          <cell r="BJ1006">
            <v>354.82374768089062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</row>
        <row r="1007">
          <cell r="A1007" t="str">
            <v>CDPO</v>
          </cell>
          <cell r="B1007" t="str">
            <v>P74</v>
          </cell>
          <cell r="D1007" t="str">
            <v>CDPO P74 ALKANTARA</v>
          </cell>
          <cell r="Z1007">
            <v>1152</v>
          </cell>
          <cell r="AA1007">
            <v>1224</v>
          </cell>
          <cell r="AB1007">
            <v>1080</v>
          </cell>
          <cell r="AC1007">
            <v>1224</v>
          </cell>
          <cell r="AD1007">
            <v>1008</v>
          </cell>
          <cell r="AE1007">
            <v>1008</v>
          </cell>
          <cell r="AF1007">
            <v>1224</v>
          </cell>
          <cell r="AG1007">
            <v>1224</v>
          </cell>
          <cell r="AH1007">
            <v>1296</v>
          </cell>
          <cell r="AI1007">
            <v>432</v>
          </cell>
          <cell r="AJ1007">
            <v>864</v>
          </cell>
          <cell r="AK1007">
            <v>864</v>
          </cell>
          <cell r="AL1007">
            <v>1008</v>
          </cell>
          <cell r="AM1007">
            <v>936</v>
          </cell>
          <cell r="AN1007">
            <v>720</v>
          </cell>
          <cell r="AO1007">
            <v>1224</v>
          </cell>
          <cell r="AP1007">
            <v>1152</v>
          </cell>
          <cell r="AQ1007">
            <v>1008</v>
          </cell>
          <cell r="AR1007">
            <v>1008</v>
          </cell>
          <cell r="AS1007">
            <v>1008</v>
          </cell>
          <cell r="AT1007">
            <v>1152</v>
          </cell>
          <cell r="AU1007">
            <v>1152</v>
          </cell>
          <cell r="AV1007">
            <v>936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568.08888888888896</v>
          </cell>
          <cell r="BB1007">
            <v>174.3</v>
          </cell>
          <cell r="BC1007">
            <v>174.3</v>
          </cell>
          <cell r="BD1007">
            <v>174.3</v>
          </cell>
          <cell r="BE1007">
            <v>174.3</v>
          </cell>
          <cell r="BF1007">
            <v>174.3</v>
          </cell>
          <cell r="BG1007">
            <v>568</v>
          </cell>
          <cell r="BH1007">
            <v>568</v>
          </cell>
          <cell r="BI1007">
            <v>568</v>
          </cell>
          <cell r="BJ1007">
            <v>568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</row>
        <row r="1008">
          <cell r="A1008" t="str">
            <v>CDPO</v>
          </cell>
          <cell r="B1008" t="str">
            <v>P74</v>
          </cell>
          <cell r="D1008" t="str">
            <v>CDPO P74-LTH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</row>
        <row r="1009">
          <cell r="A1009" t="str">
            <v>CDPO</v>
          </cell>
          <cell r="B1009" t="str">
            <v>P74</v>
          </cell>
          <cell r="D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</row>
        <row r="1010">
          <cell r="A1010" t="str">
            <v>CDPO</v>
          </cell>
          <cell r="B1010" t="str">
            <v>P74</v>
          </cell>
          <cell r="D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</row>
        <row r="1011">
          <cell r="A1011" t="str">
            <v>CDPO</v>
          </cell>
          <cell r="B1011" t="str">
            <v>P74</v>
          </cell>
          <cell r="D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</row>
        <row r="1012">
          <cell r="A1012" t="str">
            <v>CDPO</v>
          </cell>
          <cell r="B1012" t="str">
            <v>P74</v>
          </cell>
          <cell r="D1012" t="str">
            <v>Weekly demand</v>
          </cell>
          <cell r="Z1012">
            <v>1152</v>
          </cell>
          <cell r="AA1012">
            <v>1224</v>
          </cell>
          <cell r="AB1012">
            <v>1080</v>
          </cell>
          <cell r="AC1012">
            <v>1224</v>
          </cell>
          <cell r="AD1012">
            <v>1008</v>
          </cell>
          <cell r="AE1012">
            <v>1008</v>
          </cell>
          <cell r="AF1012">
            <v>1224</v>
          </cell>
          <cell r="AG1012">
            <v>1224</v>
          </cell>
          <cell r="AH1012">
            <v>1296</v>
          </cell>
          <cell r="AI1012">
            <v>432</v>
          </cell>
          <cell r="AJ1012">
            <v>864</v>
          </cell>
          <cell r="AK1012">
            <v>864</v>
          </cell>
          <cell r="AL1012">
            <v>1008</v>
          </cell>
          <cell r="AM1012">
            <v>936</v>
          </cell>
          <cell r="AN1012">
            <v>720</v>
          </cell>
          <cell r="AO1012">
            <v>1224</v>
          </cell>
          <cell r="AP1012">
            <v>1152</v>
          </cell>
          <cell r="AQ1012">
            <v>1008</v>
          </cell>
          <cell r="AR1012">
            <v>1008</v>
          </cell>
          <cell r="AS1012">
            <v>1008</v>
          </cell>
          <cell r="AT1012">
            <v>1152</v>
          </cell>
          <cell r="AU1012">
            <v>1152</v>
          </cell>
          <cell r="AV1012">
            <v>936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568.08888888888896</v>
          </cell>
          <cell r="BB1012">
            <v>174.3</v>
          </cell>
          <cell r="BC1012">
            <v>174.3</v>
          </cell>
          <cell r="BD1012">
            <v>174.3</v>
          </cell>
          <cell r="BE1012">
            <v>174.3</v>
          </cell>
          <cell r="BF1012">
            <v>174.3</v>
          </cell>
          <cell r="BG1012">
            <v>568</v>
          </cell>
          <cell r="BH1012">
            <v>568</v>
          </cell>
          <cell r="BI1012">
            <v>568</v>
          </cell>
          <cell r="BJ1012">
            <v>568</v>
          </cell>
          <cell r="BK1012">
            <v>0</v>
          </cell>
          <cell r="BL1012">
            <v>30359.588888888884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</row>
        <row r="1013">
          <cell r="A1013" t="str">
            <v>CDPO</v>
          </cell>
          <cell r="B1013" t="str">
            <v>P74</v>
          </cell>
          <cell r="D1013" t="str">
            <v>Stock Target</v>
          </cell>
          <cell r="Z1013">
            <v>930</v>
          </cell>
          <cell r="AA1013">
            <v>930</v>
          </cell>
          <cell r="AB1013">
            <v>930</v>
          </cell>
          <cell r="AC1013">
            <v>930</v>
          </cell>
          <cell r="AD1013">
            <v>930</v>
          </cell>
          <cell r="AE1013">
            <v>930</v>
          </cell>
          <cell r="AF1013">
            <v>930</v>
          </cell>
          <cell r="AG1013">
            <v>930</v>
          </cell>
          <cell r="AH1013">
            <v>930</v>
          </cell>
          <cell r="AI1013">
            <v>930</v>
          </cell>
          <cell r="AJ1013">
            <v>2528</v>
          </cell>
          <cell r="AK1013">
            <v>2529</v>
          </cell>
          <cell r="AL1013">
            <v>2530</v>
          </cell>
          <cell r="AM1013">
            <v>2531</v>
          </cell>
          <cell r="AN1013">
            <v>2532</v>
          </cell>
          <cell r="AO1013">
            <v>2533</v>
          </cell>
          <cell r="AP1013">
            <v>2534</v>
          </cell>
          <cell r="AQ1013">
            <v>2535</v>
          </cell>
          <cell r="AR1013">
            <v>2536</v>
          </cell>
          <cell r="AS1013">
            <v>2537</v>
          </cell>
          <cell r="AT1013">
            <v>2538</v>
          </cell>
          <cell r="AU1013">
            <v>2539</v>
          </cell>
          <cell r="AV1013">
            <v>2540</v>
          </cell>
          <cell r="AW1013">
            <v>2541</v>
          </cell>
          <cell r="AX1013">
            <v>2542</v>
          </cell>
          <cell r="AY1013">
            <v>2543</v>
          </cell>
          <cell r="AZ1013">
            <v>2544</v>
          </cell>
          <cell r="BA1013">
            <v>2545</v>
          </cell>
          <cell r="BB1013">
            <v>2546</v>
          </cell>
          <cell r="BC1013">
            <v>2547</v>
          </cell>
          <cell r="BD1013">
            <v>2548</v>
          </cell>
          <cell r="BE1013">
            <v>2549</v>
          </cell>
          <cell r="BF1013">
            <v>2550</v>
          </cell>
          <cell r="BG1013">
            <v>2551</v>
          </cell>
          <cell r="BH1013">
            <v>2552</v>
          </cell>
          <cell r="BI1013">
            <v>2553</v>
          </cell>
          <cell r="BJ1013">
            <v>2554</v>
          </cell>
          <cell r="BK1013">
            <v>2555</v>
          </cell>
          <cell r="BL1013">
            <v>2556</v>
          </cell>
          <cell r="BM1013">
            <v>2557</v>
          </cell>
          <cell r="BN1013">
            <v>2558</v>
          </cell>
          <cell r="BO1013">
            <v>2559</v>
          </cell>
          <cell r="BP1013">
            <v>2560</v>
          </cell>
          <cell r="BQ1013">
            <v>2561</v>
          </cell>
          <cell r="BR1013">
            <v>2562</v>
          </cell>
          <cell r="BS1013">
            <v>2563</v>
          </cell>
          <cell r="BT1013">
            <v>2564</v>
          </cell>
          <cell r="BU1013">
            <v>2565</v>
          </cell>
          <cell r="BV1013">
            <v>2566</v>
          </cell>
        </row>
        <row r="1014">
          <cell r="A1014" t="str">
            <v>CDPO</v>
          </cell>
          <cell r="B1014" t="str">
            <v>P74</v>
          </cell>
          <cell r="D1014" t="str">
            <v>FG CDPO P74-LTH</v>
          </cell>
          <cell r="Z1014">
            <v>1224</v>
          </cell>
          <cell r="AA1014">
            <v>1728</v>
          </cell>
          <cell r="AB1014">
            <v>648</v>
          </cell>
          <cell r="AC1014">
            <v>-576</v>
          </cell>
          <cell r="AD1014">
            <v>-1584</v>
          </cell>
          <cell r="AE1014">
            <v>-2592</v>
          </cell>
          <cell r="AF1014">
            <v>-3816</v>
          </cell>
          <cell r="AG1014">
            <v>-5040</v>
          </cell>
          <cell r="AH1014">
            <v>-6336</v>
          </cell>
          <cell r="AI1014">
            <v>-6768</v>
          </cell>
          <cell r="AJ1014">
            <v>-7632</v>
          </cell>
          <cell r="AK1014">
            <v>-8496</v>
          </cell>
          <cell r="AL1014">
            <v>-9504</v>
          </cell>
          <cell r="AM1014">
            <v>-10440</v>
          </cell>
          <cell r="AN1014">
            <v>-11160</v>
          </cell>
          <cell r="AO1014">
            <v>-12384</v>
          </cell>
          <cell r="AP1014">
            <v>-13536</v>
          </cell>
          <cell r="AQ1014">
            <v>-14544</v>
          </cell>
          <cell r="AR1014">
            <v>-15552</v>
          </cell>
          <cell r="AS1014">
            <v>-16560</v>
          </cell>
          <cell r="AT1014">
            <v>-17712</v>
          </cell>
          <cell r="AU1014">
            <v>-18864</v>
          </cell>
          <cell r="AV1014">
            <v>-19800</v>
          </cell>
          <cell r="AW1014">
            <v>-19800</v>
          </cell>
          <cell r="AX1014">
            <v>-19800</v>
          </cell>
          <cell r="AY1014">
            <v>-19800</v>
          </cell>
          <cell r="AZ1014">
            <v>-19800</v>
          </cell>
          <cell r="BA1014">
            <v>-20368.088888888888</v>
          </cell>
          <cell r="BB1014">
            <v>-20542.388888888887</v>
          </cell>
          <cell r="BC1014">
            <v>-20716.688888888886</v>
          </cell>
          <cell r="BD1014">
            <v>-20890.988888888885</v>
          </cell>
          <cell r="BE1014">
            <v>-21065.288888888885</v>
          </cell>
          <cell r="BF1014">
            <v>-21239.588888888884</v>
          </cell>
          <cell r="BG1014">
            <v>-21807.588888888884</v>
          </cell>
          <cell r="BH1014">
            <v>-22375.588888888884</v>
          </cell>
          <cell r="BI1014">
            <v>-22943.588888888884</v>
          </cell>
          <cell r="BJ1014">
            <v>-23511.588888888884</v>
          </cell>
          <cell r="BK1014">
            <v>-23511.588888888884</v>
          </cell>
          <cell r="BL1014">
            <v>-23511.588888888884</v>
          </cell>
          <cell r="BM1014">
            <v>-23511.588888888884</v>
          </cell>
          <cell r="BN1014">
            <v>-23511.588888888884</v>
          </cell>
          <cell r="BO1014">
            <v>-23511.588888888884</v>
          </cell>
          <cell r="BP1014">
            <v>-23511.588888888884</v>
          </cell>
          <cell r="BQ1014">
            <v>-23511.588888888884</v>
          </cell>
          <cell r="BR1014">
            <v>-23511.588888888884</v>
          </cell>
          <cell r="BS1014">
            <v>-23511.588888888884</v>
          </cell>
          <cell r="BT1014">
            <v>-23511.588888888884</v>
          </cell>
          <cell r="BU1014">
            <v>-23511.588888888884</v>
          </cell>
          <cell r="BV1014">
            <v>-23511.588888888884</v>
          </cell>
        </row>
        <row r="1015">
          <cell r="A1015" t="str">
            <v>CDPO</v>
          </cell>
          <cell r="B1015" t="str">
            <v>P74</v>
          </cell>
          <cell r="D1015"/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</row>
        <row r="1016">
          <cell r="A1016" t="str">
            <v>CDPO</v>
          </cell>
          <cell r="B1016" t="str">
            <v>P74</v>
          </cell>
          <cell r="D1016"/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</row>
        <row r="1017">
          <cell r="A1017" t="str">
            <v>CDPO</v>
          </cell>
          <cell r="B1017" t="str">
            <v>P74</v>
          </cell>
          <cell r="D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</row>
        <row r="1018">
          <cell r="A1018" t="str">
            <v>CDPO</v>
          </cell>
          <cell r="B1018" t="str">
            <v>P74</v>
          </cell>
          <cell r="D1018">
            <v>0</v>
          </cell>
          <cell r="Z1018">
            <v>3888</v>
          </cell>
          <cell r="AA1018">
            <v>4824</v>
          </cell>
          <cell r="AB1018">
            <v>5688</v>
          </cell>
          <cell r="AC1018">
            <v>6768</v>
          </cell>
          <cell r="AD1018">
            <v>7776</v>
          </cell>
          <cell r="AE1018">
            <v>8856</v>
          </cell>
          <cell r="AF1018">
            <v>9936</v>
          </cell>
          <cell r="AG1018">
            <v>11088</v>
          </cell>
          <cell r="AH1018">
            <v>12384</v>
          </cell>
          <cell r="AI1018">
            <v>12888</v>
          </cell>
          <cell r="AJ1018">
            <v>13824</v>
          </cell>
          <cell r="AK1018">
            <v>14832</v>
          </cell>
          <cell r="AL1018">
            <v>16056</v>
          </cell>
          <cell r="AM1018">
            <v>16056</v>
          </cell>
          <cell r="AN1018">
            <v>16056</v>
          </cell>
          <cell r="AO1018">
            <v>16056</v>
          </cell>
          <cell r="AP1018">
            <v>16056</v>
          </cell>
          <cell r="AQ1018">
            <v>16056</v>
          </cell>
          <cell r="AR1018">
            <v>16056</v>
          </cell>
          <cell r="AS1018">
            <v>16056</v>
          </cell>
          <cell r="AT1018">
            <v>16056</v>
          </cell>
          <cell r="AU1018">
            <v>16056</v>
          </cell>
          <cell r="AV1018">
            <v>16056</v>
          </cell>
          <cell r="AW1018">
            <v>16056</v>
          </cell>
          <cell r="AX1018">
            <v>16056</v>
          </cell>
          <cell r="AY1018">
            <v>16056</v>
          </cell>
          <cell r="AZ1018">
            <v>16056</v>
          </cell>
          <cell r="BA1018">
            <v>16056</v>
          </cell>
          <cell r="BB1018">
            <v>16056</v>
          </cell>
          <cell r="BC1018">
            <v>16056</v>
          </cell>
          <cell r="BD1018">
            <v>16056</v>
          </cell>
          <cell r="BE1018">
            <v>16056</v>
          </cell>
          <cell r="BF1018">
            <v>16056</v>
          </cell>
          <cell r="BG1018">
            <v>16056</v>
          </cell>
          <cell r="BH1018">
            <v>16056</v>
          </cell>
          <cell r="BI1018">
            <v>16056</v>
          </cell>
          <cell r="BJ1018">
            <v>16056</v>
          </cell>
          <cell r="BK1018">
            <v>16056</v>
          </cell>
          <cell r="BL1018">
            <v>16056</v>
          </cell>
          <cell r="BM1018">
            <v>16056</v>
          </cell>
          <cell r="BN1018">
            <v>16056</v>
          </cell>
          <cell r="BO1018">
            <v>16056</v>
          </cell>
          <cell r="BP1018">
            <v>16056</v>
          </cell>
          <cell r="BQ1018">
            <v>16056</v>
          </cell>
          <cell r="BR1018">
            <v>16056</v>
          </cell>
          <cell r="BS1018">
            <v>16056</v>
          </cell>
          <cell r="BT1018">
            <v>16056</v>
          </cell>
          <cell r="BU1018">
            <v>16056</v>
          </cell>
          <cell r="BV1018">
            <v>16056</v>
          </cell>
        </row>
        <row r="1019">
          <cell r="A1019" t="str">
            <v>CDPO</v>
          </cell>
          <cell r="B1019" t="str">
            <v>P74</v>
          </cell>
          <cell r="D1019" t="str">
            <v>STOCK</v>
          </cell>
          <cell r="Z1019">
            <v>1224</v>
          </cell>
          <cell r="AA1019">
            <v>1419.2949907235625</v>
          </cell>
          <cell r="AB1019">
            <v>1403.7662337662343</v>
          </cell>
          <cell r="AC1019">
            <v>1244.2374768089062</v>
          </cell>
          <cell r="AD1019">
            <v>874.92022263450929</v>
          </cell>
          <cell r="AE1019">
            <v>931.39146567718115</v>
          </cell>
          <cell r="AF1019">
            <v>771.862708719853</v>
          </cell>
          <cell r="AG1019">
            <v>612.33395176252486</v>
          </cell>
          <cell r="AH1019">
            <v>380.80519480519672</v>
          </cell>
          <cell r="AI1019">
            <v>1013.2764378478686</v>
          </cell>
          <cell r="AJ1019">
            <v>1213.7476808905403</v>
          </cell>
          <cell r="AK1019">
            <v>1201.3246753246776</v>
          </cell>
          <cell r="AL1019">
            <v>1044.9016697588149</v>
          </cell>
          <cell r="AM1019">
            <v>1173.3729128014868</v>
          </cell>
          <cell r="AN1019">
            <v>1304.9499072356243</v>
          </cell>
          <cell r="AO1019">
            <v>1145.4211502782962</v>
          </cell>
          <cell r="AP1019">
            <v>1057.892393320968</v>
          </cell>
          <cell r="AQ1019">
            <v>1114.3636363636399</v>
          </cell>
          <cell r="AR1019">
            <v>1170.8348794063118</v>
          </cell>
          <cell r="AS1019">
            <v>1227.3061224489836</v>
          </cell>
          <cell r="AT1019">
            <v>784.95361781076485</v>
          </cell>
          <cell r="AU1019">
            <v>342.60111317254609</v>
          </cell>
          <cell r="AV1019">
            <v>116.24860853432733</v>
          </cell>
          <cell r="AW1019">
            <v>471.07235621521795</v>
          </cell>
          <cell r="AX1019">
            <v>825.89610389610857</v>
          </cell>
          <cell r="AY1019">
            <v>1180.7198515769992</v>
          </cell>
          <cell r="AZ1019">
            <v>1535.5435992578898</v>
          </cell>
          <cell r="BA1019">
            <v>967.45471036900085</v>
          </cell>
          <cell r="BB1019">
            <v>793.1547103690009</v>
          </cell>
          <cell r="BC1019">
            <v>973.67845804989156</v>
          </cell>
          <cell r="BD1019">
            <v>1154.2022057307822</v>
          </cell>
          <cell r="BE1019">
            <v>1334.7259534116729</v>
          </cell>
          <cell r="BF1019">
            <v>1515.2497010925636</v>
          </cell>
          <cell r="BG1019">
            <v>1302.0734487734542</v>
          </cell>
          <cell r="BH1019">
            <v>1088.8971964543448</v>
          </cell>
          <cell r="BI1019">
            <v>875.72094413523541</v>
          </cell>
          <cell r="BJ1019">
            <v>662.54469181612603</v>
          </cell>
          <cell r="BK1019">
            <v>662.54469181612603</v>
          </cell>
          <cell r="BL1019">
            <v>-29697.044197072759</v>
          </cell>
          <cell r="BM1019">
            <v>-29697.044197072759</v>
          </cell>
          <cell r="BN1019">
            <v>-29697.044197072759</v>
          </cell>
          <cell r="BO1019">
            <v>-29697.044197072759</v>
          </cell>
          <cell r="BP1019">
            <v>-29697.044197072759</v>
          </cell>
          <cell r="BQ1019">
            <v>-29697.044197072759</v>
          </cell>
          <cell r="BR1019">
            <v>-29697.044197072759</v>
          </cell>
          <cell r="BS1019">
            <v>-29697.044197072759</v>
          </cell>
          <cell r="BT1019">
            <v>-29697.044197072759</v>
          </cell>
          <cell r="BU1019">
            <v>-29697.044197072759</v>
          </cell>
          <cell r="BV1019">
            <v>-29697.044197072759</v>
          </cell>
        </row>
        <row r="1020">
          <cell r="A1020" t="str">
            <v>Blank</v>
          </cell>
          <cell r="B1020" t="str">
            <v>Blank</v>
          </cell>
          <cell r="D1020" t="str">
            <v>Blank</v>
          </cell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</row>
        <row r="1021">
          <cell r="A1021" t="str">
            <v>CDPO</v>
          </cell>
          <cell r="B1021" t="str">
            <v>P74</v>
          </cell>
          <cell r="D1021" t="str">
            <v>Work days</v>
          </cell>
          <cell r="Z1021">
            <v>5</v>
          </cell>
          <cell r="AA1021">
            <v>5</v>
          </cell>
          <cell r="AB1021">
            <v>5</v>
          </cell>
          <cell r="AC1021">
            <v>5</v>
          </cell>
          <cell r="AD1021">
            <v>3</v>
          </cell>
          <cell r="AE1021">
            <v>5</v>
          </cell>
          <cell r="AF1021">
            <v>5</v>
          </cell>
          <cell r="AG1021">
            <v>5</v>
          </cell>
          <cell r="AH1021">
            <v>5</v>
          </cell>
          <cell r="AI1021">
            <v>5</v>
          </cell>
          <cell r="AJ1021">
            <v>5</v>
          </cell>
          <cell r="AK1021">
            <v>4</v>
          </cell>
          <cell r="AL1021">
            <v>4</v>
          </cell>
          <cell r="AM1021">
            <v>5</v>
          </cell>
          <cell r="AN1021">
            <v>4</v>
          </cell>
          <cell r="AO1021">
            <v>5</v>
          </cell>
          <cell r="AP1021">
            <v>5</v>
          </cell>
          <cell r="AQ1021">
            <v>5</v>
          </cell>
          <cell r="AR1021">
            <v>5</v>
          </cell>
          <cell r="AS1021">
            <v>5</v>
          </cell>
          <cell r="AT1021">
            <v>5</v>
          </cell>
          <cell r="AU1021">
            <v>5</v>
          </cell>
          <cell r="AV1021">
            <v>5</v>
          </cell>
          <cell r="AW1021">
            <v>5</v>
          </cell>
          <cell r="AX1021">
            <v>5</v>
          </cell>
          <cell r="AY1021">
            <v>5</v>
          </cell>
          <cell r="AZ1021">
            <v>0</v>
          </cell>
          <cell r="BA1021">
            <v>0</v>
          </cell>
          <cell r="BB1021">
            <v>0</v>
          </cell>
          <cell r="BC1021">
            <v>5</v>
          </cell>
          <cell r="BD1021">
            <v>5</v>
          </cell>
          <cell r="BE1021">
            <v>5</v>
          </cell>
          <cell r="BF1021">
            <v>5</v>
          </cell>
          <cell r="BG1021">
            <v>5</v>
          </cell>
          <cell r="BH1021">
            <v>5</v>
          </cell>
          <cell r="BI1021">
            <v>5</v>
          </cell>
          <cell r="BJ1021">
            <v>5</v>
          </cell>
          <cell r="BK1021">
            <v>5</v>
          </cell>
          <cell r="BL1021">
            <v>5</v>
          </cell>
          <cell r="BM1021">
            <v>5</v>
          </cell>
          <cell r="BN1021">
            <v>5</v>
          </cell>
          <cell r="BO1021">
            <v>3</v>
          </cell>
          <cell r="BP1021">
            <v>3</v>
          </cell>
          <cell r="BQ1021">
            <v>3</v>
          </cell>
          <cell r="BR1021">
            <v>3</v>
          </cell>
          <cell r="BS1021">
            <v>3</v>
          </cell>
          <cell r="BT1021">
            <v>3</v>
          </cell>
          <cell r="BU1021">
            <v>3</v>
          </cell>
          <cell r="BV1021">
            <v>3</v>
          </cell>
        </row>
        <row r="1022">
          <cell r="A1022" t="str">
            <v>CDPO</v>
          </cell>
          <cell r="B1022" t="str">
            <v>P74</v>
          </cell>
          <cell r="D1022" t="str">
            <v>SHIFT A HC - operators</v>
          </cell>
          <cell r="Z1022">
            <v>4</v>
          </cell>
          <cell r="AA1022">
            <v>5</v>
          </cell>
          <cell r="AB1022">
            <v>4</v>
          </cell>
          <cell r="AC1022">
            <v>4</v>
          </cell>
          <cell r="AD1022">
            <v>4</v>
          </cell>
          <cell r="AE1022">
            <v>4</v>
          </cell>
          <cell r="AF1022">
            <v>4</v>
          </cell>
          <cell r="AG1022">
            <v>4</v>
          </cell>
          <cell r="AH1022">
            <v>4</v>
          </cell>
          <cell r="AI1022">
            <v>4</v>
          </cell>
          <cell r="AJ1022">
            <v>4</v>
          </cell>
          <cell r="AK1022">
            <v>4</v>
          </cell>
          <cell r="AL1022">
            <v>4</v>
          </cell>
          <cell r="AM1022">
            <v>4</v>
          </cell>
          <cell r="AN1022">
            <v>4</v>
          </cell>
          <cell r="AO1022">
            <v>3</v>
          </cell>
          <cell r="AP1022">
            <v>3</v>
          </cell>
          <cell r="AQ1022">
            <v>3</v>
          </cell>
          <cell r="AR1022">
            <v>3</v>
          </cell>
          <cell r="AS1022">
            <v>3</v>
          </cell>
          <cell r="AT1022">
            <v>3</v>
          </cell>
          <cell r="AU1022">
            <v>3</v>
          </cell>
          <cell r="AV1022">
            <v>3</v>
          </cell>
          <cell r="AW1022">
            <v>3</v>
          </cell>
          <cell r="AX1022">
            <v>3</v>
          </cell>
          <cell r="AY1022">
            <v>3</v>
          </cell>
          <cell r="AZ1022">
            <v>3</v>
          </cell>
          <cell r="BA1022">
            <v>3</v>
          </cell>
          <cell r="BB1022">
            <v>3</v>
          </cell>
          <cell r="BC1022">
            <v>3</v>
          </cell>
          <cell r="BD1022">
            <v>3</v>
          </cell>
          <cell r="BE1022">
            <v>3</v>
          </cell>
          <cell r="BF1022">
            <v>3</v>
          </cell>
          <cell r="BG1022">
            <v>2</v>
          </cell>
          <cell r="BH1022">
            <v>2</v>
          </cell>
          <cell r="BI1022">
            <v>2</v>
          </cell>
          <cell r="BJ1022">
            <v>2</v>
          </cell>
          <cell r="BK1022">
            <v>3</v>
          </cell>
          <cell r="BL1022">
            <v>3</v>
          </cell>
          <cell r="BM1022">
            <v>3</v>
          </cell>
          <cell r="BN1022">
            <v>3</v>
          </cell>
          <cell r="BO1022">
            <v>3</v>
          </cell>
          <cell r="BP1022">
            <v>3</v>
          </cell>
          <cell r="BQ1022">
            <v>3</v>
          </cell>
          <cell r="BR1022">
            <v>3</v>
          </cell>
          <cell r="BS1022">
            <v>3</v>
          </cell>
          <cell r="BT1022">
            <v>3</v>
          </cell>
          <cell r="BU1022">
            <v>3</v>
          </cell>
          <cell r="BV1022">
            <v>3</v>
          </cell>
        </row>
        <row r="1023">
          <cell r="A1023" t="str">
            <v>CDPO</v>
          </cell>
          <cell r="B1023" t="str">
            <v>P74</v>
          </cell>
          <cell r="D1023" t="str">
            <v>SHIFT B HC  - operators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</row>
        <row r="1024">
          <cell r="A1024" t="str">
            <v>CDPO</v>
          </cell>
          <cell r="B1024" t="str">
            <v>P74</v>
          </cell>
          <cell r="D1024" t="str">
            <v>SHIFT C HC  - operators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</row>
        <row r="1025">
          <cell r="A1025" t="str">
            <v>CDPO</v>
          </cell>
          <cell r="B1025" t="str">
            <v>P74</v>
          </cell>
          <cell r="D1025" t="str">
            <v>Total HC</v>
          </cell>
          <cell r="Z1025">
            <v>4</v>
          </cell>
          <cell r="AA1025">
            <v>5</v>
          </cell>
          <cell r="AB1025">
            <v>4</v>
          </cell>
          <cell r="AC1025">
            <v>4</v>
          </cell>
          <cell r="AD1025">
            <v>4</v>
          </cell>
          <cell r="AE1025">
            <v>4</v>
          </cell>
          <cell r="AF1025">
            <v>4</v>
          </cell>
          <cell r="AG1025">
            <v>4</v>
          </cell>
          <cell r="AH1025">
            <v>4</v>
          </cell>
          <cell r="AI1025">
            <v>4</v>
          </cell>
          <cell r="AJ1025">
            <v>4</v>
          </cell>
          <cell r="AK1025">
            <v>4</v>
          </cell>
          <cell r="AL1025">
            <v>4</v>
          </cell>
          <cell r="AM1025">
            <v>4</v>
          </cell>
          <cell r="AN1025">
            <v>4</v>
          </cell>
          <cell r="AO1025">
            <v>3</v>
          </cell>
          <cell r="AP1025">
            <v>3</v>
          </cell>
          <cell r="AQ1025">
            <v>3</v>
          </cell>
          <cell r="AR1025">
            <v>3</v>
          </cell>
          <cell r="AS1025">
            <v>3</v>
          </cell>
          <cell r="AT1025">
            <v>3</v>
          </cell>
          <cell r="AU1025">
            <v>3</v>
          </cell>
          <cell r="AV1025">
            <v>3</v>
          </cell>
          <cell r="AW1025">
            <v>3</v>
          </cell>
          <cell r="AX1025">
            <v>3</v>
          </cell>
          <cell r="AY1025">
            <v>3</v>
          </cell>
          <cell r="AZ1025">
            <v>3</v>
          </cell>
          <cell r="BA1025">
            <v>3</v>
          </cell>
          <cell r="BB1025">
            <v>3</v>
          </cell>
          <cell r="BC1025">
            <v>3</v>
          </cell>
          <cell r="BD1025">
            <v>3</v>
          </cell>
          <cell r="BE1025">
            <v>3</v>
          </cell>
          <cell r="BF1025">
            <v>3</v>
          </cell>
          <cell r="BG1025">
            <v>2</v>
          </cell>
          <cell r="BH1025">
            <v>2</v>
          </cell>
          <cell r="BI1025">
            <v>2</v>
          </cell>
          <cell r="BJ1025">
            <v>2</v>
          </cell>
          <cell r="BK1025">
            <v>3</v>
          </cell>
          <cell r="BL1025">
            <v>3</v>
          </cell>
          <cell r="BM1025">
            <v>3</v>
          </cell>
          <cell r="BN1025">
            <v>3</v>
          </cell>
          <cell r="BO1025">
            <v>3</v>
          </cell>
          <cell r="BP1025">
            <v>3</v>
          </cell>
          <cell r="BQ1025">
            <v>3</v>
          </cell>
          <cell r="BR1025">
            <v>3</v>
          </cell>
          <cell r="BS1025">
            <v>3</v>
          </cell>
          <cell r="BT1025">
            <v>3</v>
          </cell>
          <cell r="BU1025">
            <v>3</v>
          </cell>
          <cell r="BV1025">
            <v>3</v>
          </cell>
        </row>
        <row r="1026">
          <cell r="A1026" t="str">
            <v>CDPO</v>
          </cell>
          <cell r="B1026" t="str">
            <v>P74</v>
          </cell>
          <cell r="D1026" t="str">
            <v>SHIFT A HC  - efficiency</v>
          </cell>
          <cell r="Z1026">
            <v>1.2</v>
          </cell>
          <cell r="AA1026">
            <v>1.2</v>
          </cell>
          <cell r="AB1026">
            <v>1.2</v>
          </cell>
          <cell r="AC1026">
            <v>1.2</v>
          </cell>
          <cell r="AD1026">
            <v>1.2</v>
          </cell>
          <cell r="AE1026">
            <v>1.2</v>
          </cell>
          <cell r="AF1026">
            <v>1.2</v>
          </cell>
          <cell r="AG1026">
            <v>1.2</v>
          </cell>
          <cell r="AH1026">
            <v>1.2</v>
          </cell>
          <cell r="AI1026">
            <v>1.2</v>
          </cell>
          <cell r="AJ1026">
            <v>1.2</v>
          </cell>
          <cell r="AK1026">
            <v>1.2</v>
          </cell>
          <cell r="AL1026">
            <v>1.2</v>
          </cell>
          <cell r="AM1026">
            <v>1.2</v>
          </cell>
          <cell r="AN1026">
            <v>1.2</v>
          </cell>
          <cell r="AO1026">
            <v>1.2</v>
          </cell>
          <cell r="AP1026">
            <v>1.2</v>
          </cell>
          <cell r="AQ1026">
            <v>1.2</v>
          </cell>
          <cell r="AR1026">
            <v>1.2</v>
          </cell>
          <cell r="AS1026">
            <v>1.2</v>
          </cell>
          <cell r="AT1026">
            <v>1.2</v>
          </cell>
          <cell r="AU1026">
            <v>1.2</v>
          </cell>
          <cell r="AV1026">
            <v>1.2</v>
          </cell>
          <cell r="AW1026">
            <v>1.2</v>
          </cell>
          <cell r="AX1026">
            <v>1.2</v>
          </cell>
          <cell r="AY1026">
            <v>1.2</v>
          </cell>
          <cell r="AZ1026">
            <v>1.2</v>
          </cell>
          <cell r="BA1026">
            <v>1.2</v>
          </cell>
          <cell r="BB1026">
            <v>1.2</v>
          </cell>
          <cell r="BC1026">
            <v>1.2</v>
          </cell>
          <cell r="BD1026">
            <v>1.2</v>
          </cell>
          <cell r="BE1026">
            <v>1.2</v>
          </cell>
          <cell r="BF1026">
            <v>1.2</v>
          </cell>
          <cell r="BG1026">
            <v>1.2</v>
          </cell>
          <cell r="BH1026">
            <v>1.2</v>
          </cell>
          <cell r="BI1026">
            <v>1.2</v>
          </cell>
          <cell r="BJ1026">
            <v>1.2</v>
          </cell>
          <cell r="BK1026">
            <v>1.2</v>
          </cell>
          <cell r="BL1026">
            <v>1.2</v>
          </cell>
          <cell r="BM1026">
            <v>1.2</v>
          </cell>
          <cell r="BN1026">
            <v>1.2</v>
          </cell>
          <cell r="BO1026">
            <v>1.2</v>
          </cell>
          <cell r="BP1026">
            <v>1.2</v>
          </cell>
          <cell r="BQ1026">
            <v>1.2</v>
          </cell>
          <cell r="BR1026">
            <v>1.2</v>
          </cell>
          <cell r="BS1026">
            <v>1.2</v>
          </cell>
          <cell r="BT1026">
            <v>1.2</v>
          </cell>
          <cell r="BU1026">
            <v>1.2</v>
          </cell>
          <cell r="BV1026">
            <v>1.2</v>
          </cell>
        </row>
        <row r="1027">
          <cell r="A1027" t="str">
            <v>CDPO</v>
          </cell>
          <cell r="B1027" t="str">
            <v>P74</v>
          </cell>
          <cell r="D1027" t="str">
            <v>SHIFT B HC  - efficiency</v>
          </cell>
          <cell r="Z1027">
            <v>1</v>
          </cell>
          <cell r="AA1027">
            <v>1</v>
          </cell>
          <cell r="AB1027">
            <v>1</v>
          </cell>
          <cell r="AC1027">
            <v>1</v>
          </cell>
          <cell r="AD1027">
            <v>1</v>
          </cell>
          <cell r="AE1027">
            <v>1</v>
          </cell>
          <cell r="AF1027">
            <v>1</v>
          </cell>
          <cell r="AG1027">
            <v>1</v>
          </cell>
          <cell r="AH1027">
            <v>1</v>
          </cell>
          <cell r="AI1027">
            <v>1</v>
          </cell>
          <cell r="AJ1027">
            <v>1</v>
          </cell>
          <cell r="AK1027">
            <v>1</v>
          </cell>
          <cell r="AL1027">
            <v>1</v>
          </cell>
          <cell r="AM1027">
            <v>1</v>
          </cell>
          <cell r="AN1027">
            <v>1</v>
          </cell>
          <cell r="AO1027">
            <v>1</v>
          </cell>
          <cell r="AP1027">
            <v>1</v>
          </cell>
          <cell r="AQ1027">
            <v>1</v>
          </cell>
          <cell r="AR1027">
            <v>1</v>
          </cell>
          <cell r="AS1027">
            <v>1</v>
          </cell>
          <cell r="AT1027">
            <v>1</v>
          </cell>
          <cell r="AU1027">
            <v>1</v>
          </cell>
          <cell r="AV1027">
            <v>1</v>
          </cell>
          <cell r="AW1027">
            <v>1</v>
          </cell>
          <cell r="AX1027">
            <v>1</v>
          </cell>
          <cell r="AY1027">
            <v>1</v>
          </cell>
          <cell r="AZ1027">
            <v>1</v>
          </cell>
          <cell r="BA1027">
            <v>1</v>
          </cell>
          <cell r="BB1027">
            <v>1</v>
          </cell>
          <cell r="BC1027">
            <v>1</v>
          </cell>
          <cell r="BD1027">
            <v>1</v>
          </cell>
          <cell r="BE1027">
            <v>1</v>
          </cell>
          <cell r="BF1027">
            <v>1</v>
          </cell>
          <cell r="BG1027">
            <v>1</v>
          </cell>
          <cell r="BH1027">
            <v>1</v>
          </cell>
          <cell r="BI1027">
            <v>1</v>
          </cell>
          <cell r="BJ1027">
            <v>1</v>
          </cell>
          <cell r="BK1027">
            <v>1</v>
          </cell>
          <cell r="BL1027">
            <v>1</v>
          </cell>
          <cell r="BM1027">
            <v>1</v>
          </cell>
          <cell r="BN1027">
            <v>1</v>
          </cell>
          <cell r="BO1027">
            <v>1</v>
          </cell>
          <cell r="BP1027">
            <v>1</v>
          </cell>
          <cell r="BQ1027">
            <v>1</v>
          </cell>
          <cell r="BR1027">
            <v>1</v>
          </cell>
          <cell r="BS1027">
            <v>1</v>
          </cell>
          <cell r="BT1027">
            <v>1</v>
          </cell>
          <cell r="BU1027">
            <v>1</v>
          </cell>
          <cell r="BV1027">
            <v>1</v>
          </cell>
        </row>
        <row r="1028">
          <cell r="A1028" t="str">
            <v>CDPO</v>
          </cell>
          <cell r="B1028" t="str">
            <v>P74</v>
          </cell>
          <cell r="D1028" t="str">
            <v>SHIFT C HC  - efficiency</v>
          </cell>
          <cell r="Z1028">
            <v>1</v>
          </cell>
          <cell r="AA1028">
            <v>1</v>
          </cell>
          <cell r="AB1028">
            <v>1</v>
          </cell>
          <cell r="AC1028">
            <v>1</v>
          </cell>
          <cell r="AD1028">
            <v>1</v>
          </cell>
          <cell r="AE1028">
            <v>1</v>
          </cell>
          <cell r="AF1028">
            <v>1</v>
          </cell>
          <cell r="AG1028">
            <v>1</v>
          </cell>
          <cell r="AH1028">
            <v>1</v>
          </cell>
          <cell r="AI1028">
            <v>1</v>
          </cell>
          <cell r="AJ1028">
            <v>1</v>
          </cell>
          <cell r="AK1028">
            <v>1</v>
          </cell>
          <cell r="AL1028">
            <v>1</v>
          </cell>
          <cell r="AM1028">
            <v>1</v>
          </cell>
          <cell r="AN1028">
            <v>1</v>
          </cell>
          <cell r="AO1028">
            <v>1</v>
          </cell>
          <cell r="AP1028">
            <v>1</v>
          </cell>
          <cell r="AQ1028">
            <v>1</v>
          </cell>
          <cell r="AR1028">
            <v>1</v>
          </cell>
          <cell r="AS1028">
            <v>1</v>
          </cell>
          <cell r="AT1028">
            <v>1</v>
          </cell>
          <cell r="AU1028">
            <v>1</v>
          </cell>
          <cell r="AV1028">
            <v>1</v>
          </cell>
          <cell r="AW1028">
            <v>1</v>
          </cell>
          <cell r="AX1028">
            <v>1</v>
          </cell>
          <cell r="AY1028">
            <v>1</v>
          </cell>
          <cell r="AZ1028">
            <v>1</v>
          </cell>
          <cell r="BA1028">
            <v>1</v>
          </cell>
          <cell r="BB1028">
            <v>1</v>
          </cell>
          <cell r="BC1028">
            <v>1</v>
          </cell>
          <cell r="BD1028">
            <v>1</v>
          </cell>
          <cell r="BE1028">
            <v>1</v>
          </cell>
          <cell r="BF1028">
            <v>1</v>
          </cell>
          <cell r="BG1028">
            <v>1</v>
          </cell>
          <cell r="BH1028">
            <v>1</v>
          </cell>
          <cell r="BI1028">
            <v>1</v>
          </cell>
          <cell r="BJ1028">
            <v>1</v>
          </cell>
          <cell r="BK1028">
            <v>1</v>
          </cell>
          <cell r="BL1028">
            <v>1</v>
          </cell>
          <cell r="BM1028">
            <v>1</v>
          </cell>
          <cell r="BN1028">
            <v>1</v>
          </cell>
          <cell r="BO1028">
            <v>1</v>
          </cell>
          <cell r="BP1028">
            <v>1</v>
          </cell>
          <cell r="BQ1028">
            <v>1</v>
          </cell>
          <cell r="BR1028">
            <v>1</v>
          </cell>
          <cell r="BS1028">
            <v>1</v>
          </cell>
          <cell r="BT1028">
            <v>1</v>
          </cell>
          <cell r="BU1028">
            <v>1</v>
          </cell>
          <cell r="BV1028">
            <v>1</v>
          </cell>
        </row>
        <row r="1029">
          <cell r="A1029" t="str">
            <v>CDPO</v>
          </cell>
          <cell r="B1029" t="str">
            <v>P74</v>
          </cell>
          <cell r="D1029" t="str">
            <v>Total efficiency</v>
          </cell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</row>
        <row r="1030">
          <cell r="A1030" t="str">
            <v>CDPO</v>
          </cell>
          <cell r="B1030" t="str">
            <v>P74</v>
          </cell>
          <cell r="D1030" t="str">
            <v>SHIFT A - output</v>
          </cell>
          <cell r="Z1030">
            <v>252.04200700116684</v>
          </cell>
          <cell r="AA1030">
            <v>315.0525087514585</v>
          </cell>
          <cell r="AB1030">
            <v>252.04200700116684</v>
          </cell>
          <cell r="AC1030">
            <v>252.04200700116684</v>
          </cell>
          <cell r="AD1030">
            <v>252.04200700116684</v>
          </cell>
          <cell r="AE1030">
            <v>252.04200700116684</v>
          </cell>
          <cell r="AF1030">
            <v>252.04200700116684</v>
          </cell>
          <cell r="AG1030">
            <v>252.04200700116684</v>
          </cell>
          <cell r="AH1030">
            <v>252.04200700116684</v>
          </cell>
          <cell r="AI1030">
            <v>252.04200700116684</v>
          </cell>
          <cell r="AJ1030">
            <v>252.04200700116684</v>
          </cell>
          <cell r="AK1030">
            <v>252.04200700116684</v>
          </cell>
          <cell r="AL1030">
            <v>252.04200700116684</v>
          </cell>
          <cell r="AM1030">
            <v>252.04200700116684</v>
          </cell>
          <cell r="AN1030">
            <v>252.04200700116684</v>
          </cell>
          <cell r="AO1030">
            <v>189.03150525087514</v>
          </cell>
          <cell r="AP1030">
            <v>189.03150525087514</v>
          </cell>
          <cell r="AQ1030">
            <v>189.03150525087514</v>
          </cell>
          <cell r="AR1030">
            <v>189.03150525087514</v>
          </cell>
          <cell r="AS1030">
            <v>189.03150525087514</v>
          </cell>
          <cell r="AT1030">
            <v>189.03150525087514</v>
          </cell>
          <cell r="AU1030">
            <v>189.03150525087514</v>
          </cell>
          <cell r="AV1030">
            <v>189.03150525087514</v>
          </cell>
          <cell r="AW1030">
            <v>189.03150525087514</v>
          </cell>
          <cell r="AX1030">
            <v>189.03150525087514</v>
          </cell>
          <cell r="AY1030">
            <v>189.03150525087514</v>
          </cell>
          <cell r="AZ1030">
            <v>189.03150525087514</v>
          </cell>
          <cell r="BA1030">
            <v>189.03150525087514</v>
          </cell>
          <cell r="BB1030">
            <v>189.03150525087514</v>
          </cell>
          <cell r="BC1030">
            <v>189.03150525087514</v>
          </cell>
          <cell r="BD1030">
            <v>189.03150525087514</v>
          </cell>
          <cell r="BE1030">
            <v>189.03150525087514</v>
          </cell>
          <cell r="BF1030">
            <v>189.03150525087514</v>
          </cell>
          <cell r="BG1030">
            <v>126.02100350058342</v>
          </cell>
          <cell r="BH1030">
            <v>126.02100350058342</v>
          </cell>
          <cell r="BI1030">
            <v>126.02100350058342</v>
          </cell>
          <cell r="BJ1030">
            <v>126.02100350058342</v>
          </cell>
          <cell r="BK1030">
            <v>189.03150525087514</v>
          </cell>
          <cell r="BL1030">
            <v>189.03150525087514</v>
          </cell>
          <cell r="BM1030">
            <v>189.03150525087514</v>
          </cell>
          <cell r="BN1030">
            <v>189.03150525087514</v>
          </cell>
          <cell r="BO1030">
            <v>189.03150525087514</v>
          </cell>
          <cell r="BP1030">
            <v>189.03150525087514</v>
          </cell>
          <cell r="BQ1030">
            <v>189.03150525087514</v>
          </cell>
          <cell r="BR1030">
            <v>189.03150525087514</v>
          </cell>
          <cell r="BS1030">
            <v>189.03150525087514</v>
          </cell>
          <cell r="BT1030">
            <v>189.03150525087514</v>
          </cell>
          <cell r="BU1030">
            <v>189.03150525087514</v>
          </cell>
          <cell r="BV1030">
            <v>189.03150525087514</v>
          </cell>
        </row>
        <row r="1031">
          <cell r="A1031" t="str">
            <v>CDPO</v>
          </cell>
          <cell r="B1031" t="str">
            <v>P74</v>
          </cell>
          <cell r="D1031" t="str">
            <v>SHIFT B  - output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0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</row>
        <row r="1032">
          <cell r="A1032" t="str">
            <v>CDPO</v>
          </cell>
          <cell r="B1032" t="str">
            <v>P74</v>
          </cell>
          <cell r="D1032" t="str">
            <v>SHIFT C  - output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  <cell r="BT1032">
            <v>0</v>
          </cell>
          <cell r="BU1032">
            <v>0</v>
          </cell>
          <cell r="BV1032">
            <v>0</v>
          </cell>
        </row>
        <row r="1033">
          <cell r="A1033" t="str">
            <v>CDPO</v>
          </cell>
          <cell r="B1033" t="str">
            <v>P74</v>
          </cell>
          <cell r="D1033" t="str">
            <v>Est. Output (Pcs day)</v>
          </cell>
          <cell r="E1033">
            <v>8.57</v>
          </cell>
          <cell r="Z1033">
            <v>252.04200700116684</v>
          </cell>
          <cell r="AA1033">
            <v>315.0525087514585</v>
          </cell>
          <cell r="AB1033">
            <v>252.04200700116684</v>
          </cell>
          <cell r="AC1033">
            <v>252.04200700116684</v>
          </cell>
          <cell r="AD1033">
            <v>252.04200700116684</v>
          </cell>
          <cell r="AE1033">
            <v>252.04200700116684</v>
          </cell>
          <cell r="AF1033">
            <v>252.04200700116684</v>
          </cell>
          <cell r="AG1033">
            <v>252.04200700116684</v>
          </cell>
          <cell r="AH1033">
            <v>252.04200700116684</v>
          </cell>
          <cell r="AI1033">
            <v>252.04200700116684</v>
          </cell>
          <cell r="AJ1033">
            <v>252.04200700116684</v>
          </cell>
          <cell r="AK1033">
            <v>252.04200700116684</v>
          </cell>
          <cell r="AL1033">
            <v>252.04200700116684</v>
          </cell>
          <cell r="AM1033">
            <v>252.04200700116684</v>
          </cell>
          <cell r="AN1033">
            <v>252.04200700116684</v>
          </cell>
          <cell r="AO1033">
            <v>189.03150525087514</v>
          </cell>
          <cell r="AP1033">
            <v>189.03150525087514</v>
          </cell>
          <cell r="AQ1033">
            <v>189.03150525087514</v>
          </cell>
          <cell r="AR1033">
            <v>189.03150525087514</v>
          </cell>
          <cell r="AS1033">
            <v>189.03150525087514</v>
          </cell>
          <cell r="AT1033">
            <v>189.03150525087514</v>
          </cell>
          <cell r="AU1033">
            <v>189.03150525087514</v>
          </cell>
          <cell r="AV1033">
            <v>189.03150525087514</v>
          </cell>
          <cell r="AW1033">
            <v>189.03150525087514</v>
          </cell>
          <cell r="AX1033">
            <v>189.03150525087514</v>
          </cell>
          <cell r="AY1033">
            <v>189.03150525087514</v>
          </cell>
          <cell r="AZ1033">
            <v>189.03150525087514</v>
          </cell>
          <cell r="BA1033">
            <v>189.03150525087514</v>
          </cell>
          <cell r="BB1033">
            <v>189.03150525087514</v>
          </cell>
          <cell r="BC1033">
            <v>189.03150525087514</v>
          </cell>
          <cell r="BD1033">
            <v>189.03150525087514</v>
          </cell>
          <cell r="BE1033">
            <v>189.03150525087514</v>
          </cell>
          <cell r="BF1033">
            <v>189.03150525087514</v>
          </cell>
          <cell r="BG1033">
            <v>126.02100350058342</v>
          </cell>
          <cell r="BH1033">
            <v>126.02100350058342</v>
          </cell>
          <cell r="BI1033">
            <v>126.02100350058342</v>
          </cell>
          <cell r="BJ1033">
            <v>126.02100350058342</v>
          </cell>
          <cell r="BK1033">
            <v>189.03150525087514</v>
          </cell>
          <cell r="BL1033">
            <v>189.03150525087514</v>
          </cell>
          <cell r="BM1033">
            <v>189.03150525087514</v>
          </cell>
          <cell r="BN1033">
            <v>189.03150525087514</v>
          </cell>
          <cell r="BO1033">
            <v>189.03150525087514</v>
          </cell>
          <cell r="BP1033">
            <v>189.03150525087514</v>
          </cell>
          <cell r="BQ1033">
            <v>189.03150525087514</v>
          </cell>
          <cell r="BR1033">
            <v>189.03150525087514</v>
          </cell>
          <cell r="BS1033">
            <v>189.03150525087514</v>
          </cell>
          <cell r="BT1033">
            <v>189.03150525087514</v>
          </cell>
          <cell r="BU1033">
            <v>189.03150525087514</v>
          </cell>
          <cell r="BV1033">
            <v>189.03150525087514</v>
          </cell>
        </row>
        <row r="1034">
          <cell r="A1034" t="str">
            <v>CDPO</v>
          </cell>
          <cell r="B1034" t="str">
            <v>P74</v>
          </cell>
          <cell r="D1034" t="str">
            <v>Weekly Output PLAN</v>
          </cell>
          <cell r="E1034" t="str">
            <v>SEW</v>
          </cell>
          <cell r="Z1034">
            <v>1260.2100350058342</v>
          </cell>
          <cell r="AA1034">
            <v>1575.2625437572924</v>
          </cell>
          <cell r="AB1034">
            <v>1260.2100350058342</v>
          </cell>
          <cell r="AC1034">
            <v>1260.2100350058342</v>
          </cell>
          <cell r="AD1034">
            <v>756.12602100350045</v>
          </cell>
          <cell r="AE1034">
            <v>1260.2100350058342</v>
          </cell>
          <cell r="AF1034">
            <v>1260.2100350058342</v>
          </cell>
          <cell r="AG1034">
            <v>1260.2100350058342</v>
          </cell>
          <cell r="AH1034">
            <v>1260.2100350058342</v>
          </cell>
          <cell r="AI1034">
            <v>1260.2100350058342</v>
          </cell>
          <cell r="AJ1034">
            <v>1260.2100350058342</v>
          </cell>
          <cell r="AK1034">
            <v>1008.1680280046673</v>
          </cell>
          <cell r="AL1034">
            <v>1008.1680280046673</v>
          </cell>
          <cell r="AM1034">
            <v>1260.2100350058342</v>
          </cell>
          <cell r="AN1034">
            <v>1008.1680280046673</v>
          </cell>
          <cell r="AO1034">
            <v>945.15752625437574</v>
          </cell>
          <cell r="AP1034">
            <v>945.15752625437574</v>
          </cell>
          <cell r="AQ1034">
            <v>945.15752625437574</v>
          </cell>
          <cell r="AR1034">
            <v>945.15752625437574</v>
          </cell>
          <cell r="AS1034">
            <v>945.15752625437574</v>
          </cell>
          <cell r="AT1034">
            <v>945.15752625437574</v>
          </cell>
          <cell r="AU1034">
            <v>945.15752625437574</v>
          </cell>
          <cell r="AV1034">
            <v>945.15752625437574</v>
          </cell>
          <cell r="AW1034">
            <v>945.15752625437574</v>
          </cell>
          <cell r="AX1034">
            <v>945.15752625437574</v>
          </cell>
          <cell r="AY1034">
            <v>945.15752625437574</v>
          </cell>
          <cell r="AZ1034">
            <v>0</v>
          </cell>
          <cell r="BA1034">
            <v>0</v>
          </cell>
          <cell r="BB1034">
            <v>0</v>
          </cell>
          <cell r="BC1034">
            <v>945.15752625437574</v>
          </cell>
          <cell r="BD1034">
            <v>945.15752625437574</v>
          </cell>
          <cell r="BE1034">
            <v>945.15752625437574</v>
          </cell>
          <cell r="BF1034">
            <v>945.15752625437574</v>
          </cell>
          <cell r="BG1034">
            <v>630.10501750291712</v>
          </cell>
          <cell r="BH1034">
            <v>630.10501750291712</v>
          </cell>
          <cell r="BI1034">
            <v>630.10501750291712</v>
          </cell>
          <cell r="BJ1034">
            <v>630.10501750291712</v>
          </cell>
          <cell r="BK1034">
            <v>945.15752625437574</v>
          </cell>
          <cell r="BL1034">
            <v>945.15752625437574</v>
          </cell>
          <cell r="BM1034">
            <v>945.15752625437574</v>
          </cell>
          <cell r="BN1034">
            <v>945.15752625437574</v>
          </cell>
          <cell r="BO1034">
            <v>567.0945157526254</v>
          </cell>
          <cell r="BP1034">
            <v>567.0945157526254</v>
          </cell>
          <cell r="BQ1034">
            <v>567.0945157526254</v>
          </cell>
          <cell r="BR1034">
            <v>567.0945157526254</v>
          </cell>
          <cell r="BS1034">
            <v>567.0945157526254</v>
          </cell>
          <cell r="BT1034">
            <v>567.0945157526254</v>
          </cell>
          <cell r="BU1034">
            <v>567.0945157526254</v>
          </cell>
          <cell r="BV1034">
            <v>567.0945157526254</v>
          </cell>
        </row>
        <row r="1035">
          <cell r="A1035" t="str">
            <v>CDPO</v>
          </cell>
          <cell r="B1035" t="str">
            <v>P74</v>
          </cell>
          <cell r="D1035" t="str">
            <v>CDPO P74 ALKANTARA</v>
          </cell>
          <cell r="E1035">
            <v>6.4206000000000003</v>
          </cell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</row>
        <row r="1036">
          <cell r="A1036" t="str">
            <v>CDPO</v>
          </cell>
          <cell r="B1036" t="str">
            <v>P74</v>
          </cell>
          <cell r="D1036" t="str">
            <v>CDPO P74-LTH</v>
          </cell>
          <cell r="E1036">
            <v>12.8925</v>
          </cell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</row>
        <row r="1037">
          <cell r="A1037" t="str">
            <v>CDPO</v>
          </cell>
          <cell r="B1037" t="str">
            <v>P74</v>
          </cell>
          <cell r="D1037" t="str">
            <v>CDPO P74-SABPRPO-ISERT</v>
          </cell>
          <cell r="E1037">
            <v>6.3837000000000002</v>
          </cell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</row>
        <row r="1038">
          <cell r="A1038" t="str">
            <v>CDPO</v>
          </cell>
          <cell r="B1038" t="str">
            <v>P74</v>
          </cell>
          <cell r="D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</row>
        <row r="1039">
          <cell r="A1039" t="str">
            <v>CDPO</v>
          </cell>
          <cell r="B1039" t="str">
            <v>P74</v>
          </cell>
          <cell r="D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</row>
        <row r="1040">
          <cell r="A1040" t="str">
            <v>CDPO</v>
          </cell>
          <cell r="B1040" t="str">
            <v>P74</v>
          </cell>
          <cell r="D1040" t="str">
            <v>Weekly Output PLAN - SUM of models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</row>
        <row r="1041">
          <cell r="A1041" t="str">
            <v>CDPO</v>
          </cell>
          <cell r="B1041" t="str">
            <v>P74</v>
          </cell>
          <cell r="D1041" t="str">
            <v>Weekly Output CHECK with TO time multiple</v>
          </cell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</row>
        <row r="1042">
          <cell r="A1042" t="str">
            <v>CDPO</v>
          </cell>
          <cell r="B1042" t="str">
            <v>P74</v>
          </cell>
          <cell r="D1042" t="str">
            <v>Weekly Output ACT</v>
          </cell>
          <cell r="Z1042">
            <v>1260.2100350058342</v>
          </cell>
          <cell r="AA1042">
            <v>1575.2625437572924</v>
          </cell>
          <cell r="AB1042">
            <v>1260.2100350058342</v>
          </cell>
          <cell r="AC1042">
            <v>1260.2100350058342</v>
          </cell>
          <cell r="AD1042">
            <v>756.12602100350045</v>
          </cell>
          <cell r="AE1042">
            <v>1260.2100350058342</v>
          </cell>
          <cell r="AF1042">
            <v>1260.2100350058342</v>
          </cell>
          <cell r="AG1042">
            <v>1260.2100350058342</v>
          </cell>
          <cell r="AH1042">
            <v>1260.2100350058342</v>
          </cell>
          <cell r="AI1042">
            <v>1260.2100350058342</v>
          </cell>
          <cell r="AJ1042">
            <v>1260.2100350058342</v>
          </cell>
          <cell r="AK1042">
            <v>1008.1680280046673</v>
          </cell>
          <cell r="AL1042">
            <v>1008.1680280046673</v>
          </cell>
          <cell r="AM1042">
            <v>1260.2100350058342</v>
          </cell>
          <cell r="AN1042">
            <v>1008.1680280046673</v>
          </cell>
          <cell r="AO1042">
            <v>945.15752625437574</v>
          </cell>
          <cell r="AP1042">
            <v>945.15752625437574</v>
          </cell>
          <cell r="AQ1042">
            <v>945.15752625437574</v>
          </cell>
          <cell r="AR1042">
            <v>945.15752625437574</v>
          </cell>
          <cell r="AS1042">
            <v>945.15752625437574</v>
          </cell>
          <cell r="AT1042">
            <v>945.15752625437574</v>
          </cell>
          <cell r="AU1042">
            <v>945.15752625437574</v>
          </cell>
          <cell r="AV1042">
            <v>945.15752625437574</v>
          </cell>
          <cell r="AW1042">
            <v>945.15752625437574</v>
          </cell>
          <cell r="AX1042">
            <v>945.15752625437574</v>
          </cell>
          <cell r="AY1042">
            <v>945.15752625437574</v>
          </cell>
          <cell r="AZ1042">
            <v>0</v>
          </cell>
          <cell r="BA1042">
            <v>0</v>
          </cell>
          <cell r="BB1042">
            <v>0</v>
          </cell>
          <cell r="BC1042">
            <v>945.15752625437574</v>
          </cell>
          <cell r="BD1042">
            <v>945.15752625437574</v>
          </cell>
          <cell r="BE1042">
            <v>945.15752625437574</v>
          </cell>
          <cell r="BF1042">
            <v>945.15752625437574</v>
          </cell>
          <cell r="BG1042">
            <v>630.10501750291712</v>
          </cell>
          <cell r="BH1042">
            <v>630.10501750291712</v>
          </cell>
          <cell r="BI1042">
            <v>630.10501750291712</v>
          </cell>
          <cell r="BJ1042">
            <v>630.10501750291712</v>
          </cell>
          <cell r="BK1042">
            <v>945.15752625437574</v>
          </cell>
          <cell r="BL1042">
            <v>945.15752625437574</v>
          </cell>
          <cell r="BM1042">
            <v>945.15752625437574</v>
          </cell>
          <cell r="BN1042">
            <v>945.15752625437574</v>
          </cell>
          <cell r="BO1042">
            <v>567.0945157526254</v>
          </cell>
          <cell r="BP1042">
            <v>567.0945157526254</v>
          </cell>
          <cell r="BQ1042">
            <v>567.0945157526254</v>
          </cell>
          <cell r="BR1042">
            <v>567.0945157526254</v>
          </cell>
          <cell r="BS1042">
            <v>567.0945157526254</v>
          </cell>
          <cell r="BT1042">
            <v>567.0945157526254</v>
          </cell>
          <cell r="BU1042">
            <v>567.0945157526254</v>
          </cell>
          <cell r="BV1042">
            <v>567.0945157526254</v>
          </cell>
        </row>
        <row r="1043">
          <cell r="A1043" t="str">
            <v>CDPO</v>
          </cell>
          <cell r="B1043" t="str">
            <v>P74</v>
          </cell>
          <cell r="D1043" t="str">
            <v>CDPO P74 ALKANTARA</v>
          </cell>
          <cell r="Z1043">
            <v>1064.4712430426719</v>
          </cell>
          <cell r="AA1043">
            <v>1419.2949907235625</v>
          </cell>
          <cell r="AB1043">
            <v>1064.4712430426719</v>
          </cell>
          <cell r="AC1043">
            <v>1064.4712430426719</v>
          </cell>
          <cell r="AD1043">
            <v>638.68274582560309</v>
          </cell>
          <cell r="AE1043">
            <v>1064.4712430426719</v>
          </cell>
          <cell r="AF1043">
            <v>1064.4712430426719</v>
          </cell>
          <cell r="AG1043">
            <v>1064.4712430426719</v>
          </cell>
          <cell r="AH1043">
            <v>1064.4712430426719</v>
          </cell>
          <cell r="AI1043">
            <v>1064.4712430426719</v>
          </cell>
          <cell r="AJ1043">
            <v>1064.4712430426719</v>
          </cell>
          <cell r="AK1043">
            <v>851.57699443413742</v>
          </cell>
          <cell r="AL1043">
            <v>851.57699443413742</v>
          </cell>
          <cell r="AM1043">
            <v>1064.4712430426719</v>
          </cell>
          <cell r="AN1043">
            <v>851.57699443413742</v>
          </cell>
          <cell r="AO1043">
            <v>1064.4712430426719</v>
          </cell>
          <cell r="AP1043">
            <v>1064.4712430426719</v>
          </cell>
          <cell r="AQ1043">
            <v>1064.4712430426719</v>
          </cell>
          <cell r="AR1043">
            <v>1064.4712430426719</v>
          </cell>
          <cell r="AS1043">
            <v>1064.4712430426719</v>
          </cell>
          <cell r="AT1043">
            <v>709.64749536178124</v>
          </cell>
          <cell r="AU1043">
            <v>709.64749536178124</v>
          </cell>
          <cell r="AV1043">
            <v>709.64749536178124</v>
          </cell>
          <cell r="AW1043">
            <v>354.82374768089062</v>
          </cell>
          <cell r="AX1043">
            <v>354.82374768089062</v>
          </cell>
          <cell r="AY1043">
            <v>354.82374768089062</v>
          </cell>
          <cell r="AZ1043">
            <v>354.82374768089062</v>
          </cell>
          <cell r="BA1043">
            <v>0</v>
          </cell>
          <cell r="BB1043">
            <v>0</v>
          </cell>
          <cell r="BC1043">
            <v>354.82374768089062</v>
          </cell>
          <cell r="BD1043">
            <v>354.82374768089062</v>
          </cell>
          <cell r="BE1043">
            <v>354.82374768089062</v>
          </cell>
          <cell r="BF1043">
            <v>354.82374768089062</v>
          </cell>
          <cell r="BG1043">
            <v>354.82374768089062</v>
          </cell>
          <cell r="BH1043">
            <v>354.82374768089062</v>
          </cell>
          <cell r="BI1043">
            <v>354.82374768089062</v>
          </cell>
          <cell r="BJ1043">
            <v>354.82374768089062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</row>
        <row r="1044">
          <cell r="A1044" t="str">
            <v>CDPO</v>
          </cell>
          <cell r="B1044" t="str">
            <v>P74</v>
          </cell>
          <cell r="D1044" t="str">
            <v>CDPO P74-LTH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</row>
        <row r="1045">
          <cell r="A1045" t="str">
            <v>CDPO</v>
          </cell>
          <cell r="B1045" t="str">
            <v>P74</v>
          </cell>
          <cell r="D1045" t="str">
            <v>CDPO P74-SABPRPO-ISERT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</row>
        <row r="1046">
          <cell r="A1046" t="str">
            <v>CDPO</v>
          </cell>
          <cell r="B1046" t="str">
            <v>P74</v>
          </cell>
          <cell r="D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</row>
        <row r="1047">
          <cell r="A1047" t="str">
            <v>CDPO</v>
          </cell>
          <cell r="B1047" t="str">
            <v>P74</v>
          </cell>
          <cell r="D1047">
            <v>0</v>
          </cell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</row>
        <row r="1048">
          <cell r="A1048" t="str">
            <v>CDPO</v>
          </cell>
          <cell r="B1048" t="str">
            <v>P74</v>
          </cell>
          <cell r="D1048" t="str">
            <v>Weekly demand</v>
          </cell>
          <cell r="Z1048">
            <v>1064.4712430426719</v>
          </cell>
          <cell r="AA1048">
            <v>1419.2949907235625</v>
          </cell>
          <cell r="AB1048">
            <v>1064.4712430426719</v>
          </cell>
          <cell r="AC1048">
            <v>1064.4712430426719</v>
          </cell>
          <cell r="AD1048">
            <v>638.68274582560309</v>
          </cell>
          <cell r="AE1048">
            <v>1064.4712430426719</v>
          </cell>
          <cell r="AF1048">
            <v>1064.4712430426719</v>
          </cell>
          <cell r="AG1048">
            <v>1064.4712430426719</v>
          </cell>
          <cell r="AH1048">
            <v>1064.4712430426719</v>
          </cell>
          <cell r="AI1048">
            <v>1064.4712430426719</v>
          </cell>
          <cell r="AJ1048">
            <v>1064.4712430426719</v>
          </cell>
          <cell r="AK1048">
            <v>851.57699443413742</v>
          </cell>
          <cell r="AL1048">
            <v>851.57699443413742</v>
          </cell>
          <cell r="AM1048">
            <v>1064.4712430426719</v>
          </cell>
          <cell r="AN1048">
            <v>851.57699443413742</v>
          </cell>
          <cell r="AO1048">
            <v>1064.4712430426719</v>
          </cell>
          <cell r="AP1048">
            <v>1064.4712430426719</v>
          </cell>
          <cell r="AQ1048">
            <v>1064.4712430426719</v>
          </cell>
          <cell r="AR1048">
            <v>1064.4712430426719</v>
          </cell>
          <cell r="AS1048">
            <v>1064.4712430426719</v>
          </cell>
          <cell r="AT1048">
            <v>709.64749536178124</v>
          </cell>
          <cell r="AU1048">
            <v>709.64749536178124</v>
          </cell>
          <cell r="AV1048">
            <v>709.64749536178124</v>
          </cell>
          <cell r="AW1048">
            <v>354.82374768089062</v>
          </cell>
          <cell r="AX1048">
            <v>354.82374768089062</v>
          </cell>
          <cell r="AY1048">
            <v>354.82374768089062</v>
          </cell>
          <cell r="AZ1048">
            <v>354.82374768089062</v>
          </cell>
          <cell r="BA1048">
            <v>0</v>
          </cell>
          <cell r="BB1048">
            <v>0</v>
          </cell>
          <cell r="BC1048">
            <v>354.82374768089062</v>
          </cell>
          <cell r="BD1048">
            <v>354.82374768089062</v>
          </cell>
          <cell r="BE1048">
            <v>354.82374768089062</v>
          </cell>
          <cell r="BF1048">
            <v>354.82374768089062</v>
          </cell>
          <cell r="BG1048">
            <v>354.82374768089062</v>
          </cell>
          <cell r="BH1048">
            <v>354.82374768089062</v>
          </cell>
          <cell r="BI1048">
            <v>354.82374768089062</v>
          </cell>
          <cell r="BJ1048">
            <v>354.82374768089062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</row>
        <row r="1049">
          <cell r="A1049" t="str">
            <v>CDPO</v>
          </cell>
          <cell r="B1049" t="str">
            <v>P74</v>
          </cell>
          <cell r="D1049" t="str">
            <v>Stock Target</v>
          </cell>
          <cell r="Z1049">
            <v>500</v>
          </cell>
          <cell r="AA1049">
            <v>500</v>
          </cell>
          <cell r="AB1049">
            <v>500</v>
          </cell>
          <cell r="AC1049">
            <v>500</v>
          </cell>
          <cell r="AD1049">
            <v>500</v>
          </cell>
          <cell r="AE1049">
            <v>500</v>
          </cell>
          <cell r="AF1049">
            <v>500</v>
          </cell>
          <cell r="AG1049">
            <v>500</v>
          </cell>
          <cell r="AH1049">
            <v>500</v>
          </cell>
          <cell r="AI1049">
            <v>500</v>
          </cell>
          <cell r="AJ1049">
            <v>2528</v>
          </cell>
          <cell r="AK1049">
            <v>2529</v>
          </cell>
          <cell r="AL1049">
            <v>2530</v>
          </cell>
          <cell r="AM1049">
            <v>2531</v>
          </cell>
          <cell r="AN1049">
            <v>2532</v>
          </cell>
          <cell r="AO1049">
            <v>2533</v>
          </cell>
          <cell r="AP1049">
            <v>2534</v>
          </cell>
          <cell r="AQ1049">
            <v>2535</v>
          </cell>
          <cell r="AR1049">
            <v>2536</v>
          </cell>
          <cell r="AS1049">
            <v>2537</v>
          </cell>
          <cell r="AT1049">
            <v>2538</v>
          </cell>
          <cell r="AU1049">
            <v>2539</v>
          </cell>
          <cell r="AV1049">
            <v>2540</v>
          </cell>
          <cell r="AW1049">
            <v>2541</v>
          </cell>
          <cell r="AX1049">
            <v>2542</v>
          </cell>
          <cell r="AY1049">
            <v>2543</v>
          </cell>
          <cell r="AZ1049">
            <v>2544</v>
          </cell>
          <cell r="BA1049">
            <v>2545</v>
          </cell>
          <cell r="BB1049">
            <v>2546</v>
          </cell>
          <cell r="BC1049">
            <v>2547</v>
          </cell>
          <cell r="BD1049">
            <v>2548</v>
          </cell>
          <cell r="BE1049">
            <v>2549</v>
          </cell>
          <cell r="BF1049">
            <v>2550</v>
          </cell>
          <cell r="BG1049">
            <v>2551</v>
          </cell>
          <cell r="BH1049">
            <v>2552</v>
          </cell>
          <cell r="BI1049">
            <v>2553</v>
          </cell>
          <cell r="BJ1049">
            <v>2554</v>
          </cell>
          <cell r="BK1049">
            <v>2555</v>
          </cell>
          <cell r="BL1049">
            <v>2556</v>
          </cell>
          <cell r="BM1049">
            <v>2557</v>
          </cell>
          <cell r="BN1049">
            <v>2558</v>
          </cell>
          <cell r="BO1049">
            <v>2559</v>
          </cell>
          <cell r="BP1049">
            <v>2560</v>
          </cell>
          <cell r="BQ1049">
            <v>2561</v>
          </cell>
          <cell r="BR1049">
            <v>2562</v>
          </cell>
          <cell r="BS1049">
            <v>2563</v>
          </cell>
          <cell r="BT1049">
            <v>2564</v>
          </cell>
          <cell r="BU1049">
            <v>2565</v>
          </cell>
          <cell r="BV1049">
            <v>2566</v>
          </cell>
        </row>
        <row r="1050">
          <cell r="A1050" t="str">
            <v>CDPO</v>
          </cell>
          <cell r="B1050" t="str">
            <v>P74</v>
          </cell>
          <cell r="D1050" t="str">
            <v>SFG CDPO P74-LTH</v>
          </cell>
          <cell r="Z1050">
            <v>40</v>
          </cell>
          <cell r="AA1050">
            <v>400</v>
          </cell>
          <cell r="AB1050">
            <v>-664.47124304267186</v>
          </cell>
          <cell r="AC1050">
            <v>-1728.9424860853437</v>
          </cell>
          <cell r="AD1050">
            <v>-2367.6252319109467</v>
          </cell>
          <cell r="AE1050">
            <v>-3432.0964749536188</v>
          </cell>
          <cell r="AF1050">
            <v>-4496.5677179962904</v>
          </cell>
          <cell r="AG1050">
            <v>-5561.038961038962</v>
          </cell>
          <cell r="AH1050">
            <v>-6625.5102040816337</v>
          </cell>
          <cell r="AI1050">
            <v>-7689.9814471243053</v>
          </cell>
          <cell r="AJ1050">
            <v>-8754.4526901669778</v>
          </cell>
          <cell r="AK1050">
            <v>-9606.0296846011152</v>
          </cell>
          <cell r="AL1050">
            <v>-10457.606679035252</v>
          </cell>
          <cell r="AM1050">
            <v>-11522.077922077924</v>
          </cell>
          <cell r="AN1050">
            <v>-12373.654916512061</v>
          </cell>
          <cell r="AO1050">
            <v>-13438.126159554733</v>
          </cell>
          <cell r="AP1050">
            <v>-14502.597402597405</v>
          </cell>
          <cell r="AQ1050">
            <v>-15567.068645640076</v>
          </cell>
          <cell r="AR1050">
            <v>-16631.53988868275</v>
          </cell>
          <cell r="AS1050">
            <v>-17696.011131725423</v>
          </cell>
          <cell r="AT1050">
            <v>-18405.658627087203</v>
          </cell>
          <cell r="AU1050">
            <v>-19115.306122448983</v>
          </cell>
          <cell r="AV1050">
            <v>-19824.953617810763</v>
          </cell>
          <cell r="AW1050">
            <v>-20179.777365491653</v>
          </cell>
          <cell r="AX1050">
            <v>-20534.601113172543</v>
          </cell>
          <cell r="AY1050">
            <v>-20889.424860853433</v>
          </cell>
          <cell r="AZ1050">
            <v>-21244.248608534323</v>
          </cell>
          <cell r="BA1050">
            <v>-21244.248608534323</v>
          </cell>
          <cell r="BB1050">
            <v>-21244.248608534323</v>
          </cell>
          <cell r="BC1050">
            <v>-21599.072356215212</v>
          </cell>
          <cell r="BD1050">
            <v>-21953.896103896102</v>
          </cell>
          <cell r="BE1050">
            <v>-22308.719851576992</v>
          </cell>
          <cell r="BF1050">
            <v>-22663.543599257882</v>
          </cell>
          <cell r="BG1050">
            <v>-23018.367346938772</v>
          </cell>
          <cell r="BH1050">
            <v>-23373.191094619662</v>
          </cell>
          <cell r="BI1050">
            <v>-23728.014842300552</v>
          </cell>
          <cell r="BJ1050">
            <v>-24082.838589981442</v>
          </cell>
          <cell r="BK1050">
            <v>-24082.838589981442</v>
          </cell>
          <cell r="BL1050">
            <v>-24082.838589981442</v>
          </cell>
          <cell r="BM1050">
            <v>-24082.838589981442</v>
          </cell>
          <cell r="BN1050">
            <v>-24082.838589981442</v>
          </cell>
          <cell r="BO1050">
            <v>-24082.838589981442</v>
          </cell>
          <cell r="BP1050">
            <v>-24082.838589981442</v>
          </cell>
          <cell r="BQ1050">
            <v>-24082.838589981442</v>
          </cell>
          <cell r="BR1050">
            <v>-24082.838589981442</v>
          </cell>
          <cell r="BS1050">
            <v>-24082.838589981442</v>
          </cell>
          <cell r="BT1050">
            <v>-24082.838589981442</v>
          </cell>
          <cell r="BU1050">
            <v>-24082.838589981442</v>
          </cell>
          <cell r="BV1050">
            <v>-24082.838589981442</v>
          </cell>
        </row>
        <row r="1051">
          <cell r="A1051" t="str">
            <v>CDPO</v>
          </cell>
          <cell r="B1051" t="str">
            <v>P74</v>
          </cell>
          <cell r="D1051"/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</row>
        <row r="1052">
          <cell r="A1052" t="str">
            <v>CDPO</v>
          </cell>
          <cell r="B1052" t="str">
            <v>P74</v>
          </cell>
          <cell r="D1052"/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</row>
        <row r="1053">
          <cell r="A1053" t="str">
            <v>CDPO</v>
          </cell>
          <cell r="B1053" t="str">
            <v>P74</v>
          </cell>
          <cell r="D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</row>
        <row r="1054">
          <cell r="A1054" t="str">
            <v>CDPO</v>
          </cell>
          <cell r="B1054" t="str">
            <v>P74</v>
          </cell>
          <cell r="D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</row>
        <row r="1055">
          <cell r="A1055" t="str">
            <v>CDPO</v>
          </cell>
          <cell r="B1055" t="str">
            <v>P74</v>
          </cell>
          <cell r="D1055" t="str">
            <v>STOCK</v>
          </cell>
          <cell r="Z1055">
            <v>40</v>
          </cell>
          <cell r="AA1055">
            <v>195.96755303372993</v>
          </cell>
          <cell r="AB1055">
            <v>391.70634499689231</v>
          </cell>
          <cell r="AC1055">
            <v>587.4451369600547</v>
          </cell>
          <cell r="AD1055">
            <v>704.88841213795206</v>
          </cell>
          <cell r="AE1055">
            <v>900.62720410111444</v>
          </cell>
          <cell r="AF1055">
            <v>1096.3659960642767</v>
          </cell>
          <cell r="AG1055">
            <v>1292.1047880274391</v>
          </cell>
          <cell r="AH1055">
            <v>1487.8435799906015</v>
          </cell>
          <cell r="AI1055">
            <v>1683.5823719537639</v>
          </cell>
          <cell r="AJ1055">
            <v>1879.3211639169263</v>
          </cell>
          <cell r="AK1055">
            <v>2035.9121974874563</v>
          </cell>
          <cell r="AL1055">
            <v>2192.5032310579863</v>
          </cell>
          <cell r="AM1055">
            <v>2388.2420230211487</v>
          </cell>
          <cell r="AN1055">
            <v>2544.8330565916785</v>
          </cell>
          <cell r="AO1055">
            <v>2425.5193398033825</v>
          </cell>
          <cell r="AP1055">
            <v>2306.2056230150865</v>
          </cell>
          <cell r="AQ1055">
            <v>2186.8919062267905</v>
          </cell>
          <cell r="AR1055">
            <v>2067.5781894384945</v>
          </cell>
          <cell r="AS1055">
            <v>1948.2644726501985</v>
          </cell>
          <cell r="AT1055">
            <v>2183.7745035427929</v>
          </cell>
          <cell r="AU1055">
            <v>2419.2845344353873</v>
          </cell>
          <cell r="AV1055">
            <v>2654.7945653279817</v>
          </cell>
          <cell r="AW1055">
            <v>3245.1283439014669</v>
          </cell>
          <cell r="AX1055">
            <v>3835.4621224749517</v>
          </cell>
          <cell r="AY1055">
            <v>4425.7959010484365</v>
          </cell>
          <cell r="AZ1055">
            <v>4070.9721533675456</v>
          </cell>
          <cell r="BA1055">
            <v>4070.9721533675456</v>
          </cell>
          <cell r="BB1055">
            <v>4070.9721533675456</v>
          </cell>
          <cell r="BC1055">
            <v>4661.3059319410304</v>
          </cell>
          <cell r="BD1055">
            <v>5251.6397105145152</v>
          </cell>
          <cell r="BE1055">
            <v>5841.973489088</v>
          </cell>
          <cell r="BF1055">
            <v>6432.3072676614847</v>
          </cell>
          <cell r="BG1055">
            <v>6707.5885374835107</v>
          </cell>
          <cell r="BH1055">
            <v>6982.8698073055366</v>
          </cell>
          <cell r="BI1055">
            <v>7258.1510771275625</v>
          </cell>
          <cell r="BJ1055">
            <v>7533.4323469495885</v>
          </cell>
          <cell r="BK1055">
            <v>8478.5898732039641</v>
          </cell>
          <cell r="BL1055">
            <v>9423.7473994583397</v>
          </cell>
          <cell r="BM1055">
            <v>10368.904925712715</v>
          </cell>
          <cell r="BN1055">
            <v>11314.062451967091</v>
          </cell>
          <cell r="BO1055">
            <v>11881.156967719717</v>
          </cell>
          <cell r="BP1055">
            <v>12448.251483472342</v>
          </cell>
          <cell r="BQ1055">
            <v>13015.345999224968</v>
          </cell>
          <cell r="BR1055">
            <v>13582.440514977594</v>
          </cell>
          <cell r="BS1055">
            <v>14149.53503073022</v>
          </cell>
          <cell r="BT1055">
            <v>14716.629546482845</v>
          </cell>
          <cell r="BU1055">
            <v>15283.724062235471</v>
          </cell>
          <cell r="BV1055">
            <v>15850.818577988097</v>
          </cell>
        </row>
        <row r="1056">
          <cell r="A1056" t="str">
            <v>Blank</v>
          </cell>
          <cell r="B1056" t="str">
            <v>Blank</v>
          </cell>
          <cell r="D1056" t="str">
            <v>Blank</v>
          </cell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</row>
        <row r="1057">
          <cell r="A1057" t="str">
            <v>JLR</v>
          </cell>
          <cell r="B1057" t="str">
            <v>L551</v>
          </cell>
          <cell r="D1057" t="str">
            <v>Work days</v>
          </cell>
          <cell r="Z1057">
            <v>5</v>
          </cell>
          <cell r="AA1057">
            <v>4</v>
          </cell>
          <cell r="AB1057">
            <v>4</v>
          </cell>
          <cell r="AC1057">
            <v>5</v>
          </cell>
          <cell r="AD1057">
            <v>3</v>
          </cell>
          <cell r="AE1057">
            <v>5</v>
          </cell>
          <cell r="AF1057">
            <v>5</v>
          </cell>
          <cell r="AG1057">
            <v>5</v>
          </cell>
          <cell r="AH1057">
            <v>5</v>
          </cell>
          <cell r="AI1057">
            <v>5</v>
          </cell>
          <cell r="AJ1057">
            <v>5</v>
          </cell>
          <cell r="AK1057">
            <v>4</v>
          </cell>
          <cell r="AL1057">
            <v>4</v>
          </cell>
          <cell r="AM1057">
            <v>5</v>
          </cell>
          <cell r="AN1057">
            <v>4</v>
          </cell>
          <cell r="AO1057">
            <v>5</v>
          </cell>
          <cell r="AP1057">
            <v>5</v>
          </cell>
          <cell r="AQ1057">
            <v>5</v>
          </cell>
          <cell r="AR1057">
            <v>5</v>
          </cell>
          <cell r="AS1057">
            <v>5</v>
          </cell>
          <cell r="AT1057">
            <v>5</v>
          </cell>
          <cell r="AU1057">
            <v>5</v>
          </cell>
          <cell r="AV1057">
            <v>5</v>
          </cell>
          <cell r="AW1057">
            <v>5</v>
          </cell>
          <cell r="AX1057">
            <v>5</v>
          </cell>
          <cell r="AY1057">
            <v>5</v>
          </cell>
          <cell r="AZ1057">
            <v>0</v>
          </cell>
          <cell r="BA1057">
            <v>0</v>
          </cell>
          <cell r="BB1057">
            <v>5</v>
          </cell>
          <cell r="BC1057">
            <v>5</v>
          </cell>
          <cell r="BD1057">
            <v>5</v>
          </cell>
          <cell r="BE1057">
            <v>5</v>
          </cell>
          <cell r="BF1057">
            <v>5</v>
          </cell>
          <cell r="BG1057">
            <v>5</v>
          </cell>
          <cell r="BH1057">
            <v>5</v>
          </cell>
          <cell r="BI1057">
            <v>5</v>
          </cell>
          <cell r="BJ1057">
            <v>5</v>
          </cell>
          <cell r="BK1057">
            <v>5</v>
          </cell>
          <cell r="BL1057">
            <v>3</v>
          </cell>
          <cell r="BM1057">
            <v>3</v>
          </cell>
          <cell r="BN1057">
            <v>3</v>
          </cell>
          <cell r="BO1057">
            <v>3</v>
          </cell>
          <cell r="BP1057">
            <v>3</v>
          </cell>
          <cell r="BQ1057">
            <v>3</v>
          </cell>
          <cell r="BR1057">
            <v>3</v>
          </cell>
          <cell r="BS1057">
            <v>3</v>
          </cell>
          <cell r="BT1057">
            <v>3</v>
          </cell>
          <cell r="BU1057">
            <v>3</v>
          </cell>
          <cell r="BV1057">
            <v>3</v>
          </cell>
        </row>
        <row r="1058">
          <cell r="A1058" t="str">
            <v>JLR</v>
          </cell>
          <cell r="B1058" t="str">
            <v>L551</v>
          </cell>
          <cell r="D1058" t="str">
            <v>SHIFT A HC - operators</v>
          </cell>
          <cell r="Z1058">
            <v>1</v>
          </cell>
          <cell r="AA1058">
            <v>1</v>
          </cell>
          <cell r="AB1058">
            <v>1</v>
          </cell>
          <cell r="AC1058">
            <v>1</v>
          </cell>
          <cell r="AD1058">
            <v>1</v>
          </cell>
          <cell r="AE1058">
            <v>1</v>
          </cell>
          <cell r="AF1058">
            <v>1</v>
          </cell>
          <cell r="AG1058">
            <v>1</v>
          </cell>
          <cell r="AH1058">
            <v>1</v>
          </cell>
          <cell r="AI1058">
            <v>1</v>
          </cell>
          <cell r="AJ1058">
            <v>1</v>
          </cell>
          <cell r="AK1058">
            <v>1</v>
          </cell>
          <cell r="AL1058">
            <v>1</v>
          </cell>
          <cell r="AM1058">
            <v>1</v>
          </cell>
          <cell r="AN1058">
            <v>1</v>
          </cell>
          <cell r="AO1058">
            <v>1</v>
          </cell>
          <cell r="AP1058">
            <v>1</v>
          </cell>
          <cell r="AQ1058">
            <v>1</v>
          </cell>
          <cell r="AR1058">
            <v>1</v>
          </cell>
          <cell r="AS1058">
            <v>1</v>
          </cell>
          <cell r="AT1058">
            <v>1</v>
          </cell>
          <cell r="AU1058">
            <v>1</v>
          </cell>
          <cell r="AV1058">
            <v>1</v>
          </cell>
          <cell r="AW1058">
            <v>1</v>
          </cell>
          <cell r="AX1058">
            <v>1</v>
          </cell>
          <cell r="AY1058">
            <v>1</v>
          </cell>
          <cell r="AZ1058">
            <v>1</v>
          </cell>
          <cell r="BA1058">
            <v>1</v>
          </cell>
          <cell r="BB1058">
            <v>1</v>
          </cell>
          <cell r="BC1058">
            <v>1</v>
          </cell>
          <cell r="BD1058">
            <v>1</v>
          </cell>
          <cell r="BE1058">
            <v>1</v>
          </cell>
          <cell r="BF1058">
            <v>1</v>
          </cell>
          <cell r="BG1058">
            <v>1</v>
          </cell>
          <cell r="BH1058">
            <v>1</v>
          </cell>
          <cell r="BI1058">
            <v>1</v>
          </cell>
          <cell r="BJ1058">
            <v>1</v>
          </cell>
          <cell r="BK1058">
            <v>3</v>
          </cell>
          <cell r="BL1058">
            <v>3</v>
          </cell>
          <cell r="BM1058">
            <v>3</v>
          </cell>
          <cell r="BN1058">
            <v>3</v>
          </cell>
          <cell r="BO1058">
            <v>3</v>
          </cell>
          <cell r="BP1058">
            <v>3</v>
          </cell>
          <cell r="BQ1058">
            <v>3</v>
          </cell>
          <cell r="BR1058">
            <v>3</v>
          </cell>
          <cell r="BS1058">
            <v>3</v>
          </cell>
          <cell r="BT1058">
            <v>3</v>
          </cell>
          <cell r="BU1058">
            <v>3</v>
          </cell>
          <cell r="BV1058">
            <v>3</v>
          </cell>
        </row>
        <row r="1059">
          <cell r="A1059" t="str">
            <v>JLR</v>
          </cell>
          <cell r="B1059" t="str">
            <v>L551</v>
          </cell>
          <cell r="D1059" t="str">
            <v>SHIFT B HC  - operators</v>
          </cell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</row>
        <row r="1060">
          <cell r="A1060" t="str">
            <v>JLR</v>
          </cell>
          <cell r="B1060" t="str">
            <v>L551</v>
          </cell>
          <cell r="D1060" t="str">
            <v>SHIFT C HC  - operators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</row>
        <row r="1061">
          <cell r="A1061" t="str">
            <v>JLR</v>
          </cell>
          <cell r="B1061" t="str">
            <v>L551</v>
          </cell>
          <cell r="D1061" t="str">
            <v>Total HC</v>
          </cell>
          <cell r="Z1061">
            <v>1</v>
          </cell>
          <cell r="AA1061">
            <v>1</v>
          </cell>
          <cell r="AB1061">
            <v>1</v>
          </cell>
          <cell r="AC1061">
            <v>1</v>
          </cell>
          <cell r="AD1061">
            <v>1</v>
          </cell>
          <cell r="AE1061">
            <v>1</v>
          </cell>
          <cell r="AF1061">
            <v>1</v>
          </cell>
          <cell r="AG1061">
            <v>1</v>
          </cell>
          <cell r="AH1061">
            <v>1</v>
          </cell>
          <cell r="AI1061">
            <v>1</v>
          </cell>
          <cell r="AJ1061">
            <v>1</v>
          </cell>
          <cell r="AK1061">
            <v>1</v>
          </cell>
          <cell r="AL1061">
            <v>1</v>
          </cell>
          <cell r="AM1061">
            <v>1</v>
          </cell>
          <cell r="AN1061">
            <v>1</v>
          </cell>
          <cell r="AO1061">
            <v>1</v>
          </cell>
          <cell r="AP1061">
            <v>1</v>
          </cell>
          <cell r="AQ1061">
            <v>1</v>
          </cell>
          <cell r="AR1061">
            <v>1</v>
          </cell>
          <cell r="AS1061">
            <v>1</v>
          </cell>
          <cell r="AT1061">
            <v>1</v>
          </cell>
          <cell r="AU1061">
            <v>1</v>
          </cell>
          <cell r="AV1061">
            <v>1</v>
          </cell>
          <cell r="AW1061">
            <v>1</v>
          </cell>
          <cell r="AX1061">
            <v>1</v>
          </cell>
          <cell r="AY1061">
            <v>1</v>
          </cell>
          <cell r="AZ1061">
            <v>1</v>
          </cell>
          <cell r="BA1061">
            <v>1</v>
          </cell>
          <cell r="BB1061">
            <v>1</v>
          </cell>
          <cell r="BC1061">
            <v>1</v>
          </cell>
          <cell r="BD1061">
            <v>1</v>
          </cell>
          <cell r="BE1061">
            <v>1</v>
          </cell>
          <cell r="BF1061">
            <v>1</v>
          </cell>
          <cell r="BG1061">
            <v>1</v>
          </cell>
          <cell r="BH1061">
            <v>1</v>
          </cell>
          <cell r="BI1061">
            <v>1</v>
          </cell>
          <cell r="BJ1061">
            <v>1</v>
          </cell>
          <cell r="BK1061">
            <v>3</v>
          </cell>
          <cell r="BL1061">
            <v>3</v>
          </cell>
          <cell r="BM1061">
            <v>3</v>
          </cell>
          <cell r="BN1061">
            <v>3</v>
          </cell>
          <cell r="BO1061">
            <v>3</v>
          </cell>
          <cell r="BP1061">
            <v>3</v>
          </cell>
          <cell r="BQ1061">
            <v>3</v>
          </cell>
          <cell r="BR1061">
            <v>3</v>
          </cell>
          <cell r="BS1061">
            <v>3</v>
          </cell>
          <cell r="BT1061">
            <v>3</v>
          </cell>
          <cell r="BU1061">
            <v>3</v>
          </cell>
          <cell r="BV1061">
            <v>3</v>
          </cell>
        </row>
        <row r="1062">
          <cell r="A1062" t="str">
            <v>JLR</v>
          </cell>
          <cell r="B1062" t="str">
            <v>L551</v>
          </cell>
          <cell r="D1062" t="str">
            <v>SHIFT A HC  - efficiency</v>
          </cell>
          <cell r="Z1062">
            <v>0.5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1</v>
          </cell>
          <cell r="AF1062">
            <v>1</v>
          </cell>
          <cell r="AG1062">
            <v>1</v>
          </cell>
          <cell r="AH1062">
            <v>1</v>
          </cell>
          <cell r="AI1062">
            <v>1</v>
          </cell>
          <cell r="AJ1062">
            <v>1</v>
          </cell>
          <cell r="AK1062">
            <v>1</v>
          </cell>
          <cell r="AL1062">
            <v>1</v>
          </cell>
          <cell r="AM1062">
            <v>1</v>
          </cell>
          <cell r="AN1062">
            <v>1</v>
          </cell>
          <cell r="AO1062">
            <v>1</v>
          </cell>
          <cell r="AP1062">
            <v>1</v>
          </cell>
          <cell r="AQ1062">
            <v>1</v>
          </cell>
          <cell r="AR1062">
            <v>1</v>
          </cell>
          <cell r="AS1062">
            <v>1</v>
          </cell>
          <cell r="AT1062">
            <v>1</v>
          </cell>
          <cell r="AU1062">
            <v>1</v>
          </cell>
          <cell r="AV1062">
            <v>1</v>
          </cell>
          <cell r="AW1062">
            <v>1</v>
          </cell>
          <cell r="AX1062">
            <v>1</v>
          </cell>
          <cell r="AY1062">
            <v>1</v>
          </cell>
          <cell r="AZ1062">
            <v>1</v>
          </cell>
          <cell r="BA1062">
            <v>1</v>
          </cell>
          <cell r="BB1062">
            <v>1</v>
          </cell>
          <cell r="BC1062">
            <v>1</v>
          </cell>
          <cell r="BD1062">
            <v>1</v>
          </cell>
          <cell r="BE1062">
            <v>1</v>
          </cell>
          <cell r="BF1062">
            <v>1</v>
          </cell>
          <cell r="BG1062">
            <v>1</v>
          </cell>
          <cell r="BH1062">
            <v>1</v>
          </cell>
          <cell r="BI1062">
            <v>1</v>
          </cell>
          <cell r="BJ1062">
            <v>1</v>
          </cell>
          <cell r="BK1062">
            <v>1.2</v>
          </cell>
          <cell r="BL1062">
            <v>1.2</v>
          </cell>
          <cell r="BM1062">
            <v>1.2</v>
          </cell>
          <cell r="BN1062">
            <v>1.2</v>
          </cell>
          <cell r="BO1062">
            <v>1.2</v>
          </cell>
          <cell r="BP1062">
            <v>1.2</v>
          </cell>
          <cell r="BQ1062">
            <v>1.2</v>
          </cell>
          <cell r="BR1062">
            <v>1.2</v>
          </cell>
          <cell r="BS1062">
            <v>1.2</v>
          </cell>
          <cell r="BT1062">
            <v>1.2</v>
          </cell>
          <cell r="BU1062">
            <v>1.2</v>
          </cell>
          <cell r="BV1062">
            <v>1.2</v>
          </cell>
        </row>
        <row r="1063">
          <cell r="A1063" t="str">
            <v>JLR</v>
          </cell>
          <cell r="B1063" t="str">
            <v>L551</v>
          </cell>
          <cell r="D1063" t="str">
            <v>SHIFT B HC  - efficiency</v>
          </cell>
          <cell r="Z1063">
            <v>1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1</v>
          </cell>
          <cell r="AF1063">
            <v>1</v>
          </cell>
          <cell r="AG1063">
            <v>1</v>
          </cell>
          <cell r="AH1063">
            <v>1</v>
          </cell>
          <cell r="AI1063">
            <v>1</v>
          </cell>
          <cell r="AJ1063">
            <v>1</v>
          </cell>
          <cell r="AK1063">
            <v>1</v>
          </cell>
          <cell r="AL1063">
            <v>1</v>
          </cell>
          <cell r="AM1063">
            <v>1</v>
          </cell>
          <cell r="AN1063">
            <v>1</v>
          </cell>
          <cell r="AO1063">
            <v>1</v>
          </cell>
          <cell r="AP1063">
            <v>1</v>
          </cell>
          <cell r="AQ1063">
            <v>1</v>
          </cell>
          <cell r="AR1063">
            <v>1</v>
          </cell>
          <cell r="AS1063">
            <v>1</v>
          </cell>
          <cell r="AT1063">
            <v>1</v>
          </cell>
          <cell r="AU1063">
            <v>1</v>
          </cell>
          <cell r="AV1063">
            <v>1</v>
          </cell>
          <cell r="AW1063">
            <v>1</v>
          </cell>
          <cell r="AX1063">
            <v>1</v>
          </cell>
          <cell r="AY1063">
            <v>1</v>
          </cell>
          <cell r="AZ1063">
            <v>1</v>
          </cell>
          <cell r="BA1063">
            <v>1</v>
          </cell>
          <cell r="BB1063">
            <v>1</v>
          </cell>
          <cell r="BC1063">
            <v>1</v>
          </cell>
          <cell r="BD1063">
            <v>1</v>
          </cell>
          <cell r="BE1063">
            <v>1</v>
          </cell>
          <cell r="BF1063">
            <v>1</v>
          </cell>
          <cell r="BG1063">
            <v>1</v>
          </cell>
          <cell r="BH1063">
            <v>1</v>
          </cell>
          <cell r="BI1063">
            <v>1</v>
          </cell>
          <cell r="BJ1063">
            <v>1</v>
          </cell>
          <cell r="BK1063">
            <v>1</v>
          </cell>
          <cell r="BL1063">
            <v>1</v>
          </cell>
          <cell r="BM1063">
            <v>1</v>
          </cell>
          <cell r="BN1063">
            <v>1</v>
          </cell>
          <cell r="BO1063">
            <v>1</v>
          </cell>
          <cell r="BP1063">
            <v>1</v>
          </cell>
          <cell r="BQ1063">
            <v>1</v>
          </cell>
          <cell r="BR1063">
            <v>1</v>
          </cell>
          <cell r="BS1063">
            <v>1</v>
          </cell>
          <cell r="BT1063">
            <v>1</v>
          </cell>
          <cell r="BU1063">
            <v>1</v>
          </cell>
          <cell r="BV1063">
            <v>1</v>
          </cell>
        </row>
        <row r="1064">
          <cell r="A1064" t="str">
            <v>JLR</v>
          </cell>
          <cell r="B1064" t="str">
            <v>L551</v>
          </cell>
          <cell r="D1064" t="str">
            <v>SHIFT C HC  - efficiency</v>
          </cell>
          <cell r="Z1064">
            <v>1</v>
          </cell>
          <cell r="AA1064">
            <v>1</v>
          </cell>
          <cell r="AB1064">
            <v>1</v>
          </cell>
          <cell r="AC1064">
            <v>1</v>
          </cell>
          <cell r="AD1064">
            <v>1</v>
          </cell>
          <cell r="AE1064">
            <v>1</v>
          </cell>
          <cell r="AF1064">
            <v>1</v>
          </cell>
          <cell r="AG1064">
            <v>1</v>
          </cell>
          <cell r="AH1064">
            <v>1</v>
          </cell>
          <cell r="AI1064">
            <v>1</v>
          </cell>
          <cell r="AJ1064">
            <v>1</v>
          </cell>
          <cell r="AK1064">
            <v>1</v>
          </cell>
          <cell r="AL1064">
            <v>1</v>
          </cell>
          <cell r="AM1064">
            <v>1</v>
          </cell>
          <cell r="AN1064">
            <v>1</v>
          </cell>
          <cell r="AO1064">
            <v>1</v>
          </cell>
          <cell r="AP1064">
            <v>1</v>
          </cell>
          <cell r="AQ1064">
            <v>1</v>
          </cell>
          <cell r="AR1064">
            <v>1</v>
          </cell>
          <cell r="AS1064">
            <v>1</v>
          </cell>
          <cell r="AT1064">
            <v>1</v>
          </cell>
          <cell r="AU1064">
            <v>1</v>
          </cell>
          <cell r="AV1064">
            <v>1</v>
          </cell>
          <cell r="AW1064">
            <v>1</v>
          </cell>
          <cell r="AX1064">
            <v>1</v>
          </cell>
          <cell r="AY1064">
            <v>1</v>
          </cell>
          <cell r="AZ1064">
            <v>1</v>
          </cell>
          <cell r="BA1064">
            <v>1</v>
          </cell>
          <cell r="BB1064">
            <v>1</v>
          </cell>
          <cell r="BC1064">
            <v>1</v>
          </cell>
          <cell r="BD1064">
            <v>1</v>
          </cell>
          <cell r="BE1064">
            <v>1</v>
          </cell>
          <cell r="BF1064">
            <v>1</v>
          </cell>
          <cell r="BG1064">
            <v>1</v>
          </cell>
          <cell r="BH1064">
            <v>1</v>
          </cell>
          <cell r="BI1064">
            <v>1</v>
          </cell>
          <cell r="BJ1064">
            <v>1</v>
          </cell>
          <cell r="BK1064">
            <v>1</v>
          </cell>
          <cell r="BL1064">
            <v>1</v>
          </cell>
          <cell r="BM1064">
            <v>1</v>
          </cell>
          <cell r="BN1064">
            <v>1</v>
          </cell>
          <cell r="BO1064">
            <v>1</v>
          </cell>
          <cell r="BP1064">
            <v>1</v>
          </cell>
          <cell r="BQ1064">
            <v>1</v>
          </cell>
          <cell r="BR1064">
            <v>1</v>
          </cell>
          <cell r="BS1064">
            <v>1</v>
          </cell>
          <cell r="BT1064">
            <v>1</v>
          </cell>
          <cell r="BU1064">
            <v>1</v>
          </cell>
          <cell r="BV1064">
            <v>1</v>
          </cell>
        </row>
        <row r="1065">
          <cell r="A1065" t="str">
            <v>JLR</v>
          </cell>
          <cell r="B1065" t="str">
            <v>L551</v>
          </cell>
          <cell r="D1065" t="str">
            <v>Total efficiency</v>
          </cell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</row>
        <row r="1066">
          <cell r="A1066" t="str">
            <v>JLR</v>
          </cell>
          <cell r="B1066" t="str">
            <v>L551</v>
          </cell>
          <cell r="D1066" t="str">
            <v>SHIFT A - output</v>
          </cell>
          <cell r="Z1066">
            <v>50.790067720090299</v>
          </cell>
          <cell r="AA1066">
            <v>101.5801354401806</v>
          </cell>
          <cell r="AB1066">
            <v>101.5801354401806</v>
          </cell>
          <cell r="AC1066">
            <v>101.5801354401806</v>
          </cell>
          <cell r="AD1066">
            <v>101.5801354401806</v>
          </cell>
          <cell r="AE1066">
            <v>101.5801354401806</v>
          </cell>
          <cell r="AF1066">
            <v>101.5801354401806</v>
          </cell>
          <cell r="AG1066">
            <v>101.5801354401806</v>
          </cell>
          <cell r="AH1066">
            <v>101.5801354401806</v>
          </cell>
          <cell r="AI1066">
            <v>101.5801354401806</v>
          </cell>
          <cell r="AJ1066">
            <v>101.5801354401806</v>
          </cell>
          <cell r="AK1066">
            <v>101.5801354401806</v>
          </cell>
          <cell r="AL1066">
            <v>101.5801354401806</v>
          </cell>
          <cell r="AM1066">
            <v>101.5801354401806</v>
          </cell>
          <cell r="AN1066">
            <v>101.5801354401806</v>
          </cell>
          <cell r="AO1066">
            <v>101.5801354401806</v>
          </cell>
          <cell r="AP1066">
            <v>101.5801354401806</v>
          </cell>
          <cell r="AQ1066">
            <v>101.5801354401806</v>
          </cell>
          <cell r="AR1066">
            <v>101.5801354401806</v>
          </cell>
          <cell r="AS1066">
            <v>101.5801354401806</v>
          </cell>
          <cell r="AT1066">
            <v>101.5801354401806</v>
          </cell>
          <cell r="AU1066">
            <v>101.5801354401806</v>
          </cell>
          <cell r="AV1066">
            <v>101.5801354401806</v>
          </cell>
          <cell r="AW1066">
            <v>101.5801354401806</v>
          </cell>
          <cell r="AX1066">
            <v>101.5801354401806</v>
          </cell>
          <cell r="AY1066">
            <v>101.5801354401806</v>
          </cell>
          <cell r="AZ1066">
            <v>101.5801354401806</v>
          </cell>
          <cell r="BA1066">
            <v>101.5801354401806</v>
          </cell>
          <cell r="BB1066">
            <v>101.5801354401806</v>
          </cell>
          <cell r="BC1066">
            <v>101.5801354401806</v>
          </cell>
          <cell r="BD1066">
            <v>101.5801354401806</v>
          </cell>
          <cell r="BE1066">
            <v>101.5801354401806</v>
          </cell>
          <cell r="BF1066">
            <v>101.5801354401806</v>
          </cell>
          <cell r="BG1066">
            <v>101.5801354401806</v>
          </cell>
          <cell r="BH1066">
            <v>101.5801354401806</v>
          </cell>
          <cell r="BI1066">
            <v>101.5801354401806</v>
          </cell>
          <cell r="BJ1066">
            <v>101.5801354401806</v>
          </cell>
          <cell r="BK1066">
            <v>365.68848758465015</v>
          </cell>
          <cell r="BL1066">
            <v>365.68848758465015</v>
          </cell>
          <cell r="BM1066">
            <v>365.68848758465015</v>
          </cell>
          <cell r="BN1066">
            <v>365.68848758465015</v>
          </cell>
          <cell r="BO1066">
            <v>365.68848758465015</v>
          </cell>
          <cell r="BP1066">
            <v>365.68848758465015</v>
          </cell>
          <cell r="BQ1066">
            <v>365.68848758465015</v>
          </cell>
          <cell r="BR1066">
            <v>365.68848758465015</v>
          </cell>
          <cell r="BS1066">
            <v>365.68848758465015</v>
          </cell>
          <cell r="BT1066">
            <v>365.68848758465015</v>
          </cell>
          <cell r="BU1066">
            <v>365.68848758465015</v>
          </cell>
          <cell r="BV1066">
            <v>365.68848758465015</v>
          </cell>
        </row>
        <row r="1067">
          <cell r="A1067" t="str">
            <v>JLR</v>
          </cell>
          <cell r="B1067" t="str">
            <v>L551</v>
          </cell>
          <cell r="D1067" t="str">
            <v>SHIFT B  - output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</row>
        <row r="1068">
          <cell r="A1068" t="str">
            <v>JLR</v>
          </cell>
          <cell r="B1068" t="str">
            <v>L551</v>
          </cell>
          <cell r="D1068" t="str">
            <v>SHIFT C  - output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</row>
        <row r="1069">
          <cell r="A1069" t="str">
            <v>JLR</v>
          </cell>
          <cell r="B1069" t="str">
            <v>L551</v>
          </cell>
          <cell r="D1069" t="str">
            <v>Est. Output (Pcs day)</v>
          </cell>
          <cell r="E1069">
            <v>4.43</v>
          </cell>
          <cell r="Z1069">
            <v>50.790067720090299</v>
          </cell>
          <cell r="AA1069">
            <v>101.5801354401806</v>
          </cell>
          <cell r="AB1069">
            <v>101.5801354401806</v>
          </cell>
          <cell r="AC1069">
            <v>101.5801354401806</v>
          </cell>
          <cell r="AD1069">
            <v>101.5801354401806</v>
          </cell>
          <cell r="AE1069">
            <v>101.5801354401806</v>
          </cell>
          <cell r="AF1069">
            <v>101.5801354401806</v>
          </cell>
          <cell r="AG1069">
            <v>101.5801354401806</v>
          </cell>
          <cell r="AH1069">
            <v>101.5801354401806</v>
          </cell>
          <cell r="AI1069">
            <v>101.5801354401806</v>
          </cell>
          <cell r="AJ1069">
            <v>101.5801354401806</v>
          </cell>
          <cell r="AK1069">
            <v>101.5801354401806</v>
          </cell>
          <cell r="AL1069">
            <v>101.5801354401806</v>
          </cell>
          <cell r="AM1069">
            <v>101.5801354401806</v>
          </cell>
          <cell r="AN1069">
            <v>101.5801354401806</v>
          </cell>
          <cell r="AO1069">
            <v>101.5801354401806</v>
          </cell>
          <cell r="AP1069">
            <v>101.5801354401806</v>
          </cell>
          <cell r="AQ1069">
            <v>101.5801354401806</v>
          </cell>
          <cell r="AR1069">
            <v>101.5801354401806</v>
          </cell>
          <cell r="AS1069">
            <v>101.5801354401806</v>
          </cell>
          <cell r="AT1069">
            <v>101.5801354401806</v>
          </cell>
          <cell r="AU1069">
            <v>101.5801354401806</v>
          </cell>
          <cell r="AV1069">
            <v>101.5801354401806</v>
          </cell>
          <cell r="AW1069">
            <v>101.5801354401806</v>
          </cell>
          <cell r="AX1069">
            <v>101.5801354401806</v>
          </cell>
          <cell r="AY1069">
            <v>101.5801354401806</v>
          </cell>
          <cell r="AZ1069">
            <v>101.5801354401806</v>
          </cell>
          <cell r="BA1069">
            <v>101.5801354401806</v>
          </cell>
          <cell r="BB1069">
            <v>101.5801354401806</v>
          </cell>
          <cell r="BC1069">
            <v>101.5801354401806</v>
          </cell>
          <cell r="BD1069">
            <v>101.5801354401806</v>
          </cell>
          <cell r="BE1069">
            <v>101.5801354401806</v>
          </cell>
          <cell r="BF1069">
            <v>101.5801354401806</v>
          </cell>
          <cell r="BG1069">
            <v>101.5801354401806</v>
          </cell>
          <cell r="BH1069">
            <v>101.5801354401806</v>
          </cell>
          <cell r="BI1069">
            <v>101.5801354401806</v>
          </cell>
          <cell r="BJ1069">
            <v>101.5801354401806</v>
          </cell>
          <cell r="BK1069">
            <v>365.68848758465015</v>
          </cell>
          <cell r="BL1069">
            <v>365.68848758465015</v>
          </cell>
          <cell r="BM1069">
            <v>365.68848758465015</v>
          </cell>
          <cell r="BN1069">
            <v>365.68848758465015</v>
          </cell>
          <cell r="BO1069">
            <v>365.68848758465015</v>
          </cell>
          <cell r="BP1069">
            <v>365.68848758465015</v>
          </cell>
          <cell r="BQ1069">
            <v>365.68848758465015</v>
          </cell>
          <cell r="BR1069">
            <v>365.68848758465015</v>
          </cell>
          <cell r="BS1069">
            <v>365.68848758465015</v>
          </cell>
          <cell r="BT1069">
            <v>365.68848758465015</v>
          </cell>
          <cell r="BU1069">
            <v>365.68848758465015</v>
          </cell>
          <cell r="BV1069">
            <v>365.68848758465015</v>
          </cell>
        </row>
        <row r="1070">
          <cell r="A1070" t="str">
            <v>JLR</v>
          </cell>
          <cell r="B1070" t="str">
            <v>L551</v>
          </cell>
          <cell r="D1070" t="str">
            <v>Weekly Output PLAN</v>
          </cell>
          <cell r="E1070" t="str">
            <v>ASSY</v>
          </cell>
          <cell r="Z1070">
            <v>253.95033860045149</v>
          </cell>
          <cell r="AA1070">
            <v>406.32054176072239</v>
          </cell>
          <cell r="AB1070">
            <v>406.32054176072239</v>
          </cell>
          <cell r="AC1070">
            <v>507.90067720090298</v>
          </cell>
          <cell r="AD1070">
            <v>304.74040632054181</v>
          </cell>
          <cell r="AE1070">
            <v>507.90067720090298</v>
          </cell>
          <cell r="AF1070">
            <v>507.90067720090298</v>
          </cell>
          <cell r="AG1070">
            <v>507.90067720090298</v>
          </cell>
          <cell r="AH1070">
            <v>507.90067720090298</v>
          </cell>
          <cell r="AI1070">
            <v>507.90067720090298</v>
          </cell>
          <cell r="AJ1070">
            <v>507.90067720090298</v>
          </cell>
          <cell r="AK1070">
            <v>406.32054176072239</v>
          </cell>
          <cell r="AL1070">
            <v>406.32054176072239</v>
          </cell>
          <cell r="AM1070">
            <v>507.90067720090298</v>
          </cell>
          <cell r="AN1070">
            <v>406.32054176072239</v>
          </cell>
          <cell r="AO1070">
            <v>507.90067720090298</v>
          </cell>
          <cell r="AP1070">
            <v>507.90067720090298</v>
          </cell>
          <cell r="AQ1070">
            <v>507.90067720090298</v>
          </cell>
          <cell r="AR1070">
            <v>507.90067720090298</v>
          </cell>
          <cell r="AS1070">
            <v>507.90067720090298</v>
          </cell>
          <cell r="AT1070">
            <v>507.90067720090298</v>
          </cell>
          <cell r="AU1070">
            <v>507.90067720090298</v>
          </cell>
          <cell r="AV1070">
            <v>507.90067720090298</v>
          </cell>
          <cell r="AW1070">
            <v>507.90067720090298</v>
          </cell>
          <cell r="AX1070">
            <v>507.90067720090298</v>
          </cell>
          <cell r="AY1070">
            <v>507.90067720090298</v>
          </cell>
          <cell r="AZ1070">
            <v>0</v>
          </cell>
          <cell r="BA1070">
            <v>0</v>
          </cell>
          <cell r="BB1070">
            <v>507.90067720090298</v>
          </cell>
          <cell r="BC1070">
            <v>507.90067720090298</v>
          </cell>
          <cell r="BD1070">
            <v>507.90067720090298</v>
          </cell>
          <cell r="BE1070">
            <v>507.90067720090298</v>
          </cell>
          <cell r="BF1070">
            <v>507.90067720090298</v>
          </cell>
          <cell r="BG1070">
            <v>507.90067720090298</v>
          </cell>
          <cell r="BH1070">
            <v>507.90067720090298</v>
          </cell>
          <cell r="BI1070">
            <v>507.90067720090298</v>
          </cell>
          <cell r="BJ1070">
            <v>507.90067720090298</v>
          </cell>
          <cell r="BK1070">
            <v>1828.4424379232507</v>
          </cell>
          <cell r="BL1070">
            <v>1097.0654627539504</v>
          </cell>
          <cell r="BM1070">
            <v>1097.0654627539504</v>
          </cell>
          <cell r="BN1070">
            <v>1097.0654627539504</v>
          </cell>
          <cell r="BO1070">
            <v>1097.0654627539504</v>
          </cell>
          <cell r="BP1070">
            <v>1097.0654627539504</v>
          </cell>
          <cell r="BQ1070">
            <v>1097.0654627539504</v>
          </cell>
          <cell r="BR1070">
            <v>1097.0654627539504</v>
          </cell>
          <cell r="BS1070">
            <v>1097.0654627539504</v>
          </cell>
          <cell r="BT1070">
            <v>1097.0654627539504</v>
          </cell>
          <cell r="BU1070">
            <v>1097.0654627539504</v>
          </cell>
          <cell r="BV1070">
            <v>1097.0654627539504</v>
          </cell>
        </row>
        <row r="1071">
          <cell r="A1071" t="str">
            <v>JLR</v>
          </cell>
          <cell r="B1071" t="str">
            <v>L551</v>
          </cell>
          <cell r="D1071" t="str">
            <v>RAR Taurus</v>
          </cell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</row>
        <row r="1072">
          <cell r="A1072" t="str">
            <v>JLR</v>
          </cell>
          <cell r="B1072" t="str">
            <v>L551</v>
          </cell>
          <cell r="D1072" t="str">
            <v>RAR Windsor</v>
          </cell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</row>
        <row r="1073">
          <cell r="A1073" t="str">
            <v>JLR</v>
          </cell>
          <cell r="B1073" t="str">
            <v>L551</v>
          </cell>
          <cell r="D1073" t="str">
            <v>RAR Premium Tekstil</v>
          </cell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</row>
        <row r="1074">
          <cell r="A1074" t="str">
            <v>JLR</v>
          </cell>
          <cell r="B1074" t="str">
            <v>L551</v>
          </cell>
          <cell r="D1074" t="str">
            <v>RAR Sustainable</v>
          </cell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</row>
        <row r="1075">
          <cell r="A1075" t="str">
            <v>JLR</v>
          </cell>
          <cell r="B1075" t="str">
            <v>L551</v>
          </cell>
          <cell r="D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</row>
        <row r="1076">
          <cell r="A1076" t="str">
            <v>JLR</v>
          </cell>
          <cell r="B1076" t="str">
            <v>L551</v>
          </cell>
          <cell r="D1076" t="str">
            <v>Weekly Output PLAN - SUM of models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</row>
        <row r="1077">
          <cell r="A1077" t="str">
            <v>JLR</v>
          </cell>
          <cell r="B1077" t="str">
            <v>L551</v>
          </cell>
          <cell r="D1077" t="str">
            <v>Weekly Output CHECK with TO time multiple</v>
          </cell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</row>
        <row r="1078">
          <cell r="A1078" t="str">
            <v>JLR</v>
          </cell>
          <cell r="B1078" t="str">
            <v>L551</v>
          </cell>
          <cell r="D1078" t="str">
            <v>Weekly Output ACT</v>
          </cell>
          <cell r="Z1078">
            <v>253.95033860045149</v>
          </cell>
          <cell r="AA1078">
            <v>406.32054176072239</v>
          </cell>
          <cell r="AB1078">
            <v>406.32054176072239</v>
          </cell>
          <cell r="AC1078">
            <v>507.90067720090298</v>
          </cell>
          <cell r="AD1078">
            <v>304.74040632054181</v>
          </cell>
          <cell r="AE1078">
            <v>507.90067720090298</v>
          </cell>
          <cell r="AF1078">
            <v>507.90067720090298</v>
          </cell>
          <cell r="AG1078">
            <v>507.90067720090298</v>
          </cell>
          <cell r="AH1078">
            <v>507.90067720090298</v>
          </cell>
          <cell r="AI1078">
            <v>507.90067720090298</v>
          </cell>
          <cell r="AJ1078">
            <v>507.90067720090298</v>
          </cell>
          <cell r="AK1078">
            <v>406.32054176072239</v>
          </cell>
          <cell r="AL1078">
            <v>406.32054176072239</v>
          </cell>
          <cell r="AM1078">
            <v>507.90067720090298</v>
          </cell>
          <cell r="AN1078">
            <v>406.32054176072239</v>
          </cell>
          <cell r="AO1078">
            <v>507.90067720090298</v>
          </cell>
          <cell r="AP1078">
            <v>507.90067720090298</v>
          </cell>
          <cell r="AQ1078">
            <v>507.90067720090298</v>
          </cell>
          <cell r="AR1078">
            <v>507.90067720090298</v>
          </cell>
          <cell r="AS1078">
            <v>507.90067720090298</v>
          </cell>
          <cell r="AT1078">
            <v>507.90067720090298</v>
          </cell>
          <cell r="AU1078">
            <v>507.90067720090298</v>
          </cell>
          <cell r="AV1078">
            <v>507.90067720090298</v>
          </cell>
          <cell r="AW1078">
            <v>507.90067720090298</v>
          </cell>
          <cell r="AX1078">
            <v>507.90067720090298</v>
          </cell>
          <cell r="AY1078">
            <v>507.90067720090298</v>
          </cell>
          <cell r="AZ1078">
            <v>0</v>
          </cell>
          <cell r="BA1078">
            <v>0</v>
          </cell>
          <cell r="BB1078">
            <v>507.90067720090298</v>
          </cell>
          <cell r="BC1078">
            <v>507.90067720090298</v>
          </cell>
          <cell r="BD1078">
            <v>507.90067720090298</v>
          </cell>
          <cell r="BE1078">
            <v>507.90067720090298</v>
          </cell>
          <cell r="BF1078">
            <v>507.90067720090298</v>
          </cell>
          <cell r="BG1078">
            <v>507.90067720090298</v>
          </cell>
          <cell r="BH1078">
            <v>507.90067720090298</v>
          </cell>
          <cell r="BI1078">
            <v>507.90067720090298</v>
          </cell>
          <cell r="BJ1078">
            <v>507.90067720090298</v>
          </cell>
          <cell r="BK1078">
            <v>1828.4424379232507</v>
          </cell>
          <cell r="BL1078">
            <v>1097.0654627539504</v>
          </cell>
          <cell r="BM1078">
            <v>1097.0654627539504</v>
          </cell>
          <cell r="BN1078">
            <v>1097.0654627539504</v>
          </cell>
          <cell r="BO1078">
            <v>1097.0654627539504</v>
          </cell>
          <cell r="BP1078">
            <v>1097.0654627539504</v>
          </cell>
          <cell r="BQ1078">
            <v>1097.0654627539504</v>
          </cell>
          <cell r="BR1078">
            <v>1097.0654627539504</v>
          </cell>
          <cell r="BS1078">
            <v>1097.0654627539504</v>
          </cell>
          <cell r="BT1078">
            <v>1097.0654627539504</v>
          </cell>
          <cell r="BU1078">
            <v>1097.0654627539504</v>
          </cell>
          <cell r="BV1078">
            <v>1097.0654627539504</v>
          </cell>
        </row>
        <row r="1079">
          <cell r="A1079" t="str">
            <v>JLR</v>
          </cell>
          <cell r="B1079" t="str">
            <v>L551</v>
          </cell>
          <cell r="D1079" t="str">
            <v>RAR Taurus</v>
          </cell>
          <cell r="Z1079">
            <v>0</v>
          </cell>
          <cell r="AA1079">
            <v>0</v>
          </cell>
          <cell r="AB1079">
            <v>0</v>
          </cell>
          <cell r="AC1079">
            <v>1152</v>
          </cell>
          <cell r="AD1079">
            <v>0</v>
          </cell>
          <cell r="AE1079">
            <v>576</v>
          </cell>
          <cell r="AF1079">
            <v>0</v>
          </cell>
          <cell r="AG1079">
            <v>0</v>
          </cell>
          <cell r="AH1079">
            <v>0</v>
          </cell>
          <cell r="AI1079">
            <v>1536</v>
          </cell>
          <cell r="AJ1079">
            <v>0</v>
          </cell>
          <cell r="AK1079">
            <v>1280</v>
          </cell>
          <cell r="AL1079">
            <v>0</v>
          </cell>
          <cell r="AM1079">
            <v>1344</v>
          </cell>
          <cell r="AN1079">
            <v>0</v>
          </cell>
          <cell r="AO1079">
            <v>1344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576</v>
          </cell>
          <cell r="AY1079">
            <v>0</v>
          </cell>
          <cell r="AZ1079">
            <v>0</v>
          </cell>
          <cell r="BA1079">
            <v>0</v>
          </cell>
          <cell r="BB1079">
            <v>1216</v>
          </cell>
          <cell r="BC1079">
            <v>267</v>
          </cell>
          <cell r="BD1079">
            <v>267</v>
          </cell>
          <cell r="BE1079">
            <v>390.88888888888891</v>
          </cell>
          <cell r="BF1079">
            <v>390.88888888888891</v>
          </cell>
          <cell r="BG1079">
            <v>390.88888888888891</v>
          </cell>
          <cell r="BH1079">
            <v>390.88888888888891</v>
          </cell>
          <cell r="BI1079">
            <v>390.88888888888891</v>
          </cell>
          <cell r="BJ1079">
            <v>390.88888888888891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</row>
        <row r="1080">
          <cell r="A1080" t="str">
            <v>JLR</v>
          </cell>
          <cell r="B1080" t="str">
            <v>L551</v>
          </cell>
          <cell r="D1080" t="str">
            <v>RAR Windsor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</row>
        <row r="1081">
          <cell r="A1081" t="str">
            <v>JLR</v>
          </cell>
          <cell r="B1081" t="str">
            <v>L551</v>
          </cell>
          <cell r="D1081" t="str">
            <v>RAR Premium Tekstil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</row>
        <row r="1082">
          <cell r="A1082" t="str">
            <v>JLR</v>
          </cell>
          <cell r="B1082" t="str">
            <v>L551</v>
          </cell>
          <cell r="D1082" t="str">
            <v>RAR Sustainable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</row>
        <row r="1083">
          <cell r="A1083" t="str">
            <v>JLR</v>
          </cell>
          <cell r="B1083" t="str">
            <v>L551</v>
          </cell>
          <cell r="D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</row>
        <row r="1084">
          <cell r="A1084" t="str">
            <v>JLR</v>
          </cell>
          <cell r="B1084" t="str">
            <v>L551</v>
          </cell>
          <cell r="D1084" t="str">
            <v>Weekly demand</v>
          </cell>
          <cell r="Z1084">
            <v>0</v>
          </cell>
          <cell r="AA1084">
            <v>0</v>
          </cell>
          <cell r="AB1084">
            <v>0</v>
          </cell>
          <cell r="AC1084">
            <v>1152</v>
          </cell>
          <cell r="AD1084">
            <v>0</v>
          </cell>
          <cell r="AE1084">
            <v>576</v>
          </cell>
          <cell r="AF1084">
            <v>0</v>
          </cell>
          <cell r="AG1084">
            <v>0</v>
          </cell>
          <cell r="AH1084">
            <v>0</v>
          </cell>
          <cell r="AI1084">
            <v>1536</v>
          </cell>
          <cell r="AJ1084">
            <v>0</v>
          </cell>
          <cell r="AK1084">
            <v>1280</v>
          </cell>
          <cell r="AL1084">
            <v>0</v>
          </cell>
          <cell r="AM1084">
            <v>1344</v>
          </cell>
          <cell r="AN1084">
            <v>0</v>
          </cell>
          <cell r="AO1084">
            <v>1344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576</v>
          </cell>
          <cell r="AY1084">
            <v>0</v>
          </cell>
          <cell r="AZ1084">
            <v>0</v>
          </cell>
          <cell r="BA1084">
            <v>0</v>
          </cell>
          <cell r="BB1084">
            <v>1216</v>
          </cell>
          <cell r="BC1084">
            <v>267</v>
          </cell>
          <cell r="BD1084">
            <v>267</v>
          </cell>
          <cell r="BE1084">
            <v>390.88888888888891</v>
          </cell>
          <cell r="BF1084">
            <v>390.88888888888891</v>
          </cell>
          <cell r="BG1084">
            <v>390.88888888888891</v>
          </cell>
          <cell r="BH1084">
            <v>390.88888888888891</v>
          </cell>
          <cell r="BI1084">
            <v>390.88888888888891</v>
          </cell>
          <cell r="BJ1084">
            <v>390.88888888888891</v>
          </cell>
          <cell r="BK1084">
            <v>0</v>
          </cell>
          <cell r="BL1084">
            <v>12984.444444444443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</row>
        <row r="1085">
          <cell r="A1085" t="str">
            <v>JLR</v>
          </cell>
          <cell r="B1085" t="str">
            <v>L551</v>
          </cell>
          <cell r="D1085" t="str">
            <v>Stock Target</v>
          </cell>
          <cell r="Z1085">
            <v>800</v>
          </cell>
          <cell r="AA1085">
            <v>800</v>
          </cell>
          <cell r="AB1085">
            <v>800</v>
          </cell>
          <cell r="AC1085">
            <v>800</v>
          </cell>
          <cell r="AD1085">
            <v>800</v>
          </cell>
          <cell r="AE1085">
            <v>800</v>
          </cell>
          <cell r="AF1085">
            <v>800</v>
          </cell>
          <cell r="AG1085">
            <v>800</v>
          </cell>
          <cell r="AH1085">
            <v>800</v>
          </cell>
          <cell r="AI1085">
            <v>800</v>
          </cell>
          <cell r="AJ1085">
            <v>2528</v>
          </cell>
          <cell r="AK1085">
            <v>2529</v>
          </cell>
          <cell r="AL1085">
            <v>2530</v>
          </cell>
          <cell r="AM1085">
            <v>2531</v>
          </cell>
          <cell r="AN1085">
            <v>2532</v>
          </cell>
          <cell r="AO1085">
            <v>2533</v>
          </cell>
          <cell r="AP1085">
            <v>2534</v>
          </cell>
          <cell r="AQ1085">
            <v>2535</v>
          </cell>
          <cell r="AR1085">
            <v>2536</v>
          </cell>
          <cell r="AS1085">
            <v>2537</v>
          </cell>
          <cell r="AT1085">
            <v>2538</v>
          </cell>
          <cell r="AU1085">
            <v>2539</v>
          </cell>
          <cell r="AV1085">
            <v>2540</v>
          </cell>
          <cell r="AW1085">
            <v>2541</v>
          </cell>
          <cell r="AX1085">
            <v>2542</v>
          </cell>
          <cell r="AY1085">
            <v>2543</v>
          </cell>
          <cell r="AZ1085">
            <v>2544</v>
          </cell>
          <cell r="BA1085">
            <v>2545</v>
          </cell>
          <cell r="BB1085">
            <v>2546</v>
          </cell>
          <cell r="BC1085">
            <v>2547</v>
          </cell>
          <cell r="BD1085">
            <v>2548</v>
          </cell>
          <cell r="BE1085">
            <v>2549</v>
          </cell>
          <cell r="BF1085">
            <v>2550</v>
          </cell>
          <cell r="BG1085">
            <v>2551</v>
          </cell>
          <cell r="BH1085">
            <v>2552</v>
          </cell>
          <cell r="BI1085">
            <v>2553</v>
          </cell>
          <cell r="BJ1085">
            <v>2554</v>
          </cell>
          <cell r="BK1085">
            <v>2555</v>
          </cell>
          <cell r="BL1085">
            <v>2556</v>
          </cell>
          <cell r="BM1085">
            <v>2557</v>
          </cell>
          <cell r="BN1085">
            <v>2558</v>
          </cell>
          <cell r="BO1085">
            <v>2559</v>
          </cell>
          <cell r="BP1085">
            <v>2560</v>
          </cell>
          <cell r="BQ1085">
            <v>2561</v>
          </cell>
          <cell r="BR1085">
            <v>2562</v>
          </cell>
          <cell r="BS1085">
            <v>2563</v>
          </cell>
          <cell r="BT1085">
            <v>2564</v>
          </cell>
          <cell r="BU1085">
            <v>2565</v>
          </cell>
          <cell r="BV1085">
            <v>2566</v>
          </cell>
        </row>
        <row r="1086">
          <cell r="A1086" t="str">
            <v>JLR</v>
          </cell>
          <cell r="B1086" t="str">
            <v>L551</v>
          </cell>
          <cell r="D1086" t="str">
            <v>FG LTH</v>
          </cell>
          <cell r="Z1086">
            <v>1024</v>
          </cell>
          <cell r="AA1086">
            <v>704</v>
          </cell>
          <cell r="AB1086">
            <v>704</v>
          </cell>
          <cell r="AC1086">
            <v>-448</v>
          </cell>
          <cell r="AD1086">
            <v>-448</v>
          </cell>
          <cell r="AE1086">
            <v>-1024</v>
          </cell>
          <cell r="AF1086">
            <v>-1024</v>
          </cell>
          <cell r="AG1086">
            <v>-1024</v>
          </cell>
          <cell r="AH1086">
            <v>-1024</v>
          </cell>
          <cell r="AI1086">
            <v>-2560</v>
          </cell>
          <cell r="AJ1086">
            <v>-2560</v>
          </cell>
          <cell r="AK1086">
            <v>-3840</v>
          </cell>
          <cell r="AL1086">
            <v>-3840</v>
          </cell>
          <cell r="AM1086">
            <v>-5184</v>
          </cell>
          <cell r="AN1086">
            <v>-5184</v>
          </cell>
          <cell r="AO1086">
            <v>-6528</v>
          </cell>
          <cell r="AP1086">
            <v>-6528</v>
          </cell>
          <cell r="AQ1086">
            <v>-6528</v>
          </cell>
          <cell r="AR1086">
            <v>-6528</v>
          </cell>
          <cell r="AS1086">
            <v>-6528</v>
          </cell>
          <cell r="AT1086">
            <v>-6528</v>
          </cell>
          <cell r="AU1086">
            <v>-6528</v>
          </cell>
          <cell r="AV1086">
            <v>-6528</v>
          </cell>
          <cell r="AW1086">
            <v>-6528</v>
          </cell>
          <cell r="AX1086">
            <v>-7104</v>
          </cell>
          <cell r="AY1086">
            <v>-7104</v>
          </cell>
          <cell r="AZ1086">
            <v>-7104</v>
          </cell>
          <cell r="BA1086">
            <v>-7104</v>
          </cell>
          <cell r="BB1086">
            <v>-8320</v>
          </cell>
          <cell r="BC1086">
            <v>-8587</v>
          </cell>
          <cell r="BD1086">
            <v>-8854</v>
          </cell>
          <cell r="BE1086">
            <v>-9244.8888888888887</v>
          </cell>
          <cell r="BF1086">
            <v>-9635.7777777777774</v>
          </cell>
          <cell r="BG1086">
            <v>-10026.666666666666</v>
          </cell>
          <cell r="BH1086">
            <v>-10417.555555555555</v>
          </cell>
          <cell r="BI1086">
            <v>-10808.444444444443</v>
          </cell>
          <cell r="BJ1086">
            <v>-11199.333333333332</v>
          </cell>
          <cell r="BK1086">
            <v>-11199.333333333332</v>
          </cell>
          <cell r="BL1086">
            <v>-11199.333333333332</v>
          </cell>
          <cell r="BM1086">
            <v>-11199.333333333332</v>
          </cell>
          <cell r="BN1086">
            <v>-11199.333333333332</v>
          </cell>
          <cell r="BO1086">
            <v>-11199.333333333332</v>
          </cell>
          <cell r="BP1086">
            <v>-11199.333333333332</v>
          </cell>
          <cell r="BQ1086">
            <v>-11199.333333333332</v>
          </cell>
          <cell r="BR1086">
            <v>-11199.333333333332</v>
          </cell>
          <cell r="BS1086">
            <v>-11199.333333333332</v>
          </cell>
          <cell r="BT1086">
            <v>-11199.333333333332</v>
          </cell>
          <cell r="BU1086">
            <v>-11199.333333333332</v>
          </cell>
          <cell r="BV1086">
            <v>-11199.333333333332</v>
          </cell>
        </row>
        <row r="1087">
          <cell r="A1087" t="str">
            <v>JLR</v>
          </cell>
          <cell r="B1087" t="str">
            <v>L551</v>
          </cell>
          <cell r="D1087" t="str">
            <v>FG VNL</v>
          </cell>
          <cell r="Z1087">
            <v>255</v>
          </cell>
          <cell r="AA1087">
            <v>255</v>
          </cell>
          <cell r="AB1087">
            <v>255</v>
          </cell>
          <cell r="AC1087">
            <v>255</v>
          </cell>
          <cell r="AD1087">
            <v>255</v>
          </cell>
          <cell r="AE1087">
            <v>255</v>
          </cell>
          <cell r="AF1087">
            <v>255</v>
          </cell>
          <cell r="AG1087">
            <v>255</v>
          </cell>
          <cell r="AH1087">
            <v>255</v>
          </cell>
          <cell r="AI1087">
            <v>255</v>
          </cell>
          <cell r="AJ1087">
            <v>255</v>
          </cell>
          <cell r="AK1087">
            <v>255</v>
          </cell>
          <cell r="AL1087">
            <v>255</v>
          </cell>
          <cell r="AM1087">
            <v>255</v>
          </cell>
          <cell r="AN1087">
            <v>255</v>
          </cell>
          <cell r="AO1087">
            <v>255</v>
          </cell>
          <cell r="AP1087">
            <v>255</v>
          </cell>
          <cell r="AQ1087">
            <v>255</v>
          </cell>
          <cell r="AR1087">
            <v>255</v>
          </cell>
          <cell r="AS1087">
            <v>255</v>
          </cell>
          <cell r="AT1087">
            <v>255</v>
          </cell>
          <cell r="AU1087">
            <v>255</v>
          </cell>
          <cell r="AV1087">
            <v>255</v>
          </cell>
          <cell r="AW1087">
            <v>255</v>
          </cell>
          <cell r="AX1087">
            <v>255</v>
          </cell>
          <cell r="AY1087">
            <v>255</v>
          </cell>
          <cell r="AZ1087">
            <v>255</v>
          </cell>
          <cell r="BA1087">
            <v>255</v>
          </cell>
          <cell r="BB1087">
            <v>255</v>
          </cell>
          <cell r="BC1087">
            <v>255</v>
          </cell>
          <cell r="BD1087">
            <v>255</v>
          </cell>
          <cell r="BE1087">
            <v>255</v>
          </cell>
          <cell r="BF1087">
            <v>255</v>
          </cell>
          <cell r="BG1087">
            <v>255</v>
          </cell>
          <cell r="BH1087">
            <v>255</v>
          </cell>
          <cell r="BI1087">
            <v>255</v>
          </cell>
          <cell r="BJ1087">
            <v>255</v>
          </cell>
          <cell r="BK1087">
            <v>255</v>
          </cell>
          <cell r="BL1087">
            <v>255</v>
          </cell>
          <cell r="BM1087">
            <v>255</v>
          </cell>
          <cell r="BN1087">
            <v>255</v>
          </cell>
          <cell r="BO1087">
            <v>255</v>
          </cell>
          <cell r="BP1087">
            <v>255</v>
          </cell>
          <cell r="BQ1087">
            <v>255</v>
          </cell>
          <cell r="BR1087">
            <v>255</v>
          </cell>
          <cell r="BS1087">
            <v>255</v>
          </cell>
          <cell r="BT1087">
            <v>255</v>
          </cell>
          <cell r="BU1087">
            <v>255</v>
          </cell>
          <cell r="BV1087">
            <v>255</v>
          </cell>
        </row>
        <row r="1088">
          <cell r="A1088" t="str">
            <v>JLR</v>
          </cell>
          <cell r="B1088" t="str">
            <v>L551</v>
          </cell>
          <cell r="D1088"/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</row>
        <row r="1089">
          <cell r="A1089" t="str">
            <v>JLR</v>
          </cell>
          <cell r="B1089" t="str">
            <v>L551</v>
          </cell>
          <cell r="D1089"/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</row>
        <row r="1090">
          <cell r="A1090" t="str">
            <v>JLR</v>
          </cell>
          <cell r="B1090" t="str">
            <v>L551</v>
          </cell>
          <cell r="D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</row>
        <row r="1091">
          <cell r="A1091" t="str">
            <v>JLR</v>
          </cell>
          <cell r="B1091" t="str">
            <v>L551</v>
          </cell>
          <cell r="D1091" t="str">
            <v>STOCK</v>
          </cell>
          <cell r="Z1091">
            <v>1279</v>
          </cell>
          <cell r="AA1091">
            <v>1685.3205417607223</v>
          </cell>
          <cell r="AB1091">
            <v>2091.6410835214447</v>
          </cell>
          <cell r="AC1091">
            <v>1447.5417607223476</v>
          </cell>
          <cell r="AD1091">
            <v>1752.2821670428893</v>
          </cell>
          <cell r="AE1091">
            <v>1684.1828442437923</v>
          </cell>
          <cell r="AF1091">
            <v>2192.0835214446952</v>
          </cell>
          <cell r="AG1091">
            <v>2699.9841986455981</v>
          </cell>
          <cell r="AH1091">
            <v>3207.884875846501</v>
          </cell>
          <cell r="AI1091">
            <v>2179.7855530474039</v>
          </cell>
          <cell r="AJ1091">
            <v>2687.6862302483069</v>
          </cell>
          <cell r="AK1091">
            <v>1814.0067720090292</v>
          </cell>
          <cell r="AL1091">
            <v>2220.3273137697515</v>
          </cell>
          <cell r="AM1091">
            <v>1384.2279909706544</v>
          </cell>
          <cell r="AN1091">
            <v>1790.5485327313768</v>
          </cell>
          <cell r="AO1091">
            <v>954.4492099322797</v>
          </cell>
          <cell r="AP1091">
            <v>1462.3498871331826</v>
          </cell>
          <cell r="AQ1091">
            <v>1970.2505643340855</v>
          </cell>
          <cell r="AR1091">
            <v>2478.1512415349885</v>
          </cell>
          <cell r="AS1091">
            <v>2986.0519187358914</v>
          </cell>
          <cell r="AT1091">
            <v>3493.9525959367943</v>
          </cell>
          <cell r="AU1091">
            <v>4001.8532731376972</v>
          </cell>
          <cell r="AV1091">
            <v>4509.7539503386006</v>
          </cell>
          <cell r="AW1091">
            <v>5017.654627539504</v>
          </cell>
          <cell r="AX1091">
            <v>4949.5553047404073</v>
          </cell>
          <cell r="AY1091">
            <v>5457.4559819413107</v>
          </cell>
          <cell r="AZ1091">
            <v>5457.4559819413107</v>
          </cell>
          <cell r="BA1091">
            <v>5457.4559819413107</v>
          </cell>
          <cell r="BB1091">
            <v>4749.3566591422141</v>
          </cell>
          <cell r="BC1091">
            <v>4990.2573363431175</v>
          </cell>
          <cell r="BD1091">
            <v>5231.1580135440208</v>
          </cell>
          <cell r="BE1091">
            <v>5348.1698018560355</v>
          </cell>
          <cell r="BF1091">
            <v>5465.1815901680502</v>
          </cell>
          <cell r="BG1091">
            <v>5582.1933784800649</v>
          </cell>
          <cell r="BH1091">
            <v>5699.2051667920796</v>
          </cell>
          <cell r="BI1091">
            <v>5816.2169551040943</v>
          </cell>
          <cell r="BJ1091">
            <v>5933.228743416109</v>
          </cell>
          <cell r="BK1091">
            <v>7761.6711813393595</v>
          </cell>
          <cell r="BL1091">
            <v>-4125.7078003511333</v>
          </cell>
          <cell r="BM1091">
            <v>-3028.6423375971826</v>
          </cell>
          <cell r="BN1091">
            <v>-1931.5768748432322</v>
          </cell>
          <cell r="BO1091">
            <v>-834.51141208928175</v>
          </cell>
          <cell r="BP1091">
            <v>262.55405066466869</v>
          </cell>
          <cell r="BQ1091">
            <v>1359.6195134186191</v>
          </cell>
          <cell r="BR1091">
            <v>2456.6849761725698</v>
          </cell>
          <cell r="BS1091">
            <v>3553.7504389265205</v>
          </cell>
          <cell r="BT1091">
            <v>4650.8159016804711</v>
          </cell>
          <cell r="BU1091">
            <v>5747.8813644344218</v>
          </cell>
          <cell r="BV1091">
            <v>6844.9468271883725</v>
          </cell>
        </row>
        <row r="1092">
          <cell r="A1092"/>
          <cell r="D1092" t="str">
            <v>Blank</v>
          </cell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</row>
        <row r="1093">
          <cell r="A1093" t="str">
            <v>JLR</v>
          </cell>
          <cell r="B1093" t="str">
            <v>L551</v>
          </cell>
          <cell r="D1093" t="str">
            <v>Work days</v>
          </cell>
          <cell r="Z1093">
            <v>5</v>
          </cell>
          <cell r="AA1093">
            <v>5</v>
          </cell>
          <cell r="AB1093">
            <v>5</v>
          </cell>
          <cell r="AC1093">
            <v>5</v>
          </cell>
          <cell r="AD1093">
            <v>3</v>
          </cell>
          <cell r="AE1093">
            <v>5</v>
          </cell>
          <cell r="AF1093">
            <v>5</v>
          </cell>
          <cell r="AG1093">
            <v>5</v>
          </cell>
          <cell r="AH1093">
            <v>5</v>
          </cell>
          <cell r="AI1093">
            <v>5</v>
          </cell>
          <cell r="AJ1093">
            <v>5</v>
          </cell>
          <cell r="AK1093">
            <v>4</v>
          </cell>
          <cell r="AL1093">
            <v>4</v>
          </cell>
          <cell r="AM1093">
            <v>5</v>
          </cell>
          <cell r="AN1093">
            <v>4</v>
          </cell>
          <cell r="AO1093">
            <v>5</v>
          </cell>
          <cell r="AP1093">
            <v>5</v>
          </cell>
          <cell r="AQ1093">
            <v>5</v>
          </cell>
          <cell r="AR1093">
            <v>5</v>
          </cell>
          <cell r="AS1093">
            <v>5</v>
          </cell>
          <cell r="AT1093">
            <v>5</v>
          </cell>
          <cell r="AU1093">
            <v>5</v>
          </cell>
          <cell r="AV1093">
            <v>5</v>
          </cell>
          <cell r="AW1093">
            <v>5</v>
          </cell>
          <cell r="AX1093">
            <v>5</v>
          </cell>
          <cell r="AY1093">
            <v>5</v>
          </cell>
          <cell r="AZ1093">
            <v>0</v>
          </cell>
          <cell r="BA1093">
            <v>0</v>
          </cell>
          <cell r="BB1093">
            <v>5</v>
          </cell>
          <cell r="BC1093">
            <v>5</v>
          </cell>
          <cell r="BD1093">
            <v>5</v>
          </cell>
          <cell r="BE1093">
            <v>5</v>
          </cell>
          <cell r="BF1093">
            <v>5</v>
          </cell>
          <cell r="BG1093">
            <v>5</v>
          </cell>
          <cell r="BH1093">
            <v>5</v>
          </cell>
          <cell r="BI1093">
            <v>5</v>
          </cell>
          <cell r="BJ1093">
            <v>5</v>
          </cell>
          <cell r="BK1093">
            <v>5</v>
          </cell>
          <cell r="BL1093">
            <v>5</v>
          </cell>
          <cell r="BM1093">
            <v>5</v>
          </cell>
          <cell r="BN1093">
            <v>5</v>
          </cell>
          <cell r="BO1093">
            <v>5</v>
          </cell>
          <cell r="BP1093">
            <v>5</v>
          </cell>
          <cell r="BQ1093">
            <v>5</v>
          </cell>
          <cell r="BR1093">
            <v>5</v>
          </cell>
          <cell r="BS1093">
            <v>5</v>
          </cell>
          <cell r="BT1093">
            <v>5</v>
          </cell>
          <cell r="BU1093">
            <v>5</v>
          </cell>
          <cell r="BV1093">
            <v>5</v>
          </cell>
        </row>
        <row r="1094">
          <cell r="A1094" t="str">
            <v>JLR</v>
          </cell>
          <cell r="B1094" t="str">
            <v>L551</v>
          </cell>
          <cell r="D1094" t="str">
            <v>SHIFT A HC - operators</v>
          </cell>
          <cell r="Z1094">
            <v>2</v>
          </cell>
          <cell r="AA1094">
            <v>2</v>
          </cell>
          <cell r="AB1094">
            <v>2</v>
          </cell>
          <cell r="AC1094">
            <v>2</v>
          </cell>
          <cell r="AD1094">
            <v>2</v>
          </cell>
          <cell r="AE1094">
            <v>2</v>
          </cell>
          <cell r="AF1094">
            <v>2</v>
          </cell>
          <cell r="AG1094">
            <v>2</v>
          </cell>
          <cell r="AH1094">
            <v>2</v>
          </cell>
          <cell r="AI1094">
            <v>2</v>
          </cell>
          <cell r="AJ1094">
            <v>2</v>
          </cell>
          <cell r="AK1094">
            <v>2</v>
          </cell>
          <cell r="AL1094">
            <v>2</v>
          </cell>
          <cell r="AM1094">
            <v>2</v>
          </cell>
          <cell r="AN1094">
            <v>2</v>
          </cell>
          <cell r="AO1094">
            <v>2</v>
          </cell>
          <cell r="AP1094">
            <v>2</v>
          </cell>
          <cell r="AQ1094">
            <v>2</v>
          </cell>
          <cell r="AR1094">
            <v>2</v>
          </cell>
          <cell r="AS1094">
            <v>2</v>
          </cell>
          <cell r="AT1094">
            <v>2</v>
          </cell>
          <cell r="AU1094">
            <v>2</v>
          </cell>
          <cell r="AV1094">
            <v>2</v>
          </cell>
          <cell r="AW1094">
            <v>2</v>
          </cell>
          <cell r="AX1094">
            <v>2</v>
          </cell>
          <cell r="AY1094">
            <v>2</v>
          </cell>
          <cell r="AZ1094">
            <v>2</v>
          </cell>
          <cell r="BA1094">
            <v>2</v>
          </cell>
          <cell r="BB1094">
            <v>2</v>
          </cell>
          <cell r="BC1094">
            <v>2</v>
          </cell>
          <cell r="BD1094">
            <v>2</v>
          </cell>
          <cell r="BE1094">
            <v>2</v>
          </cell>
          <cell r="BF1094">
            <v>2</v>
          </cell>
          <cell r="BG1094">
            <v>2</v>
          </cell>
          <cell r="BH1094">
            <v>2</v>
          </cell>
          <cell r="BI1094">
            <v>2</v>
          </cell>
          <cell r="BJ1094">
            <v>2</v>
          </cell>
          <cell r="BK1094">
            <v>2</v>
          </cell>
          <cell r="BL1094">
            <v>2</v>
          </cell>
          <cell r="BM1094">
            <v>2</v>
          </cell>
          <cell r="BN1094">
            <v>2</v>
          </cell>
          <cell r="BO1094">
            <v>2</v>
          </cell>
          <cell r="BP1094">
            <v>2</v>
          </cell>
          <cell r="BQ1094">
            <v>3</v>
          </cell>
          <cell r="BR1094">
            <v>3</v>
          </cell>
          <cell r="BS1094">
            <v>3</v>
          </cell>
          <cell r="BT1094">
            <v>3</v>
          </cell>
          <cell r="BU1094">
            <v>3</v>
          </cell>
          <cell r="BV1094">
            <v>3</v>
          </cell>
        </row>
        <row r="1095">
          <cell r="A1095" t="str">
            <v>JLR</v>
          </cell>
          <cell r="B1095" t="str">
            <v>L551</v>
          </cell>
          <cell r="D1095" t="str">
            <v>SHIFT B HC  - operators</v>
          </cell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</row>
        <row r="1096">
          <cell r="A1096" t="str">
            <v>JLR</v>
          </cell>
          <cell r="B1096" t="str">
            <v>L551</v>
          </cell>
          <cell r="D1096" t="str">
            <v>SHIFT C HC  - operators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</row>
        <row r="1097">
          <cell r="A1097" t="str">
            <v>JLR</v>
          </cell>
          <cell r="B1097" t="str">
            <v>L551</v>
          </cell>
          <cell r="D1097" t="str">
            <v>Total HC</v>
          </cell>
          <cell r="Z1097">
            <v>2</v>
          </cell>
          <cell r="AA1097">
            <v>2</v>
          </cell>
          <cell r="AB1097">
            <v>2</v>
          </cell>
          <cell r="AC1097">
            <v>2</v>
          </cell>
          <cell r="AD1097">
            <v>2</v>
          </cell>
          <cell r="AE1097">
            <v>2</v>
          </cell>
          <cell r="AF1097">
            <v>2</v>
          </cell>
          <cell r="AG1097">
            <v>2</v>
          </cell>
          <cell r="AH1097">
            <v>2</v>
          </cell>
          <cell r="AI1097">
            <v>2</v>
          </cell>
          <cell r="AJ1097">
            <v>2</v>
          </cell>
          <cell r="AK1097">
            <v>2</v>
          </cell>
          <cell r="AL1097">
            <v>2</v>
          </cell>
          <cell r="AM1097">
            <v>2</v>
          </cell>
          <cell r="AN1097">
            <v>2</v>
          </cell>
          <cell r="AO1097">
            <v>2</v>
          </cell>
          <cell r="AP1097">
            <v>2</v>
          </cell>
          <cell r="AQ1097">
            <v>2</v>
          </cell>
          <cell r="AR1097">
            <v>2</v>
          </cell>
          <cell r="AS1097">
            <v>2</v>
          </cell>
          <cell r="AT1097">
            <v>2</v>
          </cell>
          <cell r="AU1097">
            <v>2</v>
          </cell>
          <cell r="AV1097">
            <v>2</v>
          </cell>
          <cell r="AW1097">
            <v>2</v>
          </cell>
          <cell r="AX1097">
            <v>2</v>
          </cell>
          <cell r="AY1097">
            <v>2</v>
          </cell>
          <cell r="AZ1097">
            <v>2</v>
          </cell>
          <cell r="BA1097">
            <v>2</v>
          </cell>
          <cell r="BB1097">
            <v>2</v>
          </cell>
          <cell r="BC1097">
            <v>2</v>
          </cell>
          <cell r="BD1097">
            <v>2</v>
          </cell>
          <cell r="BE1097">
            <v>2</v>
          </cell>
          <cell r="BF1097">
            <v>2</v>
          </cell>
          <cell r="BG1097">
            <v>2</v>
          </cell>
          <cell r="BH1097">
            <v>2</v>
          </cell>
          <cell r="BI1097">
            <v>2</v>
          </cell>
          <cell r="BJ1097">
            <v>2</v>
          </cell>
          <cell r="BK1097">
            <v>2</v>
          </cell>
          <cell r="BL1097">
            <v>2</v>
          </cell>
          <cell r="BM1097">
            <v>2</v>
          </cell>
          <cell r="BN1097">
            <v>2</v>
          </cell>
          <cell r="BO1097">
            <v>2</v>
          </cell>
          <cell r="BP1097">
            <v>2</v>
          </cell>
          <cell r="BQ1097">
            <v>3</v>
          </cell>
          <cell r="BR1097">
            <v>3</v>
          </cell>
          <cell r="BS1097">
            <v>3</v>
          </cell>
          <cell r="BT1097">
            <v>3</v>
          </cell>
          <cell r="BU1097">
            <v>3</v>
          </cell>
          <cell r="BV1097">
            <v>3</v>
          </cell>
        </row>
        <row r="1098">
          <cell r="A1098" t="str">
            <v>JLR</v>
          </cell>
          <cell r="B1098" t="str">
            <v>L551</v>
          </cell>
          <cell r="D1098" t="str">
            <v>SHIFT A HC  - efficiency</v>
          </cell>
          <cell r="Z1098">
            <v>1</v>
          </cell>
          <cell r="AA1098">
            <v>1</v>
          </cell>
          <cell r="AB1098">
            <v>1</v>
          </cell>
          <cell r="AC1098">
            <v>1</v>
          </cell>
          <cell r="AD1098">
            <v>1</v>
          </cell>
          <cell r="AE1098">
            <v>1</v>
          </cell>
          <cell r="AF1098">
            <v>1</v>
          </cell>
          <cell r="AG1098">
            <v>1</v>
          </cell>
          <cell r="AH1098">
            <v>1</v>
          </cell>
          <cell r="AI1098">
            <v>1</v>
          </cell>
          <cell r="AJ1098">
            <v>1</v>
          </cell>
          <cell r="AK1098">
            <v>1</v>
          </cell>
          <cell r="AL1098">
            <v>1</v>
          </cell>
          <cell r="AM1098">
            <v>1</v>
          </cell>
          <cell r="AN1098">
            <v>1</v>
          </cell>
          <cell r="AO1098">
            <v>1</v>
          </cell>
          <cell r="AP1098">
            <v>1</v>
          </cell>
          <cell r="AQ1098">
            <v>1</v>
          </cell>
          <cell r="AR1098">
            <v>1</v>
          </cell>
          <cell r="AS1098">
            <v>1</v>
          </cell>
          <cell r="AT1098">
            <v>1</v>
          </cell>
          <cell r="AU1098">
            <v>1</v>
          </cell>
          <cell r="AV1098">
            <v>1</v>
          </cell>
          <cell r="AW1098">
            <v>1</v>
          </cell>
          <cell r="AX1098">
            <v>1</v>
          </cell>
          <cell r="AY1098">
            <v>1</v>
          </cell>
          <cell r="AZ1098">
            <v>1</v>
          </cell>
          <cell r="BA1098">
            <v>1</v>
          </cell>
          <cell r="BB1098">
            <v>1</v>
          </cell>
          <cell r="BC1098">
            <v>1</v>
          </cell>
          <cell r="BD1098">
            <v>1</v>
          </cell>
          <cell r="BE1098">
            <v>1</v>
          </cell>
          <cell r="BF1098">
            <v>1</v>
          </cell>
          <cell r="BG1098">
            <v>1.2</v>
          </cell>
          <cell r="BH1098">
            <v>1.2</v>
          </cell>
          <cell r="BI1098">
            <v>1.2</v>
          </cell>
          <cell r="BJ1098">
            <v>1.2</v>
          </cell>
          <cell r="BK1098">
            <v>1.2</v>
          </cell>
          <cell r="BL1098">
            <v>1.2</v>
          </cell>
          <cell r="BM1098">
            <v>1.2</v>
          </cell>
          <cell r="BN1098">
            <v>1.2</v>
          </cell>
          <cell r="BO1098">
            <v>1.2</v>
          </cell>
          <cell r="BP1098">
            <v>1.2</v>
          </cell>
          <cell r="BQ1098">
            <v>1.2</v>
          </cell>
          <cell r="BR1098">
            <v>1.2</v>
          </cell>
          <cell r="BS1098">
            <v>1.2</v>
          </cell>
          <cell r="BT1098">
            <v>1.2</v>
          </cell>
          <cell r="BU1098">
            <v>1.2</v>
          </cell>
          <cell r="BV1098">
            <v>1.2</v>
          </cell>
        </row>
        <row r="1099">
          <cell r="A1099" t="str">
            <v>JLR</v>
          </cell>
          <cell r="B1099" t="str">
            <v>L551</v>
          </cell>
          <cell r="D1099" t="str">
            <v>SHIFT B HC  - efficiency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</row>
        <row r="1100">
          <cell r="A1100" t="str">
            <v>JLR</v>
          </cell>
          <cell r="B1100" t="str">
            <v>L551</v>
          </cell>
          <cell r="D1100" t="str">
            <v>SHIFT C HC  - efficiency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</row>
        <row r="1101">
          <cell r="A1101" t="str">
            <v>JLR</v>
          </cell>
          <cell r="B1101" t="str">
            <v>L551</v>
          </cell>
          <cell r="D1101" t="str">
            <v>Total efficiency</v>
          </cell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</row>
        <row r="1102">
          <cell r="A1102" t="str">
            <v>JLR</v>
          </cell>
          <cell r="B1102" t="str">
            <v>L551</v>
          </cell>
          <cell r="D1102" t="str">
            <v>SHIFT A - output</v>
          </cell>
          <cell r="Z1102">
            <v>98.901098901098905</v>
          </cell>
          <cell r="AA1102">
            <v>98.901098901098905</v>
          </cell>
          <cell r="AB1102">
            <v>98.901098901098905</v>
          </cell>
          <cell r="AC1102">
            <v>98.901098901098905</v>
          </cell>
          <cell r="AD1102">
            <v>98.901098901098905</v>
          </cell>
          <cell r="AE1102">
            <v>98.901098901098905</v>
          </cell>
          <cell r="AF1102">
            <v>98.901098901098905</v>
          </cell>
          <cell r="AG1102">
            <v>98.901098901098905</v>
          </cell>
          <cell r="AH1102">
            <v>98.901098901098905</v>
          </cell>
          <cell r="AI1102">
            <v>98.901098901098905</v>
          </cell>
          <cell r="AJ1102">
            <v>98.901098901098905</v>
          </cell>
          <cell r="AK1102">
            <v>98.901098901098905</v>
          </cell>
          <cell r="AL1102">
            <v>98.901098901098905</v>
          </cell>
          <cell r="AM1102">
            <v>98.901098901098905</v>
          </cell>
          <cell r="AN1102">
            <v>98.901098901098905</v>
          </cell>
          <cell r="AO1102">
            <v>98.901098901098905</v>
          </cell>
          <cell r="AP1102">
            <v>98.901098901098905</v>
          </cell>
          <cell r="AQ1102">
            <v>98.901098901098905</v>
          </cell>
          <cell r="AR1102">
            <v>98.901098901098905</v>
          </cell>
          <cell r="AS1102">
            <v>98.901098901098905</v>
          </cell>
          <cell r="AT1102">
            <v>98.901098901098905</v>
          </cell>
          <cell r="AU1102">
            <v>98.901098901098905</v>
          </cell>
          <cell r="AV1102">
            <v>98.901098901098905</v>
          </cell>
          <cell r="AW1102">
            <v>98.901098901098905</v>
          </cell>
          <cell r="AX1102">
            <v>98.901098901098905</v>
          </cell>
          <cell r="AY1102">
            <v>98.901098901098905</v>
          </cell>
          <cell r="AZ1102">
            <v>98.901098901098905</v>
          </cell>
          <cell r="BA1102">
            <v>98.901098901098905</v>
          </cell>
          <cell r="BB1102">
            <v>98.901098901098905</v>
          </cell>
          <cell r="BC1102">
            <v>98.901098901098905</v>
          </cell>
          <cell r="BD1102">
            <v>98.901098901098905</v>
          </cell>
          <cell r="BE1102">
            <v>98.901098901098905</v>
          </cell>
          <cell r="BF1102">
            <v>98.901098901098905</v>
          </cell>
          <cell r="BG1102">
            <v>118.68131868131869</v>
          </cell>
          <cell r="BH1102">
            <v>118.68131868131869</v>
          </cell>
          <cell r="BI1102">
            <v>118.68131868131869</v>
          </cell>
          <cell r="BJ1102">
            <v>118.68131868131869</v>
          </cell>
          <cell r="BK1102">
            <v>118.68131868131869</v>
          </cell>
          <cell r="BL1102">
            <v>118.68131868131869</v>
          </cell>
          <cell r="BM1102">
            <v>118.68131868131869</v>
          </cell>
          <cell r="BN1102">
            <v>118.68131868131869</v>
          </cell>
          <cell r="BO1102">
            <v>118.68131868131869</v>
          </cell>
          <cell r="BP1102">
            <v>118.68131868131869</v>
          </cell>
          <cell r="BQ1102">
            <v>178.02197802197801</v>
          </cell>
          <cell r="BR1102">
            <v>178.02197802197801</v>
          </cell>
          <cell r="BS1102">
            <v>178.02197802197801</v>
          </cell>
          <cell r="BT1102">
            <v>178.02197802197801</v>
          </cell>
          <cell r="BU1102">
            <v>178.02197802197801</v>
          </cell>
          <cell r="BV1102">
            <v>178.02197802197801</v>
          </cell>
        </row>
        <row r="1103">
          <cell r="A1103" t="str">
            <v>JLR</v>
          </cell>
          <cell r="B1103" t="str">
            <v>L551</v>
          </cell>
          <cell r="D1103" t="str">
            <v>SHIFT B  - output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</row>
        <row r="1104">
          <cell r="A1104" t="str">
            <v>JLR</v>
          </cell>
          <cell r="B1104" t="str">
            <v>L551</v>
          </cell>
          <cell r="D1104" t="str">
            <v>SHIFT C  - output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</row>
        <row r="1105">
          <cell r="A1105" t="str">
            <v>JLR</v>
          </cell>
          <cell r="B1105" t="str">
            <v>L551</v>
          </cell>
          <cell r="D1105" t="str">
            <v>Est. Output (Pcs day)</v>
          </cell>
          <cell r="E1105">
            <v>9.1</v>
          </cell>
          <cell r="Z1105">
            <v>98.901098901098905</v>
          </cell>
          <cell r="AA1105">
            <v>98.901098901098905</v>
          </cell>
          <cell r="AB1105">
            <v>98.901098901098905</v>
          </cell>
          <cell r="AC1105">
            <v>98.901098901098905</v>
          </cell>
          <cell r="AD1105">
            <v>98.901098901098905</v>
          </cell>
          <cell r="AE1105">
            <v>98.901098901098905</v>
          </cell>
          <cell r="AF1105">
            <v>98.901098901098905</v>
          </cell>
          <cell r="AG1105">
            <v>98.901098901098905</v>
          </cell>
          <cell r="AH1105">
            <v>98.901098901098905</v>
          </cell>
          <cell r="AI1105">
            <v>98.901098901098905</v>
          </cell>
          <cell r="AJ1105">
            <v>98.901098901098905</v>
          </cell>
          <cell r="AK1105">
            <v>98.901098901098905</v>
          </cell>
          <cell r="AL1105">
            <v>98.901098901098905</v>
          </cell>
          <cell r="AM1105">
            <v>98.901098901098905</v>
          </cell>
          <cell r="AN1105">
            <v>98.901098901098905</v>
          </cell>
          <cell r="AO1105">
            <v>98.901098901098905</v>
          </cell>
          <cell r="AP1105">
            <v>98.901098901098905</v>
          </cell>
          <cell r="AQ1105">
            <v>98.901098901098905</v>
          </cell>
          <cell r="AR1105">
            <v>98.901098901098905</v>
          </cell>
          <cell r="AS1105">
            <v>98.901098901098905</v>
          </cell>
          <cell r="AT1105">
            <v>98.901098901098905</v>
          </cell>
          <cell r="AU1105">
            <v>98.901098901098905</v>
          </cell>
          <cell r="AV1105">
            <v>98.901098901098905</v>
          </cell>
          <cell r="AW1105">
            <v>98.901098901098905</v>
          </cell>
          <cell r="AX1105">
            <v>98.901098901098905</v>
          </cell>
          <cell r="AY1105">
            <v>98.901098901098905</v>
          </cell>
          <cell r="AZ1105">
            <v>98.901098901098905</v>
          </cell>
          <cell r="BA1105">
            <v>98.901098901098905</v>
          </cell>
          <cell r="BB1105">
            <v>98.901098901098905</v>
          </cell>
          <cell r="BC1105">
            <v>98.901098901098905</v>
          </cell>
          <cell r="BD1105">
            <v>98.901098901098905</v>
          </cell>
          <cell r="BE1105">
            <v>98.901098901098905</v>
          </cell>
          <cell r="BF1105">
            <v>98.901098901098905</v>
          </cell>
          <cell r="BG1105">
            <v>118.68131868131869</v>
          </cell>
          <cell r="BH1105">
            <v>118.68131868131869</v>
          </cell>
          <cell r="BI1105">
            <v>118.68131868131869</v>
          </cell>
          <cell r="BJ1105">
            <v>118.68131868131869</v>
          </cell>
          <cell r="BK1105">
            <v>118.68131868131869</v>
          </cell>
          <cell r="BL1105">
            <v>118.68131868131869</v>
          </cell>
          <cell r="BM1105">
            <v>118.68131868131869</v>
          </cell>
          <cell r="BN1105">
            <v>118.68131868131869</v>
          </cell>
          <cell r="BO1105">
            <v>118.68131868131869</v>
          </cell>
          <cell r="BP1105">
            <v>118.68131868131869</v>
          </cell>
          <cell r="BQ1105">
            <v>178.02197802197801</v>
          </cell>
          <cell r="BR1105">
            <v>178.02197802197801</v>
          </cell>
          <cell r="BS1105">
            <v>178.02197802197801</v>
          </cell>
          <cell r="BT1105">
            <v>178.02197802197801</v>
          </cell>
          <cell r="BU1105">
            <v>178.02197802197801</v>
          </cell>
          <cell r="BV1105">
            <v>178.02197802197801</v>
          </cell>
        </row>
        <row r="1106">
          <cell r="A1106" t="str">
            <v>JLR</v>
          </cell>
          <cell r="B1106" t="str">
            <v>L551</v>
          </cell>
          <cell r="D1106" t="str">
            <v>Weekly Output PLAN</v>
          </cell>
          <cell r="E1106" t="str">
            <v>SEW</v>
          </cell>
          <cell r="Z1106">
            <v>494.50549450549454</v>
          </cell>
          <cell r="AA1106">
            <v>494.50549450549454</v>
          </cell>
          <cell r="AB1106">
            <v>494.50549450549454</v>
          </cell>
          <cell r="AC1106">
            <v>494.50549450549454</v>
          </cell>
          <cell r="AD1106">
            <v>296.7032967032967</v>
          </cell>
          <cell r="AE1106">
            <v>494.50549450549454</v>
          </cell>
          <cell r="AF1106">
            <v>494.50549450549454</v>
          </cell>
          <cell r="AG1106">
            <v>494.50549450549454</v>
          </cell>
          <cell r="AH1106">
            <v>494.50549450549454</v>
          </cell>
          <cell r="AI1106">
            <v>494.50549450549454</v>
          </cell>
          <cell r="AJ1106">
            <v>494.50549450549454</v>
          </cell>
          <cell r="AK1106">
            <v>395.60439560439562</v>
          </cell>
          <cell r="AL1106">
            <v>395.60439560439562</v>
          </cell>
          <cell r="AM1106">
            <v>494.50549450549454</v>
          </cell>
          <cell r="AN1106">
            <v>395.60439560439562</v>
          </cell>
          <cell r="AO1106">
            <v>494.50549450549454</v>
          </cell>
          <cell r="AP1106">
            <v>494.50549450549454</v>
          </cell>
          <cell r="AQ1106">
            <v>494.50549450549454</v>
          </cell>
          <cell r="AR1106">
            <v>494.50549450549454</v>
          </cell>
          <cell r="AS1106">
            <v>494.50549450549454</v>
          </cell>
          <cell r="AT1106">
            <v>494.50549450549454</v>
          </cell>
          <cell r="AU1106">
            <v>494.50549450549454</v>
          </cell>
          <cell r="AV1106">
            <v>494.50549450549454</v>
          </cell>
          <cell r="AW1106">
            <v>494.50549450549454</v>
          </cell>
          <cell r="AX1106">
            <v>494.50549450549454</v>
          </cell>
          <cell r="AY1106">
            <v>494.50549450549454</v>
          </cell>
          <cell r="AZ1106">
            <v>0</v>
          </cell>
          <cell r="BA1106">
            <v>0</v>
          </cell>
          <cell r="BB1106">
            <v>494.50549450549454</v>
          </cell>
          <cell r="BC1106">
            <v>494.50549450549454</v>
          </cell>
          <cell r="BD1106">
            <v>494.50549450549454</v>
          </cell>
          <cell r="BE1106">
            <v>494.50549450549454</v>
          </cell>
          <cell r="BF1106">
            <v>494.50549450549454</v>
          </cell>
          <cell r="BG1106">
            <v>593.4065934065934</v>
          </cell>
          <cell r="BH1106">
            <v>593.4065934065934</v>
          </cell>
          <cell r="BI1106">
            <v>593.4065934065934</v>
          </cell>
          <cell r="BJ1106">
            <v>593.4065934065934</v>
          </cell>
          <cell r="BK1106">
            <v>593.4065934065934</v>
          </cell>
          <cell r="BL1106">
            <v>593.4065934065934</v>
          </cell>
          <cell r="BM1106">
            <v>593.4065934065934</v>
          </cell>
          <cell r="BN1106">
            <v>593.4065934065934</v>
          </cell>
          <cell r="BO1106">
            <v>593.4065934065934</v>
          </cell>
          <cell r="BP1106">
            <v>593.4065934065934</v>
          </cell>
          <cell r="BQ1106">
            <v>890.1098901098901</v>
          </cell>
          <cell r="BR1106">
            <v>890.1098901098901</v>
          </cell>
          <cell r="BS1106">
            <v>890.1098901098901</v>
          </cell>
          <cell r="BT1106">
            <v>890.1098901098901</v>
          </cell>
          <cell r="BU1106">
            <v>890.1098901098901</v>
          </cell>
          <cell r="BV1106">
            <v>890.1098901098901</v>
          </cell>
        </row>
        <row r="1107">
          <cell r="A1107" t="str">
            <v>JLR</v>
          </cell>
          <cell r="B1107" t="str">
            <v>L551</v>
          </cell>
          <cell r="D1107" t="str">
            <v>RAR Taurus</v>
          </cell>
          <cell r="E1107">
            <v>8.0496000000000016</v>
          </cell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</row>
        <row r="1108">
          <cell r="A1108" t="str">
            <v>JLR</v>
          </cell>
          <cell r="B1108" t="str">
            <v>L551</v>
          </cell>
          <cell r="D1108" t="str">
            <v>RAR Windsor</v>
          </cell>
          <cell r="E1108">
            <v>8.0747999999999998</v>
          </cell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</row>
        <row r="1109">
          <cell r="A1109" t="str">
            <v>JLR</v>
          </cell>
          <cell r="B1109" t="str">
            <v>L551</v>
          </cell>
          <cell r="D1109" t="str">
            <v>RAR Premium Tekstil</v>
          </cell>
          <cell r="E1109">
            <v>6.7392000000000003</v>
          </cell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</row>
        <row r="1110">
          <cell r="A1110" t="str">
            <v>JLR</v>
          </cell>
          <cell r="B1110" t="str">
            <v>L551</v>
          </cell>
          <cell r="D1110" t="str">
            <v>RAR Sustainable</v>
          </cell>
          <cell r="E1110">
            <v>8.0190000000000001</v>
          </cell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</row>
        <row r="1111">
          <cell r="A1111" t="str">
            <v>JLR</v>
          </cell>
          <cell r="B1111" t="str">
            <v>L551</v>
          </cell>
          <cell r="D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</row>
        <row r="1112">
          <cell r="A1112" t="str">
            <v>JLR</v>
          </cell>
          <cell r="B1112" t="str">
            <v>L551</v>
          </cell>
          <cell r="D1112" t="str">
            <v>Weekly Output PLAN - SUM of models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</row>
        <row r="1113">
          <cell r="A1113" t="str">
            <v>JLR</v>
          </cell>
          <cell r="B1113" t="str">
            <v>L551</v>
          </cell>
          <cell r="D1113" t="str">
            <v>Weekly Output CHECK with TO time multiple</v>
          </cell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</row>
        <row r="1114">
          <cell r="A1114" t="str">
            <v>JLR</v>
          </cell>
          <cell r="B1114" t="str">
            <v>L551</v>
          </cell>
          <cell r="D1114" t="str">
            <v>Weekly Output ACT</v>
          </cell>
          <cell r="Z1114">
            <v>494.50549450549454</v>
          </cell>
          <cell r="AA1114">
            <v>494.50549450549454</v>
          </cell>
          <cell r="AB1114">
            <v>494.50549450549454</v>
          </cell>
          <cell r="AC1114">
            <v>494.50549450549454</v>
          </cell>
          <cell r="AD1114">
            <v>296.7032967032967</v>
          </cell>
          <cell r="AE1114">
            <v>494.50549450549454</v>
          </cell>
          <cell r="AF1114">
            <v>494.50549450549454</v>
          </cell>
          <cell r="AG1114">
            <v>494.50549450549454</v>
          </cell>
          <cell r="AH1114">
            <v>494.50549450549454</v>
          </cell>
          <cell r="AI1114">
            <v>494.50549450549454</v>
          </cell>
          <cell r="AJ1114">
            <v>494.50549450549454</v>
          </cell>
          <cell r="AK1114">
            <v>395.60439560439562</v>
          </cell>
          <cell r="AL1114">
            <v>395.60439560439562</v>
          </cell>
          <cell r="AM1114">
            <v>494.50549450549454</v>
          </cell>
          <cell r="AN1114">
            <v>395.60439560439562</v>
          </cell>
          <cell r="AO1114">
            <v>494.50549450549454</v>
          </cell>
          <cell r="AP1114">
            <v>494.50549450549454</v>
          </cell>
          <cell r="AQ1114">
            <v>494.50549450549454</v>
          </cell>
          <cell r="AR1114">
            <v>494.50549450549454</v>
          </cell>
          <cell r="AS1114">
            <v>494.50549450549454</v>
          </cell>
          <cell r="AT1114">
            <v>494.50549450549454</v>
          </cell>
          <cell r="AU1114">
            <v>494.50549450549454</v>
          </cell>
          <cell r="AV1114">
            <v>494.50549450549454</v>
          </cell>
          <cell r="AW1114">
            <v>494.50549450549454</v>
          </cell>
          <cell r="AX1114">
            <v>494.50549450549454</v>
          </cell>
          <cell r="AY1114">
            <v>494.50549450549454</v>
          </cell>
          <cell r="AZ1114">
            <v>0</v>
          </cell>
          <cell r="BA1114">
            <v>0</v>
          </cell>
          <cell r="BB1114">
            <v>494.50549450549454</v>
          </cell>
          <cell r="BC1114">
            <v>494.50549450549454</v>
          </cell>
          <cell r="BD1114">
            <v>494.50549450549454</v>
          </cell>
          <cell r="BE1114">
            <v>494.50549450549454</v>
          </cell>
          <cell r="BF1114">
            <v>494.50549450549454</v>
          </cell>
          <cell r="BG1114">
            <v>593.4065934065934</v>
          </cell>
          <cell r="BH1114">
            <v>593.4065934065934</v>
          </cell>
          <cell r="BI1114">
            <v>593.4065934065934</v>
          </cell>
          <cell r="BJ1114">
            <v>593.4065934065934</v>
          </cell>
          <cell r="BK1114">
            <v>593.4065934065934</v>
          </cell>
          <cell r="BL1114">
            <v>593.4065934065934</v>
          </cell>
          <cell r="BM1114">
            <v>593.4065934065934</v>
          </cell>
          <cell r="BN1114">
            <v>593.4065934065934</v>
          </cell>
          <cell r="BO1114">
            <v>593.4065934065934</v>
          </cell>
          <cell r="BP1114">
            <v>593.4065934065934</v>
          </cell>
          <cell r="BQ1114">
            <v>890.1098901098901</v>
          </cell>
          <cell r="BR1114">
            <v>890.1098901098901</v>
          </cell>
          <cell r="BS1114">
            <v>890.1098901098901</v>
          </cell>
          <cell r="BT1114">
            <v>890.1098901098901</v>
          </cell>
          <cell r="BU1114">
            <v>890.1098901098901</v>
          </cell>
          <cell r="BV1114">
            <v>890.1098901098901</v>
          </cell>
        </row>
        <row r="1115">
          <cell r="A1115" t="str">
            <v>JLR</v>
          </cell>
          <cell r="B1115" t="str">
            <v>L551</v>
          </cell>
          <cell r="D1115" t="str">
            <v>RAR Taurus</v>
          </cell>
          <cell r="Z1115">
            <v>253.95033860045149</v>
          </cell>
          <cell r="AA1115">
            <v>406.32054176072239</v>
          </cell>
          <cell r="AB1115">
            <v>406.32054176072239</v>
          </cell>
          <cell r="AC1115">
            <v>507.90067720090298</v>
          </cell>
          <cell r="AD1115">
            <v>304.74040632054181</v>
          </cell>
          <cell r="AE1115">
            <v>507.90067720090298</v>
          </cell>
          <cell r="AF1115">
            <v>507.90067720090298</v>
          </cell>
          <cell r="AG1115">
            <v>507.90067720090298</v>
          </cell>
          <cell r="AH1115">
            <v>507.90067720090298</v>
          </cell>
          <cell r="AI1115">
            <v>507.90067720090298</v>
          </cell>
          <cell r="AJ1115">
            <v>507.90067720090298</v>
          </cell>
          <cell r="AK1115">
            <v>406.32054176072239</v>
          </cell>
          <cell r="AL1115">
            <v>406.32054176072239</v>
          </cell>
          <cell r="AM1115">
            <v>507.90067720090298</v>
          </cell>
          <cell r="AN1115">
            <v>406.32054176072239</v>
          </cell>
          <cell r="AO1115">
            <v>507.90067720090298</v>
          </cell>
          <cell r="AP1115">
            <v>507.90067720090298</v>
          </cell>
          <cell r="AQ1115">
            <v>507.90067720090298</v>
          </cell>
          <cell r="AR1115">
            <v>507.90067720090298</v>
          </cell>
          <cell r="AS1115">
            <v>507.90067720090298</v>
          </cell>
          <cell r="AT1115">
            <v>507.90067720090298</v>
          </cell>
          <cell r="AU1115">
            <v>507.90067720090298</v>
          </cell>
          <cell r="AV1115">
            <v>507.90067720090298</v>
          </cell>
          <cell r="AW1115">
            <v>507.90067720090298</v>
          </cell>
          <cell r="AX1115">
            <v>507.90067720090298</v>
          </cell>
          <cell r="AY1115">
            <v>507.90067720090298</v>
          </cell>
          <cell r="AZ1115">
            <v>0</v>
          </cell>
          <cell r="BA1115">
            <v>0</v>
          </cell>
          <cell r="BB1115">
            <v>507.90067720090298</v>
          </cell>
          <cell r="BC1115">
            <v>507.90067720090298</v>
          </cell>
          <cell r="BD1115">
            <v>507.90067720090298</v>
          </cell>
          <cell r="BE1115">
            <v>507.90067720090298</v>
          </cell>
          <cell r="BF1115">
            <v>507.90067720090298</v>
          </cell>
          <cell r="BG1115">
            <v>507.90067720090298</v>
          </cell>
          <cell r="BH1115">
            <v>507.90067720090298</v>
          </cell>
          <cell r="BI1115">
            <v>507.90067720090298</v>
          </cell>
          <cell r="BJ1115">
            <v>507.90067720090298</v>
          </cell>
          <cell r="BK1115">
            <v>1828.4424379232507</v>
          </cell>
          <cell r="BL1115">
            <v>1097.0654627539504</v>
          </cell>
          <cell r="BM1115">
            <v>1097.0654627539504</v>
          </cell>
          <cell r="BN1115">
            <v>1097.0654627539504</v>
          </cell>
          <cell r="BO1115">
            <v>1097.0654627539504</v>
          </cell>
          <cell r="BP1115">
            <v>1097.0654627539504</v>
          </cell>
          <cell r="BQ1115">
            <v>1097.0654627539504</v>
          </cell>
          <cell r="BR1115">
            <v>1097.0654627539504</v>
          </cell>
          <cell r="BS1115">
            <v>1097.0654627539504</v>
          </cell>
          <cell r="BT1115">
            <v>1097.0654627539504</v>
          </cell>
          <cell r="BU1115">
            <v>1097.0654627539504</v>
          </cell>
          <cell r="BV1115">
            <v>1097.0654627539504</v>
          </cell>
        </row>
        <row r="1116">
          <cell r="A1116" t="str">
            <v>JLR</v>
          </cell>
          <cell r="B1116" t="str">
            <v>L551</v>
          </cell>
          <cell r="D1116" t="str">
            <v>RAR Windsor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</row>
        <row r="1117">
          <cell r="A1117" t="str">
            <v>JLR</v>
          </cell>
          <cell r="B1117" t="str">
            <v>L551</v>
          </cell>
          <cell r="D1117" t="str">
            <v>RAR Premium Tekstil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</v>
          </cell>
          <cell r="BR1117">
            <v>0</v>
          </cell>
          <cell r="BS1117">
            <v>0</v>
          </cell>
          <cell r="BT1117">
            <v>0</v>
          </cell>
          <cell r="BU1117">
            <v>0</v>
          </cell>
          <cell r="BV1117">
            <v>0</v>
          </cell>
        </row>
        <row r="1118">
          <cell r="A1118" t="str">
            <v>JLR</v>
          </cell>
          <cell r="B1118" t="str">
            <v>L551</v>
          </cell>
          <cell r="D1118" t="str">
            <v>RAR Sustainable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</row>
        <row r="1119">
          <cell r="A1119" t="str">
            <v>JLR</v>
          </cell>
          <cell r="B1119" t="str">
            <v>L551</v>
          </cell>
          <cell r="D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</row>
        <row r="1120">
          <cell r="A1120" t="str">
            <v>JLR</v>
          </cell>
          <cell r="B1120" t="str">
            <v>L551</v>
          </cell>
          <cell r="D1120" t="str">
            <v>Weekly demand</v>
          </cell>
          <cell r="Z1120">
            <v>253.95033860045149</v>
          </cell>
          <cell r="AA1120">
            <v>406.32054176072239</v>
          </cell>
          <cell r="AB1120">
            <v>406.32054176072239</v>
          </cell>
          <cell r="AC1120">
            <v>507.90067720090298</v>
          </cell>
          <cell r="AD1120">
            <v>304.74040632054181</v>
          </cell>
          <cell r="AE1120">
            <v>507.90067720090298</v>
          </cell>
          <cell r="AF1120">
            <v>507.90067720090298</v>
          </cell>
          <cell r="AG1120">
            <v>507.90067720090298</v>
          </cell>
          <cell r="AH1120">
            <v>507.90067720090298</v>
          </cell>
          <cell r="AI1120">
            <v>507.90067720090298</v>
          </cell>
          <cell r="AJ1120">
            <v>507.90067720090298</v>
          </cell>
          <cell r="AK1120">
            <v>406.32054176072239</v>
          </cell>
          <cell r="AL1120">
            <v>406.32054176072239</v>
          </cell>
          <cell r="AM1120">
            <v>507.90067720090298</v>
          </cell>
          <cell r="AN1120">
            <v>406.32054176072239</v>
          </cell>
          <cell r="AO1120">
            <v>507.90067720090298</v>
          </cell>
          <cell r="AP1120">
            <v>507.90067720090298</v>
          </cell>
          <cell r="AQ1120">
            <v>507.90067720090298</v>
          </cell>
          <cell r="AR1120">
            <v>507.90067720090298</v>
          </cell>
          <cell r="AS1120">
            <v>507.90067720090298</v>
          </cell>
          <cell r="AT1120">
            <v>507.90067720090298</v>
          </cell>
          <cell r="AU1120">
            <v>507.90067720090298</v>
          </cell>
          <cell r="AV1120">
            <v>507.90067720090298</v>
          </cell>
          <cell r="AW1120">
            <v>507.90067720090298</v>
          </cell>
          <cell r="AX1120">
            <v>507.90067720090298</v>
          </cell>
          <cell r="AY1120">
            <v>507.90067720090298</v>
          </cell>
          <cell r="AZ1120">
            <v>0</v>
          </cell>
          <cell r="BA1120">
            <v>0</v>
          </cell>
          <cell r="BB1120">
            <v>507.90067720090298</v>
          </cell>
          <cell r="BC1120">
            <v>507.90067720090298</v>
          </cell>
          <cell r="BD1120">
            <v>507.90067720090298</v>
          </cell>
          <cell r="BE1120">
            <v>507.90067720090298</v>
          </cell>
          <cell r="BF1120">
            <v>507.90067720090298</v>
          </cell>
          <cell r="BG1120">
            <v>507.90067720090298</v>
          </cell>
          <cell r="BH1120">
            <v>507.90067720090298</v>
          </cell>
          <cell r="BI1120">
            <v>507.90067720090298</v>
          </cell>
          <cell r="BJ1120">
            <v>507.90067720090298</v>
          </cell>
          <cell r="BK1120">
            <v>1828.4424379232507</v>
          </cell>
          <cell r="BL1120">
            <v>1097.0654627539504</v>
          </cell>
          <cell r="BM1120">
            <v>1097.0654627539504</v>
          </cell>
          <cell r="BN1120">
            <v>1097.0654627539504</v>
          </cell>
          <cell r="BO1120">
            <v>1097.0654627539504</v>
          </cell>
          <cell r="BP1120">
            <v>1097.0654627539504</v>
          </cell>
          <cell r="BQ1120">
            <v>1097.0654627539504</v>
          </cell>
          <cell r="BR1120">
            <v>1097.0654627539504</v>
          </cell>
          <cell r="BS1120">
            <v>1097.0654627539504</v>
          </cell>
          <cell r="BT1120">
            <v>1097.0654627539504</v>
          </cell>
          <cell r="BU1120">
            <v>1097.0654627539504</v>
          </cell>
          <cell r="BV1120">
            <v>1097.0654627539504</v>
          </cell>
        </row>
        <row r="1121">
          <cell r="A1121" t="str">
            <v>JLR</v>
          </cell>
          <cell r="B1121" t="str">
            <v>L551</v>
          </cell>
          <cell r="D1121" t="str">
            <v>Stock Target</v>
          </cell>
          <cell r="Z1121">
            <v>600</v>
          </cell>
          <cell r="AA1121">
            <v>600</v>
          </cell>
          <cell r="AB1121">
            <v>600</v>
          </cell>
          <cell r="AC1121">
            <v>600</v>
          </cell>
          <cell r="AD1121">
            <v>600</v>
          </cell>
          <cell r="AE1121">
            <v>600</v>
          </cell>
          <cell r="AF1121">
            <v>600</v>
          </cell>
          <cell r="AG1121">
            <v>600</v>
          </cell>
          <cell r="AH1121">
            <v>600</v>
          </cell>
          <cell r="AI1121">
            <v>600</v>
          </cell>
          <cell r="AJ1121">
            <v>400</v>
          </cell>
          <cell r="AK1121">
            <v>400</v>
          </cell>
          <cell r="AL1121">
            <v>400</v>
          </cell>
          <cell r="AM1121">
            <v>400</v>
          </cell>
          <cell r="AN1121">
            <v>400</v>
          </cell>
          <cell r="AO1121">
            <v>400</v>
          </cell>
          <cell r="AP1121">
            <v>400</v>
          </cell>
          <cell r="AQ1121">
            <v>400</v>
          </cell>
          <cell r="AR1121">
            <v>400</v>
          </cell>
          <cell r="AS1121">
            <v>400</v>
          </cell>
          <cell r="AT1121">
            <v>400</v>
          </cell>
          <cell r="AU1121">
            <v>400</v>
          </cell>
          <cell r="AV1121">
            <v>400</v>
          </cell>
          <cell r="AW1121">
            <v>400</v>
          </cell>
          <cell r="AX1121">
            <v>400</v>
          </cell>
          <cell r="AY1121">
            <v>400</v>
          </cell>
          <cell r="AZ1121">
            <v>400</v>
          </cell>
          <cell r="BA1121">
            <v>400</v>
          </cell>
          <cell r="BB1121">
            <v>400</v>
          </cell>
          <cell r="BC1121">
            <v>400</v>
          </cell>
          <cell r="BD1121">
            <v>400</v>
          </cell>
          <cell r="BE1121">
            <v>400</v>
          </cell>
          <cell r="BF1121">
            <v>400</v>
          </cell>
          <cell r="BG1121">
            <v>400</v>
          </cell>
          <cell r="BH1121">
            <v>400</v>
          </cell>
          <cell r="BI1121">
            <v>400</v>
          </cell>
          <cell r="BJ1121">
            <v>400</v>
          </cell>
          <cell r="BK1121">
            <v>400</v>
          </cell>
          <cell r="BL1121">
            <v>400</v>
          </cell>
          <cell r="BM1121">
            <v>400</v>
          </cell>
          <cell r="BN1121">
            <v>400</v>
          </cell>
          <cell r="BO1121">
            <v>400</v>
          </cell>
          <cell r="BP1121">
            <v>400</v>
          </cell>
          <cell r="BQ1121">
            <v>400</v>
          </cell>
          <cell r="BR1121">
            <v>400</v>
          </cell>
          <cell r="BS1121">
            <v>400</v>
          </cell>
          <cell r="BT1121">
            <v>400</v>
          </cell>
          <cell r="BU1121">
            <v>400</v>
          </cell>
          <cell r="BV1121">
            <v>400</v>
          </cell>
        </row>
        <row r="1122">
          <cell r="A1122" t="str">
            <v>JLR</v>
          </cell>
          <cell r="B1122" t="str">
            <v>L551</v>
          </cell>
          <cell r="D1122" t="str">
            <v>SFG LTH</v>
          </cell>
          <cell r="Z1122">
            <v>530</v>
          </cell>
          <cell r="AA1122">
            <v>532</v>
          </cell>
          <cell r="AB1122">
            <v>125.67945823927761</v>
          </cell>
          <cell r="AC1122">
            <v>-382.22121896162537</v>
          </cell>
          <cell r="AD1122">
            <v>-686.96162528216723</v>
          </cell>
          <cell r="AE1122">
            <v>-1194.8623024830702</v>
          </cell>
          <cell r="AF1122">
            <v>-1702.7629796839731</v>
          </cell>
          <cell r="AG1122">
            <v>-2210.6636568848762</v>
          </cell>
          <cell r="AH1122">
            <v>-2718.5643340857791</v>
          </cell>
          <cell r="AI1122">
            <v>-3226.4650112866821</v>
          </cell>
          <cell r="AJ1122">
            <v>-3734.365688487585</v>
          </cell>
          <cell r="AK1122">
            <v>-4140.6862302483078</v>
          </cell>
          <cell r="AL1122">
            <v>-4547.0067720090301</v>
          </cell>
          <cell r="AM1122">
            <v>-5054.9074492099335</v>
          </cell>
          <cell r="AN1122">
            <v>-5461.2279909706558</v>
          </cell>
          <cell r="AO1122">
            <v>-5969.1286681715592</v>
          </cell>
          <cell r="AP1122">
            <v>-6477.0293453724626</v>
          </cell>
          <cell r="AQ1122">
            <v>-6984.9300225733659</v>
          </cell>
          <cell r="AR1122">
            <v>-7492.8306997742693</v>
          </cell>
          <cell r="AS1122">
            <v>-8000.7313769751727</v>
          </cell>
          <cell r="AT1122">
            <v>-8508.6320541760761</v>
          </cell>
          <cell r="AU1122">
            <v>-9016.5327313769794</v>
          </cell>
          <cell r="AV1122">
            <v>-9524.4334085778828</v>
          </cell>
          <cell r="AW1122">
            <v>-10032.334085778786</v>
          </cell>
          <cell r="AX1122">
            <v>-10540.23476297969</v>
          </cell>
          <cell r="AY1122">
            <v>-11048.135440180593</v>
          </cell>
          <cell r="AZ1122">
            <v>-11048.135440180593</v>
          </cell>
          <cell r="BA1122">
            <v>-11048.135440180593</v>
          </cell>
          <cell r="BB1122">
            <v>-11556.036117381496</v>
          </cell>
          <cell r="BC1122">
            <v>-12063.9367945824</v>
          </cell>
          <cell r="BD1122">
            <v>-12571.837471783303</v>
          </cell>
          <cell r="BE1122">
            <v>-13079.738148984206</v>
          </cell>
          <cell r="BF1122">
            <v>-13587.63882618511</v>
          </cell>
          <cell r="BG1122">
            <v>-14095.539503386013</v>
          </cell>
          <cell r="BH1122">
            <v>-14603.440180586917</v>
          </cell>
          <cell r="BI1122">
            <v>-15111.34085778782</v>
          </cell>
          <cell r="BJ1122">
            <v>-15619.241534988723</v>
          </cell>
          <cell r="BK1122">
            <v>-17447.683972911975</v>
          </cell>
          <cell r="BL1122">
            <v>-18544.749435665926</v>
          </cell>
          <cell r="BM1122">
            <v>-19641.814898419878</v>
          </cell>
          <cell r="BN1122">
            <v>-20738.880361173829</v>
          </cell>
          <cell r="BO1122">
            <v>-21835.945823927781</v>
          </cell>
          <cell r="BP1122">
            <v>-22933.011286681733</v>
          </cell>
          <cell r="BQ1122">
            <v>-24030.076749435684</v>
          </cell>
          <cell r="BR1122">
            <v>-25127.142212189636</v>
          </cell>
          <cell r="BS1122">
            <v>-26224.207674943587</v>
          </cell>
          <cell r="BT1122">
            <v>-27321.273137697539</v>
          </cell>
          <cell r="BU1122">
            <v>-28418.33860045149</v>
          </cell>
          <cell r="BV1122">
            <v>-29515.404063205442</v>
          </cell>
        </row>
        <row r="1123">
          <cell r="A1123" t="str">
            <v>JLR</v>
          </cell>
          <cell r="B1123" t="str">
            <v>L551</v>
          </cell>
          <cell r="D1123" t="str">
            <v>SFG VNL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</row>
        <row r="1124">
          <cell r="A1124" t="str">
            <v>JLR</v>
          </cell>
          <cell r="B1124" t="str">
            <v>L551</v>
          </cell>
          <cell r="D1124"/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</row>
        <row r="1125">
          <cell r="A1125" t="str">
            <v>JLR</v>
          </cell>
          <cell r="B1125" t="str">
            <v>L551</v>
          </cell>
          <cell r="D1125"/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</row>
        <row r="1126">
          <cell r="A1126" t="str">
            <v>JLR</v>
          </cell>
          <cell r="B1126" t="str">
            <v>L551</v>
          </cell>
          <cell r="D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</row>
        <row r="1127">
          <cell r="A1127" t="str">
            <v>JLR</v>
          </cell>
          <cell r="B1127" t="str">
            <v>L551</v>
          </cell>
          <cell r="D1127" t="str">
            <v>STOCK</v>
          </cell>
          <cell r="Z1127">
            <v>530</v>
          </cell>
          <cell r="AA1127">
            <v>618.18495274477209</v>
          </cell>
          <cell r="AB1127">
            <v>706.36990548954418</v>
          </cell>
          <cell r="AC1127">
            <v>692.97472279413569</v>
          </cell>
          <cell r="AD1127">
            <v>684.93761317689064</v>
          </cell>
          <cell r="AE1127">
            <v>671.54243048148214</v>
          </cell>
          <cell r="AF1127">
            <v>658.14724778607365</v>
          </cell>
          <cell r="AG1127">
            <v>644.75206509066516</v>
          </cell>
          <cell r="AH1127">
            <v>631.35688239525666</v>
          </cell>
          <cell r="AI1127">
            <v>617.96169969984817</v>
          </cell>
          <cell r="AJ1127">
            <v>604.56651700443967</v>
          </cell>
          <cell r="AK1127">
            <v>593.8503708481129</v>
          </cell>
          <cell r="AL1127">
            <v>583.13422469178613</v>
          </cell>
          <cell r="AM1127">
            <v>569.73904199637764</v>
          </cell>
          <cell r="AN1127">
            <v>559.02289584005086</v>
          </cell>
          <cell r="AO1127">
            <v>545.62771314464248</v>
          </cell>
          <cell r="AP1127">
            <v>532.23253044923399</v>
          </cell>
          <cell r="AQ1127">
            <v>518.8373477538255</v>
          </cell>
          <cell r="AR1127">
            <v>505.44216505841706</v>
          </cell>
          <cell r="AS1127">
            <v>492.04698236300862</v>
          </cell>
          <cell r="AT1127">
            <v>478.65179966760019</v>
          </cell>
          <cell r="AU1127">
            <v>465.25661697219175</v>
          </cell>
          <cell r="AV1127">
            <v>451.86143427678331</v>
          </cell>
          <cell r="AW1127">
            <v>438.46625158137488</v>
          </cell>
          <cell r="AX1127">
            <v>425.07106888596644</v>
          </cell>
          <cell r="AY1127">
            <v>411.675886190558</v>
          </cell>
          <cell r="AZ1127">
            <v>411.675886190558</v>
          </cell>
          <cell r="BA1127">
            <v>411.675886190558</v>
          </cell>
          <cell r="BB1127">
            <v>398.28070349514957</v>
          </cell>
          <cell r="BC1127">
            <v>384.88552079974113</v>
          </cell>
          <cell r="BD1127">
            <v>371.49033810433269</v>
          </cell>
          <cell r="BE1127">
            <v>358.09515540892426</v>
          </cell>
          <cell r="BF1127">
            <v>344.69997271351582</v>
          </cell>
          <cell r="BG1127">
            <v>430.20588891920625</v>
          </cell>
          <cell r="BH1127">
            <v>515.71180512489673</v>
          </cell>
          <cell r="BI1127">
            <v>601.21772133058721</v>
          </cell>
          <cell r="BJ1127">
            <v>686.72363753627769</v>
          </cell>
          <cell r="BK1127">
            <v>-548.31220698037964</v>
          </cell>
          <cell r="BL1127">
            <v>-1051.9710763277367</v>
          </cell>
          <cell r="BM1127">
            <v>-1555.6299456750935</v>
          </cell>
          <cell r="BN1127">
            <v>-2059.2888150224503</v>
          </cell>
          <cell r="BO1127">
            <v>-2562.9476843698071</v>
          </cell>
          <cell r="BP1127">
            <v>-3066.6065537171639</v>
          </cell>
          <cell r="BQ1127">
            <v>-3273.5621263612238</v>
          </cell>
          <cell r="BR1127">
            <v>-3480.5176990052842</v>
          </cell>
          <cell r="BS1127">
            <v>-3687.4732716493445</v>
          </cell>
          <cell r="BT1127">
            <v>-3894.4288442934048</v>
          </cell>
          <cell r="BU1127">
            <v>-4101.3844169374652</v>
          </cell>
          <cell r="BV1127">
            <v>-4308.3399895815255</v>
          </cell>
        </row>
        <row r="1128">
          <cell r="A1128" t="str">
            <v>Blank</v>
          </cell>
          <cell r="B1128" t="str">
            <v>Blank</v>
          </cell>
          <cell r="D1128" t="str">
            <v>Blank</v>
          </cell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</row>
        <row r="1129">
          <cell r="A1129" t="str">
            <v>MMA</v>
          </cell>
          <cell r="B1129" t="str">
            <v>ARM</v>
          </cell>
          <cell r="D1129" t="str">
            <v>Work days</v>
          </cell>
          <cell r="Z1129">
            <v>5</v>
          </cell>
          <cell r="AA1129">
            <v>5</v>
          </cell>
          <cell r="AB1129">
            <v>5</v>
          </cell>
          <cell r="AC1129">
            <v>5</v>
          </cell>
          <cell r="AD1129">
            <v>3</v>
          </cell>
          <cell r="AE1129">
            <v>5</v>
          </cell>
          <cell r="AF1129">
            <v>5</v>
          </cell>
          <cell r="AG1129">
            <v>5</v>
          </cell>
          <cell r="AH1129">
            <v>5</v>
          </cell>
          <cell r="AI1129">
            <v>5</v>
          </cell>
          <cell r="AJ1129">
            <v>5</v>
          </cell>
          <cell r="AK1129">
            <v>4</v>
          </cell>
          <cell r="AL1129">
            <v>4</v>
          </cell>
          <cell r="AM1129">
            <v>5</v>
          </cell>
          <cell r="AN1129">
            <v>4</v>
          </cell>
          <cell r="AO1129">
            <v>5</v>
          </cell>
          <cell r="AP1129">
            <v>5</v>
          </cell>
          <cell r="AQ1129">
            <v>5</v>
          </cell>
          <cell r="AR1129">
            <v>5</v>
          </cell>
          <cell r="AS1129">
            <v>5</v>
          </cell>
          <cell r="AT1129">
            <v>5</v>
          </cell>
          <cell r="AU1129">
            <v>5</v>
          </cell>
          <cell r="AV1129">
            <v>5</v>
          </cell>
          <cell r="AW1129">
            <v>5</v>
          </cell>
          <cell r="AX1129">
            <v>5</v>
          </cell>
          <cell r="AY1129">
            <v>5</v>
          </cell>
          <cell r="AZ1129">
            <v>0</v>
          </cell>
          <cell r="BA1129">
            <v>0</v>
          </cell>
          <cell r="BB1129">
            <v>5</v>
          </cell>
          <cell r="BC1129">
            <v>5</v>
          </cell>
          <cell r="BD1129">
            <v>5</v>
          </cell>
          <cell r="BE1129">
            <v>5</v>
          </cell>
          <cell r="BF1129">
            <v>5</v>
          </cell>
          <cell r="BG1129">
            <v>5</v>
          </cell>
          <cell r="BH1129">
            <v>5</v>
          </cell>
          <cell r="BI1129">
            <v>5</v>
          </cell>
          <cell r="BJ1129">
            <v>5</v>
          </cell>
          <cell r="BK1129">
            <v>5</v>
          </cell>
          <cell r="BL1129">
            <v>5</v>
          </cell>
          <cell r="BM1129">
            <v>5</v>
          </cell>
          <cell r="BN1129">
            <v>5</v>
          </cell>
          <cell r="BO1129">
            <v>5</v>
          </cell>
          <cell r="BP1129">
            <v>5</v>
          </cell>
          <cell r="BQ1129">
            <v>5</v>
          </cell>
          <cell r="BR1129">
            <v>5</v>
          </cell>
          <cell r="BS1129">
            <v>12</v>
          </cell>
          <cell r="BT1129">
            <v>12</v>
          </cell>
          <cell r="BU1129">
            <v>12</v>
          </cell>
          <cell r="BV1129">
            <v>12</v>
          </cell>
        </row>
        <row r="1130">
          <cell r="A1130" t="str">
            <v>MMA</v>
          </cell>
          <cell r="B1130" t="str">
            <v>ARM</v>
          </cell>
          <cell r="D1130" t="str">
            <v>SHIFT A HC - operators</v>
          </cell>
          <cell r="E1130" t="str">
            <v>ELI INCL FROM 01/01/26 (4OP+1ELI per shift)</v>
          </cell>
          <cell r="Z1130">
            <v>4</v>
          </cell>
          <cell r="AA1130">
            <v>4</v>
          </cell>
          <cell r="AB1130">
            <v>4</v>
          </cell>
          <cell r="AC1130">
            <v>5</v>
          </cell>
          <cell r="AD1130">
            <v>5</v>
          </cell>
          <cell r="AE1130">
            <v>5</v>
          </cell>
          <cell r="AF1130">
            <v>6</v>
          </cell>
          <cell r="AG1130">
            <v>6</v>
          </cell>
          <cell r="AH1130">
            <v>6</v>
          </cell>
          <cell r="AI1130">
            <v>6</v>
          </cell>
          <cell r="AJ1130">
            <v>6</v>
          </cell>
          <cell r="AK1130">
            <v>7</v>
          </cell>
          <cell r="AL1130">
            <v>7</v>
          </cell>
          <cell r="AM1130">
            <v>7</v>
          </cell>
          <cell r="AN1130">
            <v>7</v>
          </cell>
          <cell r="AO1130">
            <v>7</v>
          </cell>
          <cell r="AP1130">
            <v>7</v>
          </cell>
          <cell r="AQ1130">
            <v>7</v>
          </cell>
          <cell r="AR1130">
            <v>7</v>
          </cell>
          <cell r="AS1130">
            <v>7</v>
          </cell>
          <cell r="AT1130">
            <v>7</v>
          </cell>
          <cell r="AU1130">
            <v>7</v>
          </cell>
          <cell r="AV1130">
            <v>7</v>
          </cell>
          <cell r="AW1130">
            <v>7</v>
          </cell>
          <cell r="AX1130">
            <v>7</v>
          </cell>
          <cell r="AY1130">
            <v>7</v>
          </cell>
          <cell r="AZ1130">
            <v>7</v>
          </cell>
          <cell r="BA1130">
            <v>7</v>
          </cell>
          <cell r="BB1130">
            <v>7</v>
          </cell>
          <cell r="BC1130">
            <v>7</v>
          </cell>
          <cell r="BD1130">
            <v>7</v>
          </cell>
          <cell r="BE1130">
            <v>7</v>
          </cell>
          <cell r="BF1130">
            <v>7</v>
          </cell>
          <cell r="BG1130">
            <v>7</v>
          </cell>
          <cell r="BH1130">
            <v>7</v>
          </cell>
          <cell r="BI1130">
            <v>7</v>
          </cell>
          <cell r="BJ1130">
            <v>7</v>
          </cell>
          <cell r="BK1130">
            <v>6</v>
          </cell>
          <cell r="BL1130">
            <v>6</v>
          </cell>
          <cell r="BM1130">
            <v>6</v>
          </cell>
          <cell r="BN1130">
            <v>6</v>
          </cell>
          <cell r="BO1130">
            <v>6</v>
          </cell>
          <cell r="BP1130">
            <v>6</v>
          </cell>
          <cell r="BQ1130">
            <v>6</v>
          </cell>
          <cell r="BR1130">
            <v>6</v>
          </cell>
          <cell r="BS1130">
            <v>6</v>
          </cell>
          <cell r="BT1130">
            <v>6</v>
          </cell>
          <cell r="BU1130">
            <v>6</v>
          </cell>
          <cell r="BV1130">
            <v>6</v>
          </cell>
        </row>
        <row r="1131">
          <cell r="A1131" t="str">
            <v>MMA</v>
          </cell>
          <cell r="B1131" t="str">
            <v>ARM</v>
          </cell>
          <cell r="D1131" t="str">
            <v>SHIFT B HC  - operators</v>
          </cell>
          <cell r="E1131" t="str">
            <v>ELI INCL FROM 01/01/26 (4OP+1ELI per shift)</v>
          </cell>
          <cell r="Z1131">
            <v>4</v>
          </cell>
          <cell r="AA1131">
            <v>4</v>
          </cell>
          <cell r="AB1131">
            <v>4</v>
          </cell>
          <cell r="AC1131">
            <v>5</v>
          </cell>
          <cell r="AD1131">
            <v>5</v>
          </cell>
          <cell r="AE1131">
            <v>5</v>
          </cell>
          <cell r="AF1131">
            <v>6</v>
          </cell>
          <cell r="AG1131">
            <v>6</v>
          </cell>
          <cell r="AH1131">
            <v>6</v>
          </cell>
          <cell r="AI1131">
            <v>6</v>
          </cell>
          <cell r="AJ1131">
            <v>6</v>
          </cell>
          <cell r="AK1131">
            <v>7</v>
          </cell>
          <cell r="AL1131">
            <v>7</v>
          </cell>
          <cell r="AM1131">
            <v>7</v>
          </cell>
          <cell r="AN1131">
            <v>7</v>
          </cell>
          <cell r="AO1131">
            <v>7</v>
          </cell>
          <cell r="AP1131">
            <v>7</v>
          </cell>
          <cell r="AQ1131">
            <v>7</v>
          </cell>
          <cell r="AR1131">
            <v>7</v>
          </cell>
          <cell r="AS1131">
            <v>7</v>
          </cell>
          <cell r="AT1131">
            <v>7</v>
          </cell>
          <cell r="AU1131">
            <v>7</v>
          </cell>
          <cell r="AV1131">
            <v>7</v>
          </cell>
          <cell r="AW1131">
            <v>7</v>
          </cell>
          <cell r="AX1131">
            <v>7</v>
          </cell>
          <cell r="AY1131">
            <v>7</v>
          </cell>
          <cell r="AZ1131">
            <v>7</v>
          </cell>
          <cell r="BA1131">
            <v>7</v>
          </cell>
          <cell r="BB1131">
            <v>7</v>
          </cell>
          <cell r="BC1131">
            <v>7</v>
          </cell>
          <cell r="BD1131">
            <v>7</v>
          </cell>
          <cell r="BE1131">
            <v>7</v>
          </cell>
          <cell r="BF1131">
            <v>7</v>
          </cell>
          <cell r="BG1131">
            <v>7</v>
          </cell>
          <cell r="BH1131">
            <v>7</v>
          </cell>
          <cell r="BI1131">
            <v>7</v>
          </cell>
          <cell r="BJ1131">
            <v>7</v>
          </cell>
          <cell r="BK1131">
            <v>6</v>
          </cell>
          <cell r="BL1131">
            <v>6</v>
          </cell>
          <cell r="BM1131">
            <v>6</v>
          </cell>
          <cell r="BN1131">
            <v>6</v>
          </cell>
          <cell r="BO1131">
            <v>6</v>
          </cell>
          <cell r="BP1131">
            <v>6</v>
          </cell>
          <cell r="BQ1131">
            <v>6</v>
          </cell>
          <cell r="BR1131">
            <v>6</v>
          </cell>
          <cell r="BS1131">
            <v>6</v>
          </cell>
          <cell r="BT1131">
            <v>6</v>
          </cell>
          <cell r="BU1131">
            <v>6</v>
          </cell>
          <cell r="BV1131">
            <v>6</v>
          </cell>
        </row>
        <row r="1132">
          <cell r="A1132" t="str">
            <v>MMA</v>
          </cell>
          <cell r="B1132" t="str">
            <v>ARM</v>
          </cell>
          <cell r="D1132" t="str">
            <v>SHIFT C HC  - operators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</row>
        <row r="1133">
          <cell r="A1133" t="str">
            <v>MMA</v>
          </cell>
          <cell r="B1133" t="str">
            <v>ARM</v>
          </cell>
          <cell r="D1133" t="str">
            <v>Total HC</v>
          </cell>
          <cell r="Z1133">
            <v>8</v>
          </cell>
          <cell r="AA1133">
            <v>8</v>
          </cell>
          <cell r="AB1133">
            <v>8</v>
          </cell>
          <cell r="AC1133">
            <v>10</v>
          </cell>
          <cell r="AD1133">
            <v>10</v>
          </cell>
          <cell r="AE1133">
            <v>10</v>
          </cell>
          <cell r="AF1133">
            <v>12</v>
          </cell>
          <cell r="AG1133">
            <v>12</v>
          </cell>
          <cell r="AH1133">
            <v>12</v>
          </cell>
          <cell r="AI1133">
            <v>12</v>
          </cell>
          <cell r="AJ1133">
            <v>12</v>
          </cell>
          <cell r="AK1133">
            <v>14</v>
          </cell>
          <cell r="AL1133">
            <v>14</v>
          </cell>
          <cell r="AM1133">
            <v>14</v>
          </cell>
          <cell r="AN1133">
            <v>14</v>
          </cell>
          <cell r="AO1133">
            <v>14</v>
          </cell>
          <cell r="AP1133">
            <v>14</v>
          </cell>
          <cell r="AQ1133">
            <v>14</v>
          </cell>
          <cell r="AR1133">
            <v>14</v>
          </cell>
          <cell r="AS1133">
            <v>14</v>
          </cell>
          <cell r="AT1133">
            <v>14</v>
          </cell>
          <cell r="AU1133">
            <v>14</v>
          </cell>
          <cell r="AV1133">
            <v>14</v>
          </cell>
          <cell r="AW1133">
            <v>14</v>
          </cell>
          <cell r="AX1133">
            <v>14</v>
          </cell>
          <cell r="AY1133">
            <v>14</v>
          </cell>
          <cell r="AZ1133">
            <v>14</v>
          </cell>
          <cell r="BA1133">
            <v>14</v>
          </cell>
          <cell r="BB1133">
            <v>14</v>
          </cell>
          <cell r="BC1133">
            <v>14</v>
          </cell>
          <cell r="BD1133">
            <v>14</v>
          </cell>
          <cell r="BE1133">
            <v>14</v>
          </cell>
          <cell r="BF1133">
            <v>14</v>
          </cell>
          <cell r="BG1133">
            <v>14</v>
          </cell>
          <cell r="BH1133">
            <v>14</v>
          </cell>
          <cell r="BI1133">
            <v>14</v>
          </cell>
          <cell r="BJ1133">
            <v>14</v>
          </cell>
          <cell r="BK1133">
            <v>12</v>
          </cell>
          <cell r="BL1133">
            <v>12</v>
          </cell>
          <cell r="BM1133">
            <v>12</v>
          </cell>
          <cell r="BN1133">
            <v>12</v>
          </cell>
          <cell r="BO1133">
            <v>12</v>
          </cell>
          <cell r="BP1133">
            <v>12</v>
          </cell>
          <cell r="BQ1133">
            <v>12</v>
          </cell>
          <cell r="BR1133">
            <v>12</v>
          </cell>
          <cell r="BS1133">
            <v>12</v>
          </cell>
          <cell r="BT1133">
            <v>12</v>
          </cell>
          <cell r="BU1133">
            <v>12</v>
          </cell>
          <cell r="BV1133">
            <v>12</v>
          </cell>
        </row>
        <row r="1134">
          <cell r="A1134" t="str">
            <v>MMA</v>
          </cell>
          <cell r="B1134" t="str">
            <v>ARM</v>
          </cell>
          <cell r="D1134" t="str">
            <v>SHIFT A HC  - efficiency</v>
          </cell>
          <cell r="E1134" t="str">
            <v>Dodata 2 DIR za output 490-500 prema REAL info</v>
          </cell>
          <cell r="Z1134">
            <v>0.8</v>
          </cell>
          <cell r="AA1134">
            <v>0.8</v>
          </cell>
          <cell r="AB1134">
            <v>0.8</v>
          </cell>
          <cell r="AC1134">
            <v>0.8</v>
          </cell>
          <cell r="AD1134">
            <v>0.8</v>
          </cell>
          <cell r="AE1134">
            <v>0.8</v>
          </cell>
          <cell r="AF1134">
            <v>0.56999999999999995</v>
          </cell>
          <cell r="AG1134">
            <v>0.56999999999999995</v>
          </cell>
          <cell r="AH1134">
            <v>0.56999999999999995</v>
          </cell>
          <cell r="AI1134">
            <v>0.56999999999999995</v>
          </cell>
          <cell r="AJ1134">
            <v>0.56999999999999995</v>
          </cell>
          <cell r="AK1134">
            <v>0.56999999999999995</v>
          </cell>
          <cell r="AL1134">
            <v>0.56999999999999995</v>
          </cell>
          <cell r="AM1134">
            <v>0.56999999999999995</v>
          </cell>
          <cell r="AN1134">
            <v>0.56999999999999995</v>
          </cell>
          <cell r="AO1134">
            <v>0.56999999999999995</v>
          </cell>
          <cell r="AP1134">
            <v>0.56999999999999995</v>
          </cell>
          <cell r="AQ1134">
            <v>0.56999999999999995</v>
          </cell>
          <cell r="AR1134">
            <v>0.56999999999999995</v>
          </cell>
          <cell r="AS1134">
            <v>0.56999999999999995</v>
          </cell>
          <cell r="AT1134">
            <v>0.56999999999999995</v>
          </cell>
          <cell r="AU1134">
            <v>0.56999999999999995</v>
          </cell>
          <cell r="AV1134">
            <v>0.56999999999999995</v>
          </cell>
          <cell r="AW1134">
            <v>0.56999999999999995</v>
          </cell>
          <cell r="AX1134">
            <v>0.56999999999999995</v>
          </cell>
          <cell r="AY1134">
            <v>0.56999999999999995</v>
          </cell>
          <cell r="AZ1134">
            <v>0.56999999999999995</v>
          </cell>
          <cell r="BA1134">
            <v>0.56999999999999995</v>
          </cell>
          <cell r="BB1134">
            <v>0.56999999999999995</v>
          </cell>
          <cell r="BC1134">
            <v>0.56999999999999995</v>
          </cell>
          <cell r="BD1134">
            <v>0.56999999999999995</v>
          </cell>
          <cell r="BE1134">
            <v>0.56999999999999995</v>
          </cell>
          <cell r="BF1134">
            <v>0.56999999999999995</v>
          </cell>
          <cell r="BG1134">
            <v>0.56999999999999995</v>
          </cell>
          <cell r="BH1134">
            <v>0.56999999999999995</v>
          </cell>
          <cell r="BI1134">
            <v>0.56999999999999995</v>
          </cell>
          <cell r="BJ1134">
            <v>0.56999999999999995</v>
          </cell>
          <cell r="BK1134">
            <v>0.56999999999999995</v>
          </cell>
          <cell r="BL1134">
            <v>1</v>
          </cell>
          <cell r="BM1134">
            <v>1</v>
          </cell>
          <cell r="BN1134">
            <v>1</v>
          </cell>
          <cell r="BO1134">
            <v>1</v>
          </cell>
          <cell r="BP1134">
            <v>1</v>
          </cell>
          <cell r="BQ1134">
            <v>1</v>
          </cell>
          <cell r="BR1134">
            <v>1</v>
          </cell>
          <cell r="BS1134">
            <v>1</v>
          </cell>
          <cell r="BT1134">
            <v>1</v>
          </cell>
          <cell r="BU1134">
            <v>1</v>
          </cell>
          <cell r="BV1134">
            <v>1</v>
          </cell>
        </row>
        <row r="1135">
          <cell r="A1135" t="str">
            <v>MMA</v>
          </cell>
          <cell r="B1135" t="str">
            <v>ARM</v>
          </cell>
          <cell r="D1135" t="str">
            <v>SHIFT B HC  - efficiency</v>
          </cell>
          <cell r="Z1135">
            <v>0.8</v>
          </cell>
          <cell r="AA1135">
            <v>0.8</v>
          </cell>
          <cell r="AB1135">
            <v>0.8</v>
          </cell>
          <cell r="AC1135">
            <v>0.8</v>
          </cell>
          <cell r="AD1135">
            <v>0.8</v>
          </cell>
          <cell r="AE1135">
            <v>0.8</v>
          </cell>
          <cell r="AF1135">
            <v>0.56999999999999995</v>
          </cell>
          <cell r="AG1135">
            <v>0.56999999999999995</v>
          </cell>
          <cell r="AH1135">
            <v>0.56999999999999995</v>
          </cell>
          <cell r="AI1135">
            <v>0.56999999999999995</v>
          </cell>
          <cell r="AJ1135">
            <v>0.56999999999999995</v>
          </cell>
          <cell r="AK1135">
            <v>0.56999999999999995</v>
          </cell>
          <cell r="AL1135">
            <v>0.56999999999999995</v>
          </cell>
          <cell r="AM1135">
            <v>0.56999999999999995</v>
          </cell>
          <cell r="AN1135">
            <v>0.56999999999999995</v>
          </cell>
          <cell r="AO1135">
            <v>0.56999999999999995</v>
          </cell>
          <cell r="AP1135">
            <v>0.56999999999999995</v>
          </cell>
          <cell r="AQ1135">
            <v>0.56999999999999995</v>
          </cell>
          <cell r="AR1135">
            <v>0.56999999999999995</v>
          </cell>
          <cell r="AS1135">
            <v>0.56999999999999995</v>
          </cell>
          <cell r="AT1135">
            <v>0.56999999999999995</v>
          </cell>
          <cell r="AU1135">
            <v>0.56999999999999995</v>
          </cell>
          <cell r="AV1135">
            <v>0.56999999999999995</v>
          </cell>
          <cell r="AW1135">
            <v>0.56999999999999995</v>
          </cell>
          <cell r="AX1135">
            <v>0.56999999999999995</v>
          </cell>
          <cell r="AY1135">
            <v>0.56999999999999995</v>
          </cell>
          <cell r="AZ1135">
            <v>0.56999999999999995</v>
          </cell>
          <cell r="BA1135">
            <v>0.56999999999999995</v>
          </cell>
          <cell r="BB1135">
            <v>0.56999999999999995</v>
          </cell>
          <cell r="BC1135">
            <v>0.56999999999999995</v>
          </cell>
          <cell r="BD1135">
            <v>0.56999999999999995</v>
          </cell>
          <cell r="BE1135">
            <v>0.56999999999999995</v>
          </cell>
          <cell r="BF1135">
            <v>0.56999999999999995</v>
          </cell>
          <cell r="BG1135">
            <v>0.56999999999999995</v>
          </cell>
          <cell r="BH1135">
            <v>0.56999999999999995</v>
          </cell>
          <cell r="BI1135">
            <v>0.56999999999999995</v>
          </cell>
          <cell r="BJ1135">
            <v>0.56999999999999995</v>
          </cell>
          <cell r="BK1135">
            <v>0.56999999999999995</v>
          </cell>
          <cell r="BL1135">
            <v>1</v>
          </cell>
          <cell r="BM1135">
            <v>1</v>
          </cell>
          <cell r="BN1135">
            <v>1</v>
          </cell>
          <cell r="BO1135">
            <v>1</v>
          </cell>
          <cell r="BP1135">
            <v>1</v>
          </cell>
          <cell r="BQ1135">
            <v>1</v>
          </cell>
          <cell r="BR1135">
            <v>1</v>
          </cell>
          <cell r="BS1135">
            <v>1</v>
          </cell>
          <cell r="BT1135">
            <v>1</v>
          </cell>
          <cell r="BU1135">
            <v>1</v>
          </cell>
          <cell r="BV1135">
            <v>1</v>
          </cell>
        </row>
        <row r="1136">
          <cell r="A1136" t="str">
            <v>MMA</v>
          </cell>
          <cell r="B1136" t="str">
            <v>ARM</v>
          </cell>
          <cell r="D1136" t="str">
            <v>SHIFT C HC  - efficiency</v>
          </cell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>
            <v>1</v>
          </cell>
          <cell r="AK1136">
            <v>1</v>
          </cell>
          <cell r="AL1136">
            <v>1</v>
          </cell>
          <cell r="AM1136">
            <v>1</v>
          </cell>
          <cell r="AN1136">
            <v>1</v>
          </cell>
          <cell r="AO1136">
            <v>1</v>
          </cell>
          <cell r="AP1136">
            <v>1</v>
          </cell>
          <cell r="AQ1136">
            <v>1</v>
          </cell>
          <cell r="AR1136">
            <v>1</v>
          </cell>
          <cell r="AS1136">
            <v>1</v>
          </cell>
          <cell r="AT1136">
            <v>1</v>
          </cell>
          <cell r="AU1136">
            <v>1</v>
          </cell>
          <cell r="AV1136">
            <v>1</v>
          </cell>
          <cell r="AW1136">
            <v>1</v>
          </cell>
          <cell r="AX1136">
            <v>1</v>
          </cell>
          <cell r="AY1136">
            <v>1</v>
          </cell>
          <cell r="AZ1136">
            <v>1</v>
          </cell>
          <cell r="BA1136">
            <v>1</v>
          </cell>
          <cell r="BB1136">
            <v>1</v>
          </cell>
          <cell r="BC1136">
            <v>1</v>
          </cell>
          <cell r="BD1136">
            <v>1</v>
          </cell>
          <cell r="BE1136">
            <v>1</v>
          </cell>
          <cell r="BF1136">
            <v>1</v>
          </cell>
          <cell r="BG1136">
            <v>1</v>
          </cell>
          <cell r="BH1136">
            <v>1</v>
          </cell>
          <cell r="BI1136">
            <v>1</v>
          </cell>
          <cell r="BJ1136">
            <v>1</v>
          </cell>
          <cell r="BK1136">
            <v>1</v>
          </cell>
          <cell r="BL1136">
            <v>1</v>
          </cell>
          <cell r="BM1136">
            <v>1</v>
          </cell>
          <cell r="BN1136">
            <v>1</v>
          </cell>
          <cell r="BO1136">
            <v>1</v>
          </cell>
          <cell r="BP1136">
            <v>1</v>
          </cell>
          <cell r="BQ1136">
            <v>1</v>
          </cell>
          <cell r="BR1136">
            <v>1</v>
          </cell>
          <cell r="BS1136">
            <v>1</v>
          </cell>
          <cell r="BT1136">
            <v>1</v>
          </cell>
          <cell r="BU1136">
            <v>1</v>
          </cell>
          <cell r="BV1136">
            <v>1</v>
          </cell>
        </row>
        <row r="1137">
          <cell r="A1137" t="str">
            <v>MMA</v>
          </cell>
          <cell r="B1137" t="str">
            <v>ARM</v>
          </cell>
          <cell r="D1137" t="str">
            <v>Total efficiency</v>
          </cell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</row>
        <row r="1138">
          <cell r="A1138" t="str">
            <v>MMA</v>
          </cell>
          <cell r="B1138" t="str">
            <v>ARM</v>
          </cell>
          <cell r="D1138" t="str">
            <v>SHIFT A - output</v>
          </cell>
          <cell r="E1138">
            <v>500</v>
          </cell>
          <cell r="Z1138">
            <v>392.37057220708448</v>
          </cell>
          <cell r="AA1138">
            <v>392.37057220708448</v>
          </cell>
          <cell r="AB1138">
            <v>392.37057220708448</v>
          </cell>
          <cell r="AC1138">
            <v>490.4632152588556</v>
          </cell>
          <cell r="AD1138">
            <v>490.4632152588556</v>
          </cell>
          <cell r="AE1138">
            <v>490.4632152588556</v>
          </cell>
          <cell r="AF1138">
            <v>419.34604904632153</v>
          </cell>
          <cell r="AG1138">
            <v>419.34604904632153</v>
          </cell>
          <cell r="AH1138">
            <v>419.34604904632153</v>
          </cell>
          <cell r="AI1138">
            <v>419.34604904632153</v>
          </cell>
          <cell r="AJ1138">
            <v>419.34604904632153</v>
          </cell>
          <cell r="AK1138">
            <v>489.23705722070844</v>
          </cell>
          <cell r="AL1138">
            <v>489.23705722070844</v>
          </cell>
          <cell r="AM1138">
            <v>489.23705722070844</v>
          </cell>
          <cell r="AN1138">
            <v>489.23705722070844</v>
          </cell>
          <cell r="AO1138">
            <v>489.23705722070844</v>
          </cell>
          <cell r="AP1138">
            <v>489.23705722070844</v>
          </cell>
          <cell r="AQ1138">
            <v>489.23705722070844</v>
          </cell>
          <cell r="AR1138">
            <v>489.23705722070844</v>
          </cell>
          <cell r="AS1138">
            <v>489.23705722070844</v>
          </cell>
          <cell r="AT1138">
            <v>489.23705722070844</v>
          </cell>
          <cell r="AU1138">
            <v>489.23705722070844</v>
          </cell>
          <cell r="AV1138">
            <v>489.23705722070844</v>
          </cell>
          <cell r="AW1138">
            <v>489.23705722070844</v>
          </cell>
          <cell r="AX1138">
            <v>489.23705722070844</v>
          </cell>
          <cell r="AY1138">
            <v>489.23705722070844</v>
          </cell>
          <cell r="AZ1138">
            <v>489.23705722070844</v>
          </cell>
          <cell r="BA1138">
            <v>489.23705722070844</v>
          </cell>
          <cell r="BB1138">
            <v>489.23705722070844</v>
          </cell>
          <cell r="BC1138">
            <v>489.23705722070844</v>
          </cell>
          <cell r="BD1138">
            <v>489.23705722070844</v>
          </cell>
          <cell r="BE1138">
            <v>489.23705722070844</v>
          </cell>
          <cell r="BF1138">
            <v>489.23705722070844</v>
          </cell>
          <cell r="BG1138">
            <v>489.23705722070844</v>
          </cell>
          <cell r="BH1138">
            <v>489.23705722070844</v>
          </cell>
          <cell r="BI1138">
            <v>489.23705722070844</v>
          </cell>
          <cell r="BJ1138">
            <v>489.23705722070844</v>
          </cell>
          <cell r="BK1138">
            <v>419.34604904632153</v>
          </cell>
          <cell r="BL1138">
            <v>735.6948228882834</v>
          </cell>
          <cell r="BM1138">
            <v>735.6948228882834</v>
          </cell>
          <cell r="BN1138">
            <v>735.6948228882834</v>
          </cell>
          <cell r="BO1138">
            <v>735.6948228882834</v>
          </cell>
          <cell r="BP1138">
            <v>735.6948228882834</v>
          </cell>
          <cell r="BQ1138">
            <v>735.6948228882834</v>
          </cell>
          <cell r="BR1138">
            <v>735.6948228882834</v>
          </cell>
          <cell r="BS1138">
            <v>735.6948228882834</v>
          </cell>
          <cell r="BT1138">
            <v>735.6948228882834</v>
          </cell>
          <cell r="BU1138">
            <v>735.6948228882834</v>
          </cell>
          <cell r="BV1138">
            <v>735.6948228882834</v>
          </cell>
        </row>
        <row r="1139">
          <cell r="A1139" t="str">
            <v>MMA</v>
          </cell>
          <cell r="B1139" t="str">
            <v>ARM</v>
          </cell>
          <cell r="D1139" t="str">
            <v>SHIFT B  - output</v>
          </cell>
          <cell r="E1139">
            <v>500</v>
          </cell>
          <cell r="Z1139">
            <v>392.37057220708448</v>
          </cell>
          <cell r="AA1139">
            <v>392.37057220708448</v>
          </cell>
          <cell r="AB1139">
            <v>392.37057220708448</v>
          </cell>
          <cell r="AC1139">
            <v>490.4632152588556</v>
          </cell>
          <cell r="AD1139">
            <v>490.4632152588556</v>
          </cell>
          <cell r="AE1139">
            <v>490.4632152588556</v>
          </cell>
          <cell r="AF1139">
            <v>419.34604904632153</v>
          </cell>
          <cell r="AG1139">
            <v>419.34604904632153</v>
          </cell>
          <cell r="AH1139">
            <v>419.34604904632153</v>
          </cell>
          <cell r="AI1139">
            <v>419.34604904632153</v>
          </cell>
          <cell r="AJ1139">
            <v>419.34604904632153</v>
          </cell>
          <cell r="AK1139">
            <v>489.23705722070844</v>
          </cell>
          <cell r="AL1139">
            <v>489.23705722070844</v>
          </cell>
          <cell r="AM1139">
            <v>489.23705722070844</v>
          </cell>
          <cell r="AN1139">
            <v>489.23705722070844</v>
          </cell>
          <cell r="AO1139">
            <v>489.23705722070844</v>
          </cell>
          <cell r="AP1139">
            <v>489.23705722070844</v>
          </cell>
          <cell r="AQ1139">
            <v>489.23705722070844</v>
          </cell>
          <cell r="AR1139">
            <v>489.23705722070844</v>
          </cell>
          <cell r="AS1139">
            <v>489.23705722070844</v>
          </cell>
          <cell r="AT1139">
            <v>489.23705722070844</v>
          </cell>
          <cell r="AU1139">
            <v>489.23705722070844</v>
          </cell>
          <cell r="AV1139">
            <v>489.23705722070844</v>
          </cell>
          <cell r="AW1139">
            <v>489.23705722070844</v>
          </cell>
          <cell r="AX1139">
            <v>489.23705722070844</v>
          </cell>
          <cell r="AY1139">
            <v>489.23705722070844</v>
          </cell>
          <cell r="AZ1139">
            <v>489.23705722070844</v>
          </cell>
          <cell r="BA1139">
            <v>489.23705722070844</v>
          </cell>
          <cell r="BB1139">
            <v>489.23705722070844</v>
          </cell>
          <cell r="BC1139">
            <v>489.23705722070844</v>
          </cell>
          <cell r="BD1139">
            <v>489.23705722070844</v>
          </cell>
          <cell r="BE1139">
            <v>489.23705722070844</v>
          </cell>
          <cell r="BF1139">
            <v>489.23705722070844</v>
          </cell>
          <cell r="BG1139">
            <v>489.23705722070844</v>
          </cell>
          <cell r="BH1139">
            <v>489.23705722070844</v>
          </cell>
          <cell r="BI1139">
            <v>489.23705722070844</v>
          </cell>
          <cell r="BJ1139">
            <v>489.23705722070844</v>
          </cell>
          <cell r="BK1139">
            <v>419.34604904632153</v>
          </cell>
          <cell r="BL1139">
            <v>735.6948228882834</v>
          </cell>
          <cell r="BM1139">
            <v>735.6948228882834</v>
          </cell>
          <cell r="BN1139">
            <v>735.6948228882834</v>
          </cell>
          <cell r="BO1139">
            <v>735.6948228882834</v>
          </cell>
          <cell r="BP1139">
            <v>735.6948228882834</v>
          </cell>
          <cell r="BQ1139">
            <v>735.6948228882834</v>
          </cell>
          <cell r="BR1139">
            <v>735.6948228882834</v>
          </cell>
          <cell r="BS1139">
            <v>735.6948228882834</v>
          </cell>
          <cell r="BT1139">
            <v>735.6948228882834</v>
          </cell>
          <cell r="BU1139">
            <v>735.6948228882834</v>
          </cell>
          <cell r="BV1139">
            <v>735.6948228882834</v>
          </cell>
        </row>
        <row r="1140">
          <cell r="A1140" t="str">
            <v>MMA</v>
          </cell>
          <cell r="B1140" t="str">
            <v>ARM</v>
          </cell>
          <cell r="D1140" t="str">
            <v>SHIFT C  - output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</row>
        <row r="1141">
          <cell r="A1141" t="str">
            <v>MMA</v>
          </cell>
          <cell r="B1141" t="str">
            <v>ARM</v>
          </cell>
          <cell r="D1141" t="str">
            <v>Est. Output (Pcs day)</v>
          </cell>
          <cell r="E1141">
            <v>3.67</v>
          </cell>
          <cell r="Z1141">
            <v>784.74114441416896</v>
          </cell>
          <cell r="AA1141">
            <v>784.74114441416896</v>
          </cell>
          <cell r="AB1141">
            <v>784.74114441416896</v>
          </cell>
          <cell r="AC1141">
            <v>980.9264305177112</v>
          </cell>
          <cell r="AD1141">
            <v>980.9264305177112</v>
          </cell>
          <cell r="AE1141">
            <v>980.9264305177112</v>
          </cell>
          <cell r="AF1141">
            <v>838.69209809264305</v>
          </cell>
          <cell r="AG1141">
            <v>838.69209809264305</v>
          </cell>
          <cell r="AH1141">
            <v>838.69209809264305</v>
          </cell>
          <cell r="AI1141">
            <v>838.69209809264305</v>
          </cell>
          <cell r="AJ1141">
            <v>838.69209809264305</v>
          </cell>
          <cell r="AK1141">
            <v>978.47411444141687</v>
          </cell>
          <cell r="AL1141">
            <v>978.47411444141687</v>
          </cell>
          <cell r="AM1141">
            <v>978.47411444141687</v>
          </cell>
          <cell r="AN1141">
            <v>978.47411444141687</v>
          </cell>
          <cell r="AO1141">
            <v>978.47411444141687</v>
          </cell>
          <cell r="AP1141">
            <v>978.47411444141687</v>
          </cell>
          <cell r="AQ1141">
            <v>978.47411444141687</v>
          </cell>
          <cell r="AR1141">
            <v>978.47411444141687</v>
          </cell>
          <cell r="AS1141">
            <v>978.47411444141687</v>
          </cell>
          <cell r="AT1141">
            <v>978.47411444141687</v>
          </cell>
          <cell r="AU1141">
            <v>978.47411444141687</v>
          </cell>
          <cell r="AV1141">
            <v>978.47411444141687</v>
          </cell>
          <cell r="AW1141">
            <v>978.47411444141687</v>
          </cell>
          <cell r="AX1141">
            <v>978.47411444141687</v>
          </cell>
          <cell r="AY1141">
            <v>978.47411444141687</v>
          </cell>
          <cell r="AZ1141">
            <v>978.47411444141687</v>
          </cell>
          <cell r="BA1141">
            <v>978.47411444141687</v>
          </cell>
          <cell r="BB1141">
            <v>978.47411444141687</v>
          </cell>
          <cell r="BC1141">
            <v>978.47411444141687</v>
          </cell>
          <cell r="BD1141">
            <v>978.47411444141687</v>
          </cell>
          <cell r="BE1141">
            <v>978.47411444141687</v>
          </cell>
          <cell r="BF1141">
            <v>978.47411444141687</v>
          </cell>
          <cell r="BG1141">
            <v>978.47411444141687</v>
          </cell>
          <cell r="BH1141">
            <v>978.47411444141687</v>
          </cell>
          <cell r="BI1141">
            <v>978.47411444141687</v>
          </cell>
          <cell r="BJ1141">
            <v>978.47411444141687</v>
          </cell>
          <cell r="BK1141">
            <v>838.69209809264305</v>
          </cell>
          <cell r="BL1141">
            <v>1471.3896457765668</v>
          </cell>
          <cell r="BM1141">
            <v>1471.3896457765668</v>
          </cell>
          <cell r="BN1141">
            <v>1471.3896457765668</v>
          </cell>
          <cell r="BO1141">
            <v>1471.3896457765668</v>
          </cell>
          <cell r="BP1141">
            <v>1471.3896457765668</v>
          </cell>
          <cell r="BQ1141">
            <v>1471.3896457765668</v>
          </cell>
          <cell r="BR1141">
            <v>1471.3896457765668</v>
          </cell>
          <cell r="BS1141">
            <v>1471.3896457765668</v>
          </cell>
          <cell r="BT1141">
            <v>1471.3896457765668</v>
          </cell>
          <cell r="BU1141">
            <v>1471.3896457765668</v>
          </cell>
          <cell r="BV1141">
            <v>1471.3896457765668</v>
          </cell>
        </row>
        <row r="1142">
          <cell r="A1142" t="str">
            <v>MMA</v>
          </cell>
          <cell r="B1142" t="str">
            <v>ARM</v>
          </cell>
          <cell r="D1142" t="str">
            <v>Weekly Output PLAN</v>
          </cell>
          <cell r="E1142" t="str">
            <v>ASSY</v>
          </cell>
          <cell r="Z1142">
            <v>3923.7057220708448</v>
          </cell>
          <cell r="AA1142">
            <v>3923.7057220708448</v>
          </cell>
          <cell r="AB1142">
            <v>3923.7057220708448</v>
          </cell>
          <cell r="AC1142">
            <v>4904.632152588556</v>
          </cell>
          <cell r="AD1142">
            <v>2942.7792915531336</v>
          </cell>
          <cell r="AE1142">
            <v>4904.632152588556</v>
          </cell>
          <cell r="AF1142">
            <v>4193.4604904632151</v>
          </cell>
          <cell r="AG1142">
            <v>4193.4604904632151</v>
          </cell>
          <cell r="AH1142">
            <v>4193.4604904632151</v>
          </cell>
          <cell r="AI1142">
            <v>4193.4604904632151</v>
          </cell>
          <cell r="AJ1142">
            <v>4193.4604904632151</v>
          </cell>
          <cell r="AK1142">
            <v>3913.8964577656675</v>
          </cell>
          <cell r="AL1142">
            <v>3913.8964577656675</v>
          </cell>
          <cell r="AM1142">
            <v>4892.3705722070845</v>
          </cell>
          <cell r="AN1142">
            <v>3913.8964577656675</v>
          </cell>
          <cell r="AO1142">
            <v>4892.3705722070845</v>
          </cell>
          <cell r="AP1142">
            <v>4892.3705722070845</v>
          </cell>
          <cell r="AQ1142">
            <v>4892.3705722070845</v>
          </cell>
          <cell r="AR1142">
            <v>4892.3705722070845</v>
          </cell>
          <cell r="AS1142">
            <v>4892.3705722070845</v>
          </cell>
          <cell r="AT1142">
            <v>4892.3705722070845</v>
          </cell>
          <cell r="AU1142">
            <v>4892.3705722070845</v>
          </cell>
          <cell r="AV1142">
            <v>4892.3705722070845</v>
          </cell>
          <cell r="AW1142">
            <v>4892.3705722070845</v>
          </cell>
          <cell r="AX1142">
            <v>4892.3705722070845</v>
          </cell>
          <cell r="AY1142">
            <v>4892.3705722070845</v>
          </cell>
          <cell r="AZ1142">
            <v>0</v>
          </cell>
          <cell r="BA1142">
            <v>0</v>
          </cell>
          <cell r="BB1142">
            <v>4892.3705722070845</v>
          </cell>
          <cell r="BC1142">
            <v>4892.3705722070845</v>
          </cell>
          <cell r="BD1142">
            <v>4892.3705722070845</v>
          </cell>
          <cell r="BE1142">
            <v>4892.3705722070845</v>
          </cell>
          <cell r="BF1142">
            <v>4892.3705722070845</v>
          </cell>
          <cell r="BG1142">
            <v>4892.3705722070845</v>
          </cell>
          <cell r="BH1142">
            <v>4892.3705722070845</v>
          </cell>
          <cell r="BI1142">
            <v>4892.3705722070845</v>
          </cell>
          <cell r="BJ1142">
            <v>4892.3705722070845</v>
          </cell>
          <cell r="BK1142">
            <v>4193.4604904632151</v>
          </cell>
          <cell r="BL1142">
            <v>7356.948228882834</v>
          </cell>
          <cell r="BM1142">
            <v>7356.948228882834</v>
          </cell>
          <cell r="BN1142">
            <v>7356.948228882834</v>
          </cell>
          <cell r="BO1142">
            <v>7356.948228882834</v>
          </cell>
          <cell r="BP1142">
            <v>7356.948228882834</v>
          </cell>
          <cell r="BQ1142">
            <v>7356.948228882834</v>
          </cell>
          <cell r="BR1142">
            <v>7356.948228882834</v>
          </cell>
          <cell r="BS1142">
            <v>17656.675749318802</v>
          </cell>
          <cell r="BT1142">
            <v>17656.675749318802</v>
          </cell>
          <cell r="BU1142">
            <v>17656.675749318802</v>
          </cell>
          <cell r="BV1142">
            <v>17656.675749318802</v>
          </cell>
        </row>
        <row r="1143">
          <cell r="A1143" t="str">
            <v>MMA</v>
          </cell>
          <cell r="B1143" t="str">
            <v>ARM</v>
          </cell>
          <cell r="D1143" t="str">
            <v>Leather</v>
          </cell>
          <cell r="E1143">
            <v>4.0343600000000004</v>
          </cell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</row>
        <row r="1144">
          <cell r="A1144" t="str">
            <v>MMA</v>
          </cell>
          <cell r="B1144" t="str">
            <v>ARM</v>
          </cell>
          <cell r="D1144" t="str">
            <v>PVC HL</v>
          </cell>
          <cell r="E1144">
            <v>3.6676000000000002</v>
          </cell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</row>
        <row r="1145">
          <cell r="A1145" t="str">
            <v>MMA</v>
          </cell>
          <cell r="B1145" t="str">
            <v>ARM</v>
          </cell>
          <cell r="D1145" t="str">
            <v>PVC LL</v>
          </cell>
          <cell r="E1145">
            <v>2.7842666666666669</v>
          </cell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</row>
        <row r="1146">
          <cell r="A1146" t="str">
            <v>MMA</v>
          </cell>
          <cell r="B1146" t="str">
            <v>ARM</v>
          </cell>
          <cell r="D1146" t="str">
            <v>PO</v>
          </cell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</row>
        <row r="1147">
          <cell r="A1147" t="str">
            <v>MMA</v>
          </cell>
          <cell r="B1147" t="str">
            <v>ARM</v>
          </cell>
          <cell r="D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</row>
        <row r="1148">
          <cell r="A1148" t="str">
            <v>MMA</v>
          </cell>
          <cell r="B1148" t="str">
            <v>ARM</v>
          </cell>
          <cell r="D1148" t="str">
            <v>Weekly Output PLAN - SUM of models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</row>
        <row r="1149">
          <cell r="A1149" t="str">
            <v>MMA</v>
          </cell>
          <cell r="B1149" t="str">
            <v>ARM</v>
          </cell>
          <cell r="D1149" t="str">
            <v>Weekly Output CHECK with TO time multiple</v>
          </cell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</row>
        <row r="1150">
          <cell r="A1150" t="str">
            <v>MMA</v>
          </cell>
          <cell r="B1150" t="str">
            <v>ARM</v>
          </cell>
          <cell r="D1150" t="str">
            <v>Weekly Output ACT</v>
          </cell>
          <cell r="Z1150">
            <v>3923.7057220708448</v>
          </cell>
          <cell r="AA1150">
            <v>3923.7057220708448</v>
          </cell>
          <cell r="AB1150">
            <v>3923.7057220708448</v>
          </cell>
          <cell r="AC1150">
            <v>4904.632152588556</v>
          </cell>
          <cell r="AD1150">
            <v>2942.7792915531336</v>
          </cell>
          <cell r="AE1150">
            <v>4904.632152588556</v>
          </cell>
          <cell r="AF1150">
            <v>4193.4604904632151</v>
          </cell>
          <cell r="AG1150">
            <v>4193.4604904632151</v>
          </cell>
          <cell r="AH1150">
            <v>4193.4604904632151</v>
          </cell>
          <cell r="AI1150">
            <v>4193.4604904632151</v>
          </cell>
          <cell r="AJ1150">
            <v>4193.4604904632151</v>
          </cell>
          <cell r="AK1150">
            <v>3913.8964577656675</v>
          </cell>
          <cell r="AL1150">
            <v>3913.8964577656675</v>
          </cell>
          <cell r="AM1150">
            <v>4892.3705722070845</v>
          </cell>
          <cell r="AN1150">
            <v>3913.8964577656675</v>
          </cell>
          <cell r="AO1150">
            <v>4892.3705722070845</v>
          </cell>
          <cell r="AP1150">
            <v>4892.3705722070845</v>
          </cell>
          <cell r="AQ1150">
            <v>4892.3705722070845</v>
          </cell>
          <cell r="AR1150">
            <v>4892.3705722070845</v>
          </cell>
          <cell r="AS1150">
            <v>4892.3705722070845</v>
          </cell>
          <cell r="AT1150">
            <v>4892.3705722070845</v>
          </cell>
          <cell r="AU1150">
            <v>4892.3705722070845</v>
          </cell>
          <cell r="AV1150">
            <v>4892.3705722070845</v>
          </cell>
          <cell r="AW1150">
            <v>4892.3705722070845</v>
          </cell>
          <cell r="AX1150">
            <v>4892.3705722070845</v>
          </cell>
          <cell r="AY1150">
            <v>4892.3705722070845</v>
          </cell>
          <cell r="AZ1150">
            <v>0</v>
          </cell>
          <cell r="BA1150">
            <v>0</v>
          </cell>
          <cell r="BB1150">
            <v>4892.3705722070845</v>
          </cell>
          <cell r="BC1150">
            <v>4892.3705722070845</v>
          </cell>
          <cell r="BD1150">
            <v>4892.3705722070845</v>
          </cell>
          <cell r="BE1150">
            <v>4892.3705722070845</v>
          </cell>
          <cell r="BF1150">
            <v>4892.3705722070845</v>
          </cell>
          <cell r="BG1150">
            <v>4892.3705722070845</v>
          </cell>
          <cell r="BH1150">
            <v>4892.3705722070845</v>
          </cell>
          <cell r="BI1150">
            <v>4892.3705722070845</v>
          </cell>
          <cell r="BJ1150">
            <v>4892.3705722070845</v>
          </cell>
          <cell r="BK1150">
            <v>4193.4604904632151</v>
          </cell>
          <cell r="BL1150">
            <v>7356.948228882834</v>
          </cell>
          <cell r="BM1150">
            <v>7356.948228882834</v>
          </cell>
          <cell r="BN1150">
            <v>7356.948228882834</v>
          </cell>
          <cell r="BO1150">
            <v>7356.948228882834</v>
          </cell>
          <cell r="BP1150">
            <v>7356.948228882834</v>
          </cell>
          <cell r="BQ1150">
            <v>7356.948228882834</v>
          </cell>
          <cell r="BR1150">
            <v>7356.948228882834</v>
          </cell>
          <cell r="BS1150">
            <v>17656.675749318802</v>
          </cell>
          <cell r="BT1150">
            <v>17656.675749318802</v>
          </cell>
          <cell r="BU1150">
            <v>17656.675749318802</v>
          </cell>
          <cell r="BV1150">
            <v>17656.675749318802</v>
          </cell>
        </row>
        <row r="1151">
          <cell r="A1151" t="str">
            <v>MMA</v>
          </cell>
          <cell r="B1151" t="str">
            <v>ARM</v>
          </cell>
          <cell r="D1151" t="str">
            <v>Leather</v>
          </cell>
          <cell r="Z1151">
            <v>4488</v>
          </cell>
          <cell r="AA1151">
            <v>1816</v>
          </cell>
          <cell r="AB1151">
            <v>4024</v>
          </cell>
          <cell r="AC1151">
            <v>4000</v>
          </cell>
          <cell r="AD1151">
            <v>3504</v>
          </cell>
          <cell r="AE1151">
            <v>3976</v>
          </cell>
          <cell r="AF1151">
            <v>4656</v>
          </cell>
          <cell r="AG1151">
            <v>3496</v>
          </cell>
          <cell r="AH1151">
            <v>6200</v>
          </cell>
          <cell r="AI1151">
            <v>4480</v>
          </cell>
          <cell r="AJ1151">
            <v>2704</v>
          </cell>
          <cell r="AK1151">
            <v>4296</v>
          </cell>
          <cell r="AL1151">
            <v>4200</v>
          </cell>
          <cell r="AM1151">
            <v>4072</v>
          </cell>
          <cell r="AN1151">
            <v>4424</v>
          </cell>
          <cell r="AO1151">
            <v>3712</v>
          </cell>
          <cell r="AP1151">
            <v>3896</v>
          </cell>
          <cell r="AQ1151">
            <v>3384</v>
          </cell>
          <cell r="AR1151">
            <v>16192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12480</v>
          </cell>
          <cell r="AX1151">
            <v>0</v>
          </cell>
          <cell r="AY1151">
            <v>0</v>
          </cell>
          <cell r="AZ1151">
            <v>0</v>
          </cell>
          <cell r="BA1151">
            <v>4305.3677511976221</v>
          </cell>
          <cell r="BB1151">
            <v>4895.6354518419139</v>
          </cell>
          <cell r="BC1151">
            <v>4895.6354518419139</v>
          </cell>
          <cell r="BD1151">
            <v>4895.6354518419139</v>
          </cell>
          <cell r="BE1151">
            <v>4895.6354518419139</v>
          </cell>
          <cell r="BF1151">
            <v>4895.6354518419139</v>
          </cell>
          <cell r="BG1151">
            <v>4894.3721956420659</v>
          </cell>
          <cell r="BH1151">
            <v>4894.3721956420659</v>
          </cell>
          <cell r="BI1151">
            <v>4894.3721956420659</v>
          </cell>
          <cell r="BJ1151">
            <v>1894.37219564207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</row>
        <row r="1152">
          <cell r="A1152" t="str">
            <v>MMA</v>
          </cell>
          <cell r="B1152" t="str">
            <v>ARM</v>
          </cell>
          <cell r="D1152" t="str">
            <v>PVC HL</v>
          </cell>
          <cell r="Z1152">
            <v>304</v>
          </cell>
          <cell r="AA1152">
            <v>16</v>
          </cell>
          <cell r="AB1152">
            <v>64</v>
          </cell>
          <cell r="AC1152">
            <v>16</v>
          </cell>
          <cell r="AD1152">
            <v>80</v>
          </cell>
          <cell r="AE1152">
            <v>168</v>
          </cell>
          <cell r="AF1152">
            <v>336</v>
          </cell>
          <cell r="AG1152">
            <v>152</v>
          </cell>
          <cell r="AH1152">
            <v>424</v>
          </cell>
          <cell r="AI1152">
            <v>368</v>
          </cell>
          <cell r="AJ1152">
            <v>168</v>
          </cell>
          <cell r="AK1152">
            <v>312</v>
          </cell>
          <cell r="AL1152">
            <v>344</v>
          </cell>
          <cell r="AM1152">
            <v>400</v>
          </cell>
          <cell r="AN1152">
            <v>504</v>
          </cell>
          <cell r="AO1152">
            <v>240</v>
          </cell>
          <cell r="AP1152">
            <v>424</v>
          </cell>
          <cell r="AQ1152">
            <v>360</v>
          </cell>
          <cell r="AR1152">
            <v>2136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2176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</row>
        <row r="1153">
          <cell r="A1153" t="str">
            <v>MMA</v>
          </cell>
          <cell r="B1153" t="str">
            <v>ARM</v>
          </cell>
          <cell r="D1153" t="str">
            <v>PVC LL</v>
          </cell>
          <cell r="Z1153">
            <v>0</v>
          </cell>
          <cell r="AA1153">
            <v>29</v>
          </cell>
          <cell r="AB1153">
            <v>5</v>
          </cell>
          <cell r="AC1153">
            <v>21</v>
          </cell>
          <cell r="AD1153">
            <v>17</v>
          </cell>
          <cell r="AE1153">
            <v>0</v>
          </cell>
          <cell r="AF1153">
            <v>16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</row>
        <row r="1154">
          <cell r="A1154" t="str">
            <v>MMA</v>
          </cell>
          <cell r="B1154" t="str">
            <v>ARM</v>
          </cell>
          <cell r="D1154" t="str">
            <v>PO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</row>
        <row r="1155">
          <cell r="A1155" t="str">
            <v>MMA</v>
          </cell>
          <cell r="B1155" t="str">
            <v>ARM</v>
          </cell>
          <cell r="D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</row>
        <row r="1156">
          <cell r="A1156" t="str">
            <v>MMA</v>
          </cell>
          <cell r="B1156" t="str">
            <v>ARM</v>
          </cell>
          <cell r="D1156" t="str">
            <v>Weekly demand</v>
          </cell>
          <cell r="Z1156">
            <v>4792</v>
          </cell>
          <cell r="AA1156">
            <v>1861</v>
          </cell>
          <cell r="AB1156">
            <v>4093</v>
          </cell>
          <cell r="AC1156">
            <v>4037</v>
          </cell>
          <cell r="AD1156">
            <v>3601</v>
          </cell>
          <cell r="AE1156">
            <v>4144</v>
          </cell>
          <cell r="AF1156">
            <v>5008</v>
          </cell>
          <cell r="AG1156">
            <v>3648</v>
          </cell>
          <cell r="AH1156">
            <v>6624</v>
          </cell>
          <cell r="AI1156">
            <v>4848</v>
          </cell>
          <cell r="AJ1156">
            <v>2872</v>
          </cell>
          <cell r="AK1156">
            <v>4608</v>
          </cell>
          <cell r="AL1156">
            <v>4544</v>
          </cell>
          <cell r="AM1156">
            <v>4472</v>
          </cell>
          <cell r="AN1156">
            <v>4928</v>
          </cell>
          <cell r="AO1156">
            <v>3952</v>
          </cell>
          <cell r="AP1156">
            <v>4320</v>
          </cell>
          <cell r="AQ1156">
            <v>3744</v>
          </cell>
          <cell r="AR1156">
            <v>18328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14656</v>
          </cell>
          <cell r="AX1156">
            <v>0</v>
          </cell>
          <cell r="AY1156">
            <v>0</v>
          </cell>
          <cell r="AZ1156">
            <v>0</v>
          </cell>
          <cell r="BA1156">
            <v>4305.3677511976221</v>
          </cell>
          <cell r="BB1156">
            <v>4895.6354518419139</v>
          </cell>
          <cell r="BC1156">
            <v>4895.6354518419139</v>
          </cell>
          <cell r="BD1156">
            <v>4895.6354518419139</v>
          </cell>
          <cell r="BE1156">
            <v>4895.6354518419139</v>
          </cell>
          <cell r="BF1156">
            <v>4895.6354518419139</v>
          </cell>
          <cell r="BG1156">
            <v>4894.3721956420659</v>
          </cell>
          <cell r="BH1156">
            <v>4894.3721956420659</v>
          </cell>
          <cell r="BI1156">
            <v>4894.3721956420659</v>
          </cell>
          <cell r="BJ1156">
            <v>1894.37219564207</v>
          </cell>
          <cell r="BK1156">
            <v>0</v>
          </cell>
          <cell r="BL1156">
            <v>158441.03379297548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</row>
        <row r="1157">
          <cell r="A1157" t="str">
            <v>MMA</v>
          </cell>
          <cell r="B1157" t="str">
            <v>ARM</v>
          </cell>
          <cell r="D1157" t="str">
            <v>Stock Target</v>
          </cell>
          <cell r="Z1157">
            <v>4000</v>
          </cell>
          <cell r="AA1157">
            <v>4000</v>
          </cell>
          <cell r="AB1157">
            <v>4000</v>
          </cell>
          <cell r="AC1157">
            <v>4000</v>
          </cell>
          <cell r="AD1157">
            <v>4000</v>
          </cell>
          <cell r="AE1157">
            <v>4000</v>
          </cell>
          <cell r="AF1157">
            <v>4000</v>
          </cell>
          <cell r="AG1157">
            <v>4000</v>
          </cell>
          <cell r="AH1157">
            <v>4000</v>
          </cell>
          <cell r="AI1157">
            <v>4000</v>
          </cell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</row>
        <row r="1158">
          <cell r="A1158" t="str">
            <v>MMA</v>
          </cell>
          <cell r="B1158" t="str">
            <v>ARM</v>
          </cell>
          <cell r="D1158" t="str">
            <v>Leather</v>
          </cell>
          <cell r="Z1158">
            <v>68</v>
          </cell>
          <cell r="AA1158">
            <v>-1748</v>
          </cell>
          <cell r="AB1158">
            <v>-5772</v>
          </cell>
          <cell r="AC1158">
            <v>-9772</v>
          </cell>
          <cell r="AD1158">
            <v>-13276</v>
          </cell>
          <cell r="AE1158">
            <v>-17252</v>
          </cell>
          <cell r="AF1158">
            <v>-21908</v>
          </cell>
          <cell r="AG1158">
            <v>-25404</v>
          </cell>
          <cell r="AH1158">
            <v>-31604</v>
          </cell>
          <cell r="AI1158">
            <v>-36084</v>
          </cell>
          <cell r="AJ1158">
            <v>-38788</v>
          </cell>
          <cell r="AK1158">
            <v>-43084</v>
          </cell>
          <cell r="AL1158">
            <v>-47284</v>
          </cell>
          <cell r="AM1158">
            <v>-51356</v>
          </cell>
          <cell r="AN1158">
            <v>-55780</v>
          </cell>
          <cell r="AO1158">
            <v>-59492</v>
          </cell>
          <cell r="AP1158">
            <v>-63388</v>
          </cell>
          <cell r="AQ1158">
            <v>-66772</v>
          </cell>
          <cell r="AR1158">
            <v>-82964</v>
          </cell>
          <cell r="AS1158">
            <v>-82964</v>
          </cell>
          <cell r="AT1158">
            <v>-82964</v>
          </cell>
          <cell r="AU1158">
            <v>-82964</v>
          </cell>
          <cell r="AV1158">
            <v>-82964</v>
          </cell>
          <cell r="AW1158">
            <v>-95444</v>
          </cell>
          <cell r="AX1158">
            <v>-95444</v>
          </cell>
          <cell r="AY1158">
            <v>-95444</v>
          </cell>
          <cell r="AZ1158">
            <v>-95444</v>
          </cell>
          <cell r="BA1158">
            <v>-99749.367751197628</v>
          </cell>
          <cell r="BB1158">
            <v>-104645.00320303954</v>
          </cell>
          <cell r="BC1158">
            <v>-109540.63865488145</v>
          </cell>
          <cell r="BD1158">
            <v>-114436.27410672336</v>
          </cell>
          <cell r="BE1158">
            <v>-119331.90955856527</v>
          </cell>
          <cell r="BF1158">
            <v>-124227.54501040718</v>
          </cell>
          <cell r="BG1158">
            <v>-129121.91720604924</v>
          </cell>
          <cell r="BH1158">
            <v>-134016.28940169132</v>
          </cell>
          <cell r="BI1158">
            <v>-138910.66159733338</v>
          </cell>
          <cell r="BJ1158">
            <v>-140805.03379297545</v>
          </cell>
          <cell r="BK1158">
            <v>-140805.03379297545</v>
          </cell>
          <cell r="BL1158">
            <v>-140805.03379297545</v>
          </cell>
          <cell r="BM1158">
            <v>-140805.03379297545</v>
          </cell>
          <cell r="BN1158">
            <v>-140805.03379297545</v>
          </cell>
          <cell r="BO1158">
            <v>-140805.03379297545</v>
          </cell>
          <cell r="BP1158">
            <v>-140805.03379297545</v>
          </cell>
          <cell r="BQ1158">
            <v>-140805.03379297545</v>
          </cell>
          <cell r="BR1158">
            <v>-140805.03379297545</v>
          </cell>
          <cell r="BS1158">
            <v>-140805.03379297545</v>
          </cell>
          <cell r="BT1158">
            <v>-140805.03379297545</v>
          </cell>
          <cell r="BU1158">
            <v>-140805.03379297545</v>
          </cell>
          <cell r="BV1158">
            <v>-140805.03379297545</v>
          </cell>
        </row>
        <row r="1159">
          <cell r="A1159" t="str">
            <v>MMA</v>
          </cell>
          <cell r="B1159" t="str">
            <v>ARM</v>
          </cell>
          <cell r="D1159" t="str">
            <v>PVC HL</v>
          </cell>
          <cell r="Z1159">
            <v>2184</v>
          </cell>
          <cell r="AA1159">
            <v>2168</v>
          </cell>
          <cell r="AB1159">
            <v>2104</v>
          </cell>
          <cell r="AC1159">
            <v>2088</v>
          </cell>
          <cell r="AD1159">
            <v>2008</v>
          </cell>
          <cell r="AE1159">
            <v>1840</v>
          </cell>
          <cell r="AF1159">
            <v>1504</v>
          </cell>
          <cell r="AG1159">
            <v>1352</v>
          </cell>
          <cell r="AH1159">
            <v>928</v>
          </cell>
          <cell r="AI1159">
            <v>560</v>
          </cell>
          <cell r="AJ1159">
            <v>392</v>
          </cell>
          <cell r="AK1159">
            <v>80</v>
          </cell>
          <cell r="AL1159">
            <v>-264</v>
          </cell>
          <cell r="AM1159">
            <v>-664</v>
          </cell>
          <cell r="AN1159">
            <v>-1168</v>
          </cell>
          <cell r="AO1159">
            <v>-1408</v>
          </cell>
          <cell r="AP1159">
            <v>-1832</v>
          </cell>
          <cell r="AQ1159">
            <v>-2192</v>
          </cell>
          <cell r="AR1159">
            <v>-4328</v>
          </cell>
          <cell r="AS1159">
            <v>-4328</v>
          </cell>
          <cell r="AT1159">
            <v>-4328</v>
          </cell>
          <cell r="AU1159">
            <v>-4328</v>
          </cell>
          <cell r="AV1159">
            <v>-4328</v>
          </cell>
          <cell r="AW1159">
            <v>-6504</v>
          </cell>
          <cell r="AX1159">
            <v>-6504</v>
          </cell>
          <cell r="AY1159">
            <v>-6504</v>
          </cell>
          <cell r="AZ1159">
            <v>-6504</v>
          </cell>
          <cell r="BA1159">
            <v>-6504</v>
          </cell>
          <cell r="BB1159">
            <v>-6504</v>
          </cell>
          <cell r="BC1159">
            <v>-6504</v>
          </cell>
          <cell r="BD1159">
            <v>-6504</v>
          </cell>
          <cell r="BE1159">
            <v>-6504</v>
          </cell>
          <cell r="BF1159">
            <v>-6504</v>
          </cell>
          <cell r="BG1159">
            <v>-6504</v>
          </cell>
          <cell r="BH1159">
            <v>-6504</v>
          </cell>
          <cell r="BI1159">
            <v>-6504</v>
          </cell>
          <cell r="BJ1159">
            <v>-6504</v>
          </cell>
          <cell r="BK1159">
            <v>-6504</v>
          </cell>
          <cell r="BL1159">
            <v>-6504</v>
          </cell>
          <cell r="BM1159">
            <v>-6504</v>
          </cell>
          <cell r="BN1159">
            <v>-6504</v>
          </cell>
          <cell r="BO1159">
            <v>-6504</v>
          </cell>
          <cell r="BP1159">
            <v>-6504</v>
          </cell>
          <cell r="BQ1159">
            <v>-6504</v>
          </cell>
          <cell r="BR1159">
            <v>-6504</v>
          </cell>
          <cell r="BS1159">
            <v>-6504</v>
          </cell>
          <cell r="BT1159">
            <v>-6504</v>
          </cell>
          <cell r="BU1159">
            <v>-6504</v>
          </cell>
          <cell r="BV1159">
            <v>-6504</v>
          </cell>
        </row>
        <row r="1160">
          <cell r="A1160" t="str">
            <v>MMA</v>
          </cell>
          <cell r="B1160" t="str">
            <v>ARM</v>
          </cell>
          <cell r="D1160" t="str">
            <v>PVC LL</v>
          </cell>
          <cell r="Z1160">
            <v>0</v>
          </cell>
          <cell r="AA1160">
            <v>-29</v>
          </cell>
          <cell r="AB1160">
            <v>-34</v>
          </cell>
          <cell r="AC1160">
            <v>-55</v>
          </cell>
          <cell r="AD1160">
            <v>-72</v>
          </cell>
          <cell r="AE1160">
            <v>-72</v>
          </cell>
          <cell r="AF1160">
            <v>-88</v>
          </cell>
          <cell r="AG1160">
            <v>-88</v>
          </cell>
          <cell r="AH1160">
            <v>-88</v>
          </cell>
          <cell r="AI1160">
            <v>-88</v>
          </cell>
          <cell r="AJ1160">
            <v>-88</v>
          </cell>
          <cell r="AK1160">
            <v>-88</v>
          </cell>
          <cell r="AL1160">
            <v>-88</v>
          </cell>
          <cell r="AM1160">
            <v>-88</v>
          </cell>
          <cell r="AN1160">
            <v>-88</v>
          </cell>
          <cell r="AO1160">
            <v>-88</v>
          </cell>
          <cell r="AP1160">
            <v>-88</v>
          </cell>
          <cell r="AQ1160">
            <v>-88</v>
          </cell>
          <cell r="AR1160">
            <v>-88</v>
          </cell>
          <cell r="AS1160">
            <v>-88</v>
          </cell>
          <cell r="AT1160">
            <v>-88</v>
          </cell>
          <cell r="AU1160">
            <v>-88</v>
          </cell>
          <cell r="AV1160">
            <v>-88</v>
          </cell>
          <cell r="AW1160">
            <v>-88</v>
          </cell>
          <cell r="AX1160">
            <v>-88</v>
          </cell>
          <cell r="AY1160">
            <v>-88</v>
          </cell>
          <cell r="AZ1160">
            <v>-88</v>
          </cell>
          <cell r="BA1160">
            <v>-88</v>
          </cell>
          <cell r="BB1160">
            <v>-88</v>
          </cell>
          <cell r="BC1160">
            <v>-88</v>
          </cell>
          <cell r="BD1160">
            <v>-88</v>
          </cell>
          <cell r="BE1160">
            <v>-88</v>
          </cell>
          <cell r="BF1160">
            <v>-88</v>
          </cell>
          <cell r="BG1160">
            <v>-88</v>
          </cell>
          <cell r="BH1160">
            <v>-88</v>
          </cell>
          <cell r="BI1160">
            <v>-88</v>
          </cell>
          <cell r="BJ1160">
            <v>-88</v>
          </cell>
          <cell r="BK1160">
            <v>-88</v>
          </cell>
          <cell r="BL1160">
            <v>-88</v>
          </cell>
          <cell r="BM1160">
            <v>-88</v>
          </cell>
          <cell r="BN1160">
            <v>-88</v>
          </cell>
          <cell r="BO1160">
            <v>-88</v>
          </cell>
          <cell r="BP1160">
            <v>-88</v>
          </cell>
          <cell r="BQ1160">
            <v>-88</v>
          </cell>
          <cell r="BR1160">
            <v>-88</v>
          </cell>
          <cell r="BS1160">
            <v>-88</v>
          </cell>
          <cell r="BT1160">
            <v>-88</v>
          </cell>
          <cell r="BU1160">
            <v>-88</v>
          </cell>
          <cell r="BV1160">
            <v>-88</v>
          </cell>
        </row>
        <row r="1161">
          <cell r="A1161" t="str">
            <v>MMA</v>
          </cell>
          <cell r="B1161" t="str">
            <v>ARM</v>
          </cell>
          <cell r="D1161" t="str">
            <v>PO</v>
          </cell>
          <cell r="Z1161">
            <v>35</v>
          </cell>
          <cell r="AA1161">
            <v>35</v>
          </cell>
          <cell r="AB1161">
            <v>35</v>
          </cell>
          <cell r="AC1161">
            <v>35</v>
          </cell>
          <cell r="AD1161">
            <v>35</v>
          </cell>
          <cell r="AE1161">
            <v>35</v>
          </cell>
          <cell r="AF1161">
            <v>35</v>
          </cell>
          <cell r="AG1161">
            <v>35</v>
          </cell>
          <cell r="AH1161">
            <v>35</v>
          </cell>
          <cell r="AI1161">
            <v>35</v>
          </cell>
          <cell r="AJ1161">
            <v>35</v>
          </cell>
          <cell r="AK1161">
            <v>35</v>
          </cell>
          <cell r="AL1161">
            <v>35</v>
          </cell>
          <cell r="AM1161">
            <v>35</v>
          </cell>
          <cell r="AN1161">
            <v>35</v>
          </cell>
          <cell r="AO1161">
            <v>35</v>
          </cell>
          <cell r="AP1161">
            <v>35</v>
          </cell>
          <cell r="AQ1161">
            <v>35</v>
          </cell>
          <cell r="AR1161">
            <v>35</v>
          </cell>
          <cell r="AS1161">
            <v>35</v>
          </cell>
          <cell r="AT1161">
            <v>35</v>
          </cell>
          <cell r="AU1161">
            <v>35</v>
          </cell>
          <cell r="AV1161">
            <v>35</v>
          </cell>
          <cell r="AW1161">
            <v>35</v>
          </cell>
          <cell r="AX1161">
            <v>35</v>
          </cell>
          <cell r="AY1161">
            <v>35</v>
          </cell>
          <cell r="AZ1161">
            <v>35</v>
          </cell>
          <cell r="BA1161">
            <v>35</v>
          </cell>
          <cell r="BB1161">
            <v>35</v>
          </cell>
          <cell r="BC1161">
            <v>35</v>
          </cell>
          <cell r="BD1161">
            <v>35</v>
          </cell>
          <cell r="BE1161">
            <v>35</v>
          </cell>
          <cell r="BF1161">
            <v>35</v>
          </cell>
          <cell r="BG1161">
            <v>35</v>
          </cell>
          <cell r="BH1161">
            <v>35</v>
          </cell>
          <cell r="BI1161">
            <v>35</v>
          </cell>
          <cell r="BJ1161">
            <v>35</v>
          </cell>
          <cell r="BK1161">
            <v>35</v>
          </cell>
          <cell r="BL1161">
            <v>35</v>
          </cell>
          <cell r="BM1161">
            <v>35</v>
          </cell>
          <cell r="BN1161">
            <v>35</v>
          </cell>
          <cell r="BO1161">
            <v>35</v>
          </cell>
          <cell r="BP1161">
            <v>35</v>
          </cell>
          <cell r="BQ1161">
            <v>35</v>
          </cell>
          <cell r="BR1161">
            <v>35</v>
          </cell>
          <cell r="BS1161">
            <v>35</v>
          </cell>
          <cell r="BT1161">
            <v>35</v>
          </cell>
          <cell r="BU1161">
            <v>35</v>
          </cell>
          <cell r="BV1161">
            <v>35</v>
          </cell>
        </row>
        <row r="1162">
          <cell r="A1162" t="str">
            <v>MMA</v>
          </cell>
          <cell r="B1162" t="str">
            <v>ARM</v>
          </cell>
          <cell r="D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</row>
        <row r="1163">
          <cell r="A1163" t="str">
            <v>MMA</v>
          </cell>
          <cell r="B1163" t="str">
            <v>ARM</v>
          </cell>
          <cell r="D1163" t="str">
            <v>STOCK</v>
          </cell>
          <cell r="Z1163">
            <v>2287</v>
          </cell>
          <cell r="AA1163">
            <v>4349.7057220708448</v>
          </cell>
          <cell r="AB1163">
            <v>4180.4114441416896</v>
          </cell>
          <cell r="AC1163">
            <v>5048.0435967302456</v>
          </cell>
          <cell r="AD1163">
            <v>4389.8228882833791</v>
          </cell>
          <cell r="AE1163">
            <v>5150.4550408719351</v>
          </cell>
          <cell r="AF1163">
            <v>4335.9155313351503</v>
          </cell>
          <cell r="AG1163">
            <v>4881.3760217983654</v>
          </cell>
          <cell r="AH1163">
            <v>2450.8365122615805</v>
          </cell>
          <cell r="AI1163">
            <v>1796.2970027247957</v>
          </cell>
          <cell r="AJ1163">
            <v>3117.7574931880108</v>
          </cell>
          <cell r="AK1163">
            <v>2423.6539509536783</v>
          </cell>
          <cell r="AL1163">
            <v>1793.5504087193458</v>
          </cell>
          <cell r="AM1163">
            <v>2213.9209809264303</v>
          </cell>
          <cell r="AN1163">
            <v>1199.8174386920978</v>
          </cell>
          <cell r="AO1163">
            <v>2140.1880108991822</v>
          </cell>
          <cell r="AP1163">
            <v>2712.5585831062667</v>
          </cell>
          <cell r="AQ1163">
            <v>3860.9291553133512</v>
          </cell>
          <cell r="AR1163">
            <v>-9574.7002724795639</v>
          </cell>
          <cell r="AS1163">
            <v>-4682.3297002724794</v>
          </cell>
          <cell r="AT1163">
            <v>210.04087193460509</v>
          </cell>
          <cell r="AU1163">
            <v>5102.4114441416896</v>
          </cell>
          <cell r="AV1163">
            <v>9994.7820163487741</v>
          </cell>
          <cell r="AW1163">
            <v>231.15258855585853</v>
          </cell>
          <cell r="AX1163">
            <v>5123.523160762943</v>
          </cell>
          <cell r="AY1163">
            <v>10015.893732970027</v>
          </cell>
          <cell r="AZ1163">
            <v>10015.893732970027</v>
          </cell>
          <cell r="BA1163">
            <v>5710.5259817724054</v>
          </cell>
          <cell r="BB1163">
            <v>5707.261102137576</v>
          </cell>
          <cell r="BC1163">
            <v>5703.9962225027466</v>
          </cell>
          <cell r="BD1163">
            <v>5700.7313428679172</v>
          </cell>
          <cell r="BE1163">
            <v>5697.4664632330878</v>
          </cell>
          <cell r="BF1163">
            <v>5694.2015835982584</v>
          </cell>
          <cell r="BG1163">
            <v>5692.199960163277</v>
          </cell>
          <cell r="BH1163">
            <v>5690.1983367282955</v>
          </cell>
          <cell r="BI1163">
            <v>5688.1967132933141</v>
          </cell>
          <cell r="BJ1163">
            <v>8686.1950898583291</v>
          </cell>
          <cell r="BK1163">
            <v>12879.655580321545</v>
          </cell>
          <cell r="BL1163">
            <v>-138204.42998377109</v>
          </cell>
          <cell r="BM1163">
            <v>-130847.48175488826</v>
          </cell>
          <cell r="BN1163">
            <v>-123490.53352600543</v>
          </cell>
          <cell r="BO1163">
            <v>-116133.5852971226</v>
          </cell>
          <cell r="BP1163">
            <v>-108776.63706823977</v>
          </cell>
          <cell r="BQ1163">
            <v>-101419.68883935694</v>
          </cell>
          <cell r="BR1163">
            <v>-94062.740610474109</v>
          </cell>
          <cell r="BS1163">
            <v>-76406.064861155304</v>
          </cell>
          <cell r="BT1163">
            <v>-58749.389111836499</v>
          </cell>
          <cell r="BU1163">
            <v>-41092.713362517694</v>
          </cell>
          <cell r="BV1163">
            <v>-23436.037613198892</v>
          </cell>
        </row>
        <row r="1164">
          <cell r="A1164" t="str">
            <v>Total MMA Volumes</v>
          </cell>
          <cell r="D1164"/>
          <cell r="Z1164">
            <v>31934</v>
          </cell>
          <cell r="AA1164">
            <v>12772</v>
          </cell>
          <cell r="AB1164">
            <v>26719</v>
          </cell>
          <cell r="AC1164">
            <v>27941</v>
          </cell>
          <cell r="AD1164">
            <v>23935</v>
          </cell>
          <cell r="AE1164">
            <v>27733</v>
          </cell>
          <cell r="AF1164">
            <v>31491</v>
          </cell>
          <cell r="AG1164">
            <v>23981</v>
          </cell>
          <cell r="AH1164">
            <v>40551</v>
          </cell>
          <cell r="AI1164">
            <v>30544</v>
          </cell>
          <cell r="AJ1164">
            <v>18188</v>
          </cell>
          <cell r="AK1164">
            <v>28861</v>
          </cell>
          <cell r="AL1164">
            <v>28787</v>
          </cell>
          <cell r="AM1164">
            <v>29119</v>
          </cell>
          <cell r="AN1164">
            <v>31812</v>
          </cell>
          <cell r="AO1164">
            <v>26449</v>
          </cell>
          <cell r="AP1164">
            <v>27802</v>
          </cell>
          <cell r="AQ1164">
            <v>23730</v>
          </cell>
          <cell r="AR1164">
            <v>119614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97824</v>
          </cell>
          <cell r="AX1164">
            <v>0</v>
          </cell>
          <cell r="AY1164">
            <v>0</v>
          </cell>
          <cell r="AZ1164">
            <v>0</v>
          </cell>
          <cell r="BA1164">
            <v>38910.838199027829</v>
          </cell>
          <cell r="BB1164">
            <v>43505.046695483434</v>
          </cell>
          <cell r="BC1164">
            <v>43505.046695483434</v>
          </cell>
          <cell r="BD1164">
            <v>43505.046695483434</v>
          </cell>
          <cell r="BE1164">
            <v>43505.046695483434</v>
          </cell>
          <cell r="BF1164">
            <v>43994.708229983495</v>
          </cell>
          <cell r="BG1164">
            <v>43993.444973783648</v>
          </cell>
          <cell r="BH1164">
            <v>43993.444973783648</v>
          </cell>
          <cell r="BI1164">
            <v>43993.444973783648</v>
          </cell>
          <cell r="BJ1164">
            <v>21443.908584712834</v>
          </cell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</row>
        <row r="1165">
          <cell r="A1165" t="str">
            <v>MMA</v>
          </cell>
          <cell r="B1165" t="str">
            <v>ARM</v>
          </cell>
          <cell r="D1165" t="str">
            <v>Work days</v>
          </cell>
          <cell r="Z1165">
            <v>3</v>
          </cell>
          <cell r="AA1165">
            <v>4.5</v>
          </cell>
          <cell r="AB1165">
            <v>5</v>
          </cell>
          <cell r="AC1165">
            <v>5</v>
          </cell>
          <cell r="AD1165">
            <v>3</v>
          </cell>
          <cell r="AE1165">
            <v>5</v>
          </cell>
          <cell r="AF1165">
            <v>5</v>
          </cell>
          <cell r="AG1165">
            <v>5</v>
          </cell>
          <cell r="AH1165">
            <v>5</v>
          </cell>
          <cell r="AI1165">
            <v>5</v>
          </cell>
          <cell r="AJ1165">
            <v>5</v>
          </cell>
          <cell r="AK1165">
            <v>4</v>
          </cell>
          <cell r="AL1165">
            <v>4</v>
          </cell>
          <cell r="AM1165">
            <v>5</v>
          </cell>
          <cell r="AN1165">
            <v>4</v>
          </cell>
          <cell r="AO1165">
            <v>5</v>
          </cell>
          <cell r="AP1165">
            <v>5</v>
          </cell>
          <cell r="AQ1165">
            <v>5</v>
          </cell>
          <cell r="AR1165">
            <v>5</v>
          </cell>
          <cell r="AS1165">
            <v>5</v>
          </cell>
          <cell r="AT1165">
            <v>5</v>
          </cell>
          <cell r="AU1165">
            <v>5</v>
          </cell>
          <cell r="AV1165">
            <v>5</v>
          </cell>
          <cell r="AW1165">
            <v>5</v>
          </cell>
          <cell r="AX1165">
            <v>5</v>
          </cell>
          <cell r="AY1165">
            <v>5</v>
          </cell>
          <cell r="AZ1165">
            <v>0</v>
          </cell>
          <cell r="BA1165">
            <v>0</v>
          </cell>
          <cell r="BB1165">
            <v>5</v>
          </cell>
          <cell r="BC1165">
            <v>5</v>
          </cell>
          <cell r="BD1165">
            <v>5</v>
          </cell>
          <cell r="BE1165">
            <v>5</v>
          </cell>
          <cell r="BF1165">
            <v>5</v>
          </cell>
          <cell r="BG1165">
            <v>5</v>
          </cell>
          <cell r="BH1165">
            <v>5</v>
          </cell>
          <cell r="BI1165">
            <v>5</v>
          </cell>
          <cell r="BJ1165">
            <v>5</v>
          </cell>
          <cell r="BK1165">
            <v>5</v>
          </cell>
          <cell r="BL1165">
            <v>5</v>
          </cell>
          <cell r="BM1165">
            <v>5</v>
          </cell>
          <cell r="BN1165">
            <v>5</v>
          </cell>
          <cell r="BO1165">
            <v>5</v>
          </cell>
          <cell r="BP1165">
            <v>5</v>
          </cell>
          <cell r="BQ1165">
            <v>3</v>
          </cell>
          <cell r="BR1165">
            <v>3</v>
          </cell>
          <cell r="BS1165">
            <v>3</v>
          </cell>
          <cell r="BT1165">
            <v>3</v>
          </cell>
          <cell r="BU1165">
            <v>3</v>
          </cell>
          <cell r="BV1165">
            <v>3</v>
          </cell>
        </row>
        <row r="1166">
          <cell r="A1166" t="str">
            <v>MMA</v>
          </cell>
          <cell r="B1166" t="str">
            <v>ARM</v>
          </cell>
          <cell r="D1166" t="str">
            <v>SHIFT A HC - operators</v>
          </cell>
          <cell r="Z1166">
            <v>8</v>
          </cell>
          <cell r="AA1166">
            <v>8</v>
          </cell>
          <cell r="AB1166">
            <v>9</v>
          </cell>
          <cell r="AC1166">
            <v>9</v>
          </cell>
          <cell r="AD1166">
            <v>9</v>
          </cell>
          <cell r="AE1166">
            <v>9</v>
          </cell>
          <cell r="AF1166">
            <v>9</v>
          </cell>
          <cell r="AG1166">
            <v>9</v>
          </cell>
          <cell r="AH1166">
            <v>9</v>
          </cell>
          <cell r="AI1166">
            <v>9</v>
          </cell>
          <cell r="AJ1166">
            <v>9</v>
          </cell>
          <cell r="AK1166">
            <v>9</v>
          </cell>
          <cell r="AL1166">
            <v>9</v>
          </cell>
          <cell r="AM1166">
            <v>9</v>
          </cell>
          <cell r="AN1166">
            <v>9</v>
          </cell>
          <cell r="AO1166">
            <v>9</v>
          </cell>
          <cell r="AP1166">
            <v>9</v>
          </cell>
          <cell r="AQ1166">
            <v>9</v>
          </cell>
          <cell r="AR1166">
            <v>9</v>
          </cell>
          <cell r="AS1166">
            <v>9</v>
          </cell>
          <cell r="AT1166">
            <v>9</v>
          </cell>
          <cell r="AU1166">
            <v>9</v>
          </cell>
          <cell r="AV1166">
            <v>9</v>
          </cell>
          <cell r="AW1166">
            <v>9</v>
          </cell>
          <cell r="AX1166">
            <v>9</v>
          </cell>
          <cell r="AY1166">
            <v>9</v>
          </cell>
          <cell r="AZ1166">
            <v>9</v>
          </cell>
          <cell r="BA1166">
            <v>9</v>
          </cell>
          <cell r="BB1166">
            <v>9</v>
          </cell>
          <cell r="BC1166">
            <v>9</v>
          </cell>
          <cell r="BD1166">
            <v>9</v>
          </cell>
          <cell r="BE1166">
            <v>9</v>
          </cell>
          <cell r="BF1166">
            <v>9</v>
          </cell>
          <cell r="BG1166">
            <v>9</v>
          </cell>
          <cell r="BH1166">
            <v>9</v>
          </cell>
          <cell r="BI1166">
            <v>9</v>
          </cell>
          <cell r="BJ1166">
            <v>9</v>
          </cell>
          <cell r="BK1166">
            <v>3</v>
          </cell>
          <cell r="BL1166">
            <v>3</v>
          </cell>
          <cell r="BM1166">
            <v>3</v>
          </cell>
          <cell r="BN1166">
            <v>3</v>
          </cell>
          <cell r="BO1166">
            <v>3</v>
          </cell>
          <cell r="BP1166">
            <v>3</v>
          </cell>
          <cell r="BQ1166">
            <v>3</v>
          </cell>
          <cell r="BR1166">
            <v>3</v>
          </cell>
          <cell r="BS1166">
            <v>3</v>
          </cell>
          <cell r="BT1166">
            <v>3</v>
          </cell>
          <cell r="BU1166">
            <v>3</v>
          </cell>
          <cell r="BV1166">
            <v>3</v>
          </cell>
        </row>
        <row r="1167">
          <cell r="A1167" t="str">
            <v>MMA</v>
          </cell>
          <cell r="B1167" t="str">
            <v>ARM</v>
          </cell>
          <cell r="D1167" t="str">
            <v>SHIFT B HC  - operators</v>
          </cell>
          <cell r="Z1167">
            <v>8</v>
          </cell>
          <cell r="AA1167">
            <v>8</v>
          </cell>
          <cell r="AB1167">
            <v>8</v>
          </cell>
          <cell r="AC1167">
            <v>8</v>
          </cell>
          <cell r="AD1167">
            <v>8</v>
          </cell>
          <cell r="AE1167">
            <v>8</v>
          </cell>
          <cell r="AF1167">
            <v>8</v>
          </cell>
          <cell r="AG1167">
            <v>8</v>
          </cell>
          <cell r="AH1167">
            <v>8</v>
          </cell>
          <cell r="AI1167">
            <v>8</v>
          </cell>
          <cell r="AJ1167">
            <v>8</v>
          </cell>
          <cell r="AK1167">
            <v>8</v>
          </cell>
          <cell r="AL1167">
            <v>8</v>
          </cell>
          <cell r="AM1167">
            <v>8</v>
          </cell>
          <cell r="AN1167">
            <v>8</v>
          </cell>
          <cell r="AO1167">
            <v>8</v>
          </cell>
          <cell r="AP1167">
            <v>8</v>
          </cell>
          <cell r="AQ1167">
            <v>8</v>
          </cell>
          <cell r="AR1167">
            <v>8</v>
          </cell>
          <cell r="AS1167">
            <v>8</v>
          </cell>
          <cell r="AT1167">
            <v>8</v>
          </cell>
          <cell r="AU1167">
            <v>8</v>
          </cell>
          <cell r="AV1167">
            <v>8</v>
          </cell>
          <cell r="AW1167">
            <v>8</v>
          </cell>
          <cell r="AX1167">
            <v>8</v>
          </cell>
          <cell r="AY1167">
            <v>8</v>
          </cell>
          <cell r="AZ1167">
            <v>8</v>
          </cell>
          <cell r="BA1167">
            <v>8</v>
          </cell>
          <cell r="BB1167">
            <v>8</v>
          </cell>
          <cell r="BC1167">
            <v>8</v>
          </cell>
          <cell r="BD1167">
            <v>8</v>
          </cell>
          <cell r="BE1167">
            <v>8</v>
          </cell>
          <cell r="BF1167">
            <v>8</v>
          </cell>
          <cell r="BG1167">
            <v>8</v>
          </cell>
          <cell r="BH1167">
            <v>8</v>
          </cell>
          <cell r="BI1167">
            <v>8</v>
          </cell>
          <cell r="BJ1167">
            <v>8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</row>
        <row r="1168">
          <cell r="A1168" t="str">
            <v>MMA</v>
          </cell>
          <cell r="B1168" t="str">
            <v>ARM</v>
          </cell>
          <cell r="D1168" t="str">
            <v>SHIFT C HC  - operators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</row>
        <row r="1169">
          <cell r="A1169" t="str">
            <v>MMA</v>
          </cell>
          <cell r="B1169" t="str">
            <v>ARM</v>
          </cell>
          <cell r="D1169" t="str">
            <v>Total HC</v>
          </cell>
          <cell r="Z1169">
            <v>16</v>
          </cell>
          <cell r="AA1169">
            <v>16</v>
          </cell>
          <cell r="AB1169">
            <v>17</v>
          </cell>
          <cell r="AC1169">
            <v>17</v>
          </cell>
          <cell r="AD1169">
            <v>17</v>
          </cell>
          <cell r="AE1169">
            <v>17</v>
          </cell>
          <cell r="AF1169">
            <v>17</v>
          </cell>
          <cell r="AG1169">
            <v>17</v>
          </cell>
          <cell r="AH1169">
            <v>17</v>
          </cell>
          <cell r="AI1169">
            <v>17</v>
          </cell>
          <cell r="AJ1169">
            <v>17</v>
          </cell>
          <cell r="AK1169">
            <v>17</v>
          </cell>
          <cell r="AL1169">
            <v>17</v>
          </cell>
          <cell r="AM1169">
            <v>17</v>
          </cell>
          <cell r="AN1169">
            <v>17</v>
          </cell>
          <cell r="AO1169">
            <v>17</v>
          </cell>
          <cell r="AP1169">
            <v>17</v>
          </cell>
          <cell r="AQ1169">
            <v>17</v>
          </cell>
          <cell r="AR1169">
            <v>17</v>
          </cell>
          <cell r="AS1169">
            <v>17</v>
          </cell>
          <cell r="AT1169">
            <v>17</v>
          </cell>
          <cell r="AU1169">
            <v>17</v>
          </cell>
          <cell r="AV1169">
            <v>17</v>
          </cell>
          <cell r="AW1169">
            <v>17</v>
          </cell>
          <cell r="AX1169">
            <v>17</v>
          </cell>
          <cell r="AY1169">
            <v>17</v>
          </cell>
          <cell r="AZ1169">
            <v>17</v>
          </cell>
          <cell r="BA1169">
            <v>17</v>
          </cell>
          <cell r="BB1169">
            <v>17</v>
          </cell>
          <cell r="BC1169">
            <v>17</v>
          </cell>
          <cell r="BD1169">
            <v>17</v>
          </cell>
          <cell r="BE1169">
            <v>17</v>
          </cell>
          <cell r="BF1169">
            <v>17</v>
          </cell>
          <cell r="BG1169">
            <v>17</v>
          </cell>
          <cell r="BH1169">
            <v>17</v>
          </cell>
          <cell r="BI1169">
            <v>17</v>
          </cell>
          <cell r="BJ1169">
            <v>17</v>
          </cell>
          <cell r="BK1169">
            <v>3</v>
          </cell>
          <cell r="BL1169">
            <v>3</v>
          </cell>
          <cell r="BM1169">
            <v>3</v>
          </cell>
          <cell r="BN1169">
            <v>3</v>
          </cell>
          <cell r="BO1169">
            <v>3</v>
          </cell>
          <cell r="BP1169">
            <v>3</v>
          </cell>
          <cell r="BQ1169">
            <v>3</v>
          </cell>
          <cell r="BR1169">
            <v>3</v>
          </cell>
          <cell r="BS1169">
            <v>3</v>
          </cell>
          <cell r="BT1169">
            <v>3</v>
          </cell>
          <cell r="BU1169">
            <v>3</v>
          </cell>
          <cell r="BV1169">
            <v>3</v>
          </cell>
        </row>
        <row r="1170">
          <cell r="A1170" t="str">
            <v>MMA</v>
          </cell>
          <cell r="B1170" t="str">
            <v>ARM</v>
          </cell>
          <cell r="D1170" t="str">
            <v>SHIFT A HC  - efficiency</v>
          </cell>
          <cell r="Z1170">
            <v>0.95000000000000007</v>
          </cell>
          <cell r="AA1170">
            <v>0.9900000000000001</v>
          </cell>
          <cell r="AB1170">
            <v>1</v>
          </cell>
          <cell r="AC1170">
            <v>1</v>
          </cell>
          <cell r="AD1170">
            <v>1</v>
          </cell>
          <cell r="AE1170">
            <v>1.05</v>
          </cell>
          <cell r="AF1170">
            <v>1.05</v>
          </cell>
          <cell r="AG1170">
            <v>1.05</v>
          </cell>
          <cell r="AH1170">
            <v>1</v>
          </cell>
          <cell r="AI1170">
            <v>1</v>
          </cell>
          <cell r="AJ1170">
            <v>1</v>
          </cell>
          <cell r="AK1170">
            <v>1</v>
          </cell>
          <cell r="AL1170">
            <v>1</v>
          </cell>
          <cell r="AM1170">
            <v>1</v>
          </cell>
          <cell r="AN1170">
            <v>1</v>
          </cell>
          <cell r="AO1170">
            <v>1</v>
          </cell>
          <cell r="AP1170">
            <v>1</v>
          </cell>
          <cell r="AQ1170">
            <v>1</v>
          </cell>
          <cell r="AR1170">
            <v>1</v>
          </cell>
          <cell r="AS1170">
            <v>1</v>
          </cell>
          <cell r="AT1170">
            <v>1</v>
          </cell>
          <cell r="AU1170">
            <v>1</v>
          </cell>
          <cell r="AV1170">
            <v>1</v>
          </cell>
          <cell r="AW1170">
            <v>1</v>
          </cell>
          <cell r="AX1170">
            <v>1</v>
          </cell>
          <cell r="AY1170">
            <v>1</v>
          </cell>
          <cell r="AZ1170">
            <v>1</v>
          </cell>
          <cell r="BA1170">
            <v>1</v>
          </cell>
          <cell r="BB1170">
            <v>1</v>
          </cell>
          <cell r="BC1170">
            <v>1</v>
          </cell>
          <cell r="BD1170">
            <v>1</v>
          </cell>
          <cell r="BE1170">
            <v>1</v>
          </cell>
          <cell r="BF1170">
            <v>1</v>
          </cell>
          <cell r="BG1170">
            <v>1</v>
          </cell>
          <cell r="BH1170">
            <v>1</v>
          </cell>
          <cell r="BI1170">
            <v>1</v>
          </cell>
          <cell r="BJ1170">
            <v>1</v>
          </cell>
          <cell r="BK1170">
            <v>1.2</v>
          </cell>
          <cell r="BL1170">
            <v>1.2</v>
          </cell>
          <cell r="BM1170">
            <v>1.2</v>
          </cell>
          <cell r="BN1170">
            <v>1.2</v>
          </cell>
          <cell r="BO1170">
            <v>1.2</v>
          </cell>
          <cell r="BP1170">
            <v>1.2</v>
          </cell>
          <cell r="BQ1170">
            <v>1.2</v>
          </cell>
          <cell r="BR1170">
            <v>1.2</v>
          </cell>
          <cell r="BS1170">
            <v>1.2</v>
          </cell>
          <cell r="BT1170">
            <v>1.2</v>
          </cell>
          <cell r="BU1170">
            <v>1.2</v>
          </cell>
          <cell r="BV1170">
            <v>1.2</v>
          </cell>
        </row>
        <row r="1171">
          <cell r="A1171" t="str">
            <v>MMA</v>
          </cell>
          <cell r="B1171" t="str">
            <v>ARM</v>
          </cell>
          <cell r="D1171" t="str">
            <v>SHIFT B HC  - efficiency</v>
          </cell>
          <cell r="Z1171">
            <v>0.53</v>
          </cell>
          <cell r="AA1171">
            <v>0.55000000000000004</v>
          </cell>
          <cell r="AB1171">
            <v>0.57000000000000006</v>
          </cell>
          <cell r="AC1171">
            <v>0.59000000000000008</v>
          </cell>
          <cell r="AD1171">
            <v>0.6100000000000001</v>
          </cell>
          <cell r="AE1171">
            <v>0.63000000000000012</v>
          </cell>
          <cell r="AF1171">
            <v>0.65000000000000013</v>
          </cell>
          <cell r="AG1171">
            <v>0.67000000000000015</v>
          </cell>
          <cell r="AH1171">
            <v>0.69000000000000017</v>
          </cell>
          <cell r="AI1171">
            <v>0.71000000000000019</v>
          </cell>
          <cell r="AJ1171">
            <v>0.7300000000000002</v>
          </cell>
          <cell r="AK1171">
            <v>0.75000000000000022</v>
          </cell>
          <cell r="AL1171">
            <v>0.77000000000000024</v>
          </cell>
          <cell r="AM1171">
            <v>0.79000000000000026</v>
          </cell>
          <cell r="AN1171">
            <v>0.81000000000000028</v>
          </cell>
          <cell r="AO1171">
            <v>0.83000000000000029</v>
          </cell>
          <cell r="AP1171">
            <v>0.85000000000000031</v>
          </cell>
          <cell r="AQ1171">
            <v>0.87000000000000033</v>
          </cell>
          <cell r="AR1171">
            <v>0.89000000000000035</v>
          </cell>
          <cell r="AS1171">
            <v>0.91000000000000036</v>
          </cell>
          <cell r="AT1171">
            <v>0.93000000000000038</v>
          </cell>
          <cell r="AU1171">
            <v>0.9500000000000004</v>
          </cell>
          <cell r="AV1171">
            <v>1</v>
          </cell>
          <cell r="AW1171">
            <v>1</v>
          </cell>
          <cell r="AX1171">
            <v>1</v>
          </cell>
          <cell r="AY1171">
            <v>1</v>
          </cell>
          <cell r="AZ1171">
            <v>1</v>
          </cell>
          <cell r="BA1171">
            <v>1</v>
          </cell>
          <cell r="BB1171">
            <v>1</v>
          </cell>
          <cell r="BC1171">
            <v>1</v>
          </cell>
          <cell r="BD1171">
            <v>1</v>
          </cell>
          <cell r="BE1171">
            <v>1</v>
          </cell>
          <cell r="BF1171">
            <v>1</v>
          </cell>
          <cell r="BG1171">
            <v>1</v>
          </cell>
          <cell r="BH1171">
            <v>1</v>
          </cell>
          <cell r="BI1171">
            <v>1</v>
          </cell>
          <cell r="BJ1171">
            <v>1</v>
          </cell>
          <cell r="BK1171">
            <v>1</v>
          </cell>
          <cell r="BL1171">
            <v>1</v>
          </cell>
          <cell r="BM1171">
            <v>1</v>
          </cell>
          <cell r="BN1171">
            <v>1</v>
          </cell>
          <cell r="BO1171">
            <v>1</v>
          </cell>
          <cell r="BP1171">
            <v>1</v>
          </cell>
          <cell r="BQ1171">
            <v>1</v>
          </cell>
          <cell r="BR1171">
            <v>1</v>
          </cell>
          <cell r="BS1171">
            <v>1</v>
          </cell>
          <cell r="BT1171">
            <v>1</v>
          </cell>
          <cell r="BU1171">
            <v>1</v>
          </cell>
          <cell r="BV1171">
            <v>1</v>
          </cell>
        </row>
        <row r="1172">
          <cell r="A1172" t="str">
            <v>MMA</v>
          </cell>
          <cell r="B1172" t="str">
            <v>ARM</v>
          </cell>
          <cell r="D1172" t="str">
            <v>SHIFT C HC  - efficiency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1</v>
          </cell>
          <cell r="AJ1172">
            <v>1</v>
          </cell>
          <cell r="AK1172">
            <v>1</v>
          </cell>
          <cell r="AL1172">
            <v>1</v>
          </cell>
          <cell r="AM1172">
            <v>1</v>
          </cell>
          <cell r="AN1172">
            <v>1</v>
          </cell>
          <cell r="AO1172">
            <v>1</v>
          </cell>
          <cell r="AP1172">
            <v>1</v>
          </cell>
          <cell r="AQ1172">
            <v>1</v>
          </cell>
          <cell r="AR1172">
            <v>1</v>
          </cell>
          <cell r="AS1172">
            <v>1</v>
          </cell>
          <cell r="AT1172">
            <v>1</v>
          </cell>
          <cell r="AU1172">
            <v>1</v>
          </cell>
          <cell r="AV1172">
            <v>1</v>
          </cell>
          <cell r="AW1172">
            <v>1</v>
          </cell>
          <cell r="AX1172">
            <v>1</v>
          </cell>
          <cell r="AY1172">
            <v>1</v>
          </cell>
          <cell r="AZ1172">
            <v>1</v>
          </cell>
          <cell r="BA1172">
            <v>1</v>
          </cell>
          <cell r="BB1172">
            <v>1</v>
          </cell>
          <cell r="BC1172">
            <v>1</v>
          </cell>
          <cell r="BD1172">
            <v>1</v>
          </cell>
          <cell r="BE1172">
            <v>1</v>
          </cell>
          <cell r="BF1172">
            <v>1</v>
          </cell>
          <cell r="BG1172">
            <v>1</v>
          </cell>
          <cell r="BH1172">
            <v>1</v>
          </cell>
          <cell r="BI1172">
            <v>1</v>
          </cell>
          <cell r="BJ1172">
            <v>1</v>
          </cell>
          <cell r="BK1172">
            <v>1</v>
          </cell>
          <cell r="BL1172">
            <v>1</v>
          </cell>
          <cell r="BM1172">
            <v>1</v>
          </cell>
          <cell r="BN1172">
            <v>1</v>
          </cell>
          <cell r="BO1172">
            <v>1</v>
          </cell>
          <cell r="BP1172">
            <v>1</v>
          </cell>
          <cell r="BQ1172">
            <v>1</v>
          </cell>
          <cell r="BR1172">
            <v>1</v>
          </cell>
          <cell r="BS1172">
            <v>1</v>
          </cell>
          <cell r="BT1172">
            <v>1</v>
          </cell>
          <cell r="BU1172">
            <v>1</v>
          </cell>
          <cell r="BV1172">
            <v>1</v>
          </cell>
        </row>
        <row r="1173">
          <cell r="A1173" t="str">
            <v>MMA</v>
          </cell>
          <cell r="B1173" t="str">
            <v>ARM</v>
          </cell>
          <cell r="D1173" t="str">
            <v>Total efficiency</v>
          </cell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</row>
        <row r="1174">
          <cell r="A1174" t="str">
            <v>MMA</v>
          </cell>
          <cell r="B1174" t="str">
            <v>ARM</v>
          </cell>
          <cell r="D1174" t="str">
            <v>SHIFT A - output</v>
          </cell>
          <cell r="Z1174">
            <v>482.36953455571228</v>
          </cell>
          <cell r="AA1174">
            <v>502.67983074753175</v>
          </cell>
          <cell r="AB1174">
            <v>571.22708039492238</v>
          </cell>
          <cell r="AC1174">
            <v>571.22708039492238</v>
          </cell>
          <cell r="AD1174">
            <v>571.22708039492238</v>
          </cell>
          <cell r="AE1174">
            <v>599.78843441466847</v>
          </cell>
          <cell r="AF1174">
            <v>599.78843441466847</v>
          </cell>
          <cell r="AG1174">
            <v>599.78843441466847</v>
          </cell>
          <cell r="AH1174">
            <v>571.22708039492238</v>
          </cell>
          <cell r="AI1174">
            <v>571.22708039492238</v>
          </cell>
          <cell r="AJ1174">
            <v>571.22708039492238</v>
          </cell>
          <cell r="AK1174">
            <v>571.22708039492238</v>
          </cell>
          <cell r="AL1174">
            <v>571.22708039492238</v>
          </cell>
          <cell r="AM1174">
            <v>571.22708039492238</v>
          </cell>
          <cell r="AN1174">
            <v>571.22708039492238</v>
          </cell>
          <cell r="AO1174">
            <v>571.22708039492238</v>
          </cell>
          <cell r="AP1174">
            <v>571.22708039492238</v>
          </cell>
          <cell r="AQ1174">
            <v>571.22708039492238</v>
          </cell>
          <cell r="AR1174">
            <v>571.22708039492238</v>
          </cell>
          <cell r="AS1174">
            <v>571.22708039492238</v>
          </cell>
          <cell r="AT1174">
            <v>571.22708039492238</v>
          </cell>
          <cell r="AU1174">
            <v>571.22708039492238</v>
          </cell>
          <cell r="AV1174">
            <v>571.22708039492238</v>
          </cell>
          <cell r="AW1174">
            <v>571.22708039492238</v>
          </cell>
          <cell r="AX1174">
            <v>571.22708039492238</v>
          </cell>
          <cell r="AY1174">
            <v>571.22708039492238</v>
          </cell>
          <cell r="AZ1174">
            <v>571.22708039492238</v>
          </cell>
          <cell r="BA1174">
            <v>571.22708039492238</v>
          </cell>
          <cell r="BB1174">
            <v>571.22708039492238</v>
          </cell>
          <cell r="BC1174">
            <v>571.22708039492238</v>
          </cell>
          <cell r="BD1174">
            <v>571.22708039492238</v>
          </cell>
          <cell r="BE1174">
            <v>571.22708039492238</v>
          </cell>
          <cell r="BF1174">
            <v>571.22708039492238</v>
          </cell>
          <cell r="BG1174">
            <v>571.22708039492238</v>
          </cell>
          <cell r="BH1174">
            <v>571.22708039492238</v>
          </cell>
          <cell r="BI1174">
            <v>571.22708039492238</v>
          </cell>
          <cell r="BJ1174">
            <v>571.22708039492238</v>
          </cell>
          <cell r="BK1174">
            <v>228.49083215796898</v>
          </cell>
          <cell r="BL1174">
            <v>228.49083215796898</v>
          </cell>
          <cell r="BM1174">
            <v>228.49083215796898</v>
          </cell>
          <cell r="BN1174">
            <v>228.49083215796898</v>
          </cell>
          <cell r="BO1174">
            <v>228.49083215796898</v>
          </cell>
          <cell r="BP1174">
            <v>228.49083215796898</v>
          </cell>
          <cell r="BQ1174">
            <v>228.49083215796898</v>
          </cell>
          <cell r="BR1174">
            <v>228.49083215796898</v>
          </cell>
          <cell r="BS1174">
            <v>228.49083215796898</v>
          </cell>
          <cell r="BT1174">
            <v>228.49083215796898</v>
          </cell>
          <cell r="BU1174">
            <v>228.49083215796898</v>
          </cell>
          <cell r="BV1174">
            <v>228.49083215796898</v>
          </cell>
        </row>
        <row r="1175">
          <cell r="A1175" t="str">
            <v>MMA</v>
          </cell>
          <cell r="B1175" t="str">
            <v>ARM</v>
          </cell>
          <cell r="D1175" t="str">
            <v>SHIFT B  - output</v>
          </cell>
          <cell r="Z1175">
            <v>269.1114245416079</v>
          </cell>
          <cell r="AA1175">
            <v>279.26657263751764</v>
          </cell>
          <cell r="AB1175">
            <v>289.42172073342738</v>
          </cell>
          <cell r="AC1175">
            <v>299.57686882933712</v>
          </cell>
          <cell r="AD1175">
            <v>309.73201692524685</v>
          </cell>
          <cell r="AE1175">
            <v>319.88716502115659</v>
          </cell>
          <cell r="AF1175">
            <v>330.04231311706633</v>
          </cell>
          <cell r="AG1175">
            <v>340.19746121297607</v>
          </cell>
          <cell r="AH1175">
            <v>350.35260930888586</v>
          </cell>
          <cell r="AI1175">
            <v>360.5077574047956</v>
          </cell>
          <cell r="AJ1175">
            <v>370.66290550070534</v>
          </cell>
          <cell r="AK1175">
            <v>380.81805359661507</v>
          </cell>
          <cell r="AL1175">
            <v>390.97320169252481</v>
          </cell>
          <cell r="AM1175">
            <v>401.12834978843455</v>
          </cell>
          <cell r="AN1175">
            <v>411.28349788434429</v>
          </cell>
          <cell r="AO1175">
            <v>421.43864598025402</v>
          </cell>
          <cell r="AP1175">
            <v>431.59379407616376</v>
          </cell>
          <cell r="AQ1175">
            <v>441.7489421720735</v>
          </cell>
          <cell r="AR1175">
            <v>451.90409026798324</v>
          </cell>
          <cell r="AS1175">
            <v>462.05923836389297</v>
          </cell>
          <cell r="AT1175">
            <v>472.21438645980271</v>
          </cell>
          <cell r="AU1175">
            <v>482.36953455571245</v>
          </cell>
          <cell r="AV1175">
            <v>507.75740479548659</v>
          </cell>
          <cell r="AW1175">
            <v>507.75740479548659</v>
          </cell>
          <cell r="AX1175">
            <v>507.75740479548659</v>
          </cell>
          <cell r="AY1175">
            <v>507.75740479548659</v>
          </cell>
          <cell r="AZ1175">
            <v>507.75740479548659</v>
          </cell>
          <cell r="BA1175">
            <v>507.75740479548659</v>
          </cell>
          <cell r="BB1175">
            <v>507.75740479548659</v>
          </cell>
          <cell r="BC1175">
            <v>507.75740479548659</v>
          </cell>
          <cell r="BD1175">
            <v>507.75740479548659</v>
          </cell>
          <cell r="BE1175">
            <v>507.75740479548659</v>
          </cell>
          <cell r="BF1175">
            <v>507.75740479548659</v>
          </cell>
          <cell r="BG1175">
            <v>507.75740479548659</v>
          </cell>
          <cell r="BH1175">
            <v>507.75740479548659</v>
          </cell>
          <cell r="BI1175">
            <v>507.75740479548659</v>
          </cell>
          <cell r="BJ1175">
            <v>507.75740479548659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</row>
        <row r="1176">
          <cell r="A1176" t="str">
            <v>MMA</v>
          </cell>
          <cell r="B1176" t="str">
            <v>ARM</v>
          </cell>
          <cell r="D1176" t="str">
            <v>SHIFT C  - output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</row>
        <row r="1177">
          <cell r="A1177" t="str">
            <v>MMA</v>
          </cell>
          <cell r="B1177" t="str">
            <v>ARM</v>
          </cell>
          <cell r="D1177" t="str">
            <v>Est. Output (Pcs day)</v>
          </cell>
          <cell r="E1177">
            <v>7.09</v>
          </cell>
          <cell r="Z1177">
            <v>751.48095909732024</v>
          </cell>
          <cell r="AA1177">
            <v>781.94640338504939</v>
          </cell>
          <cell r="AB1177">
            <v>860.64880112834976</v>
          </cell>
          <cell r="AC1177">
            <v>870.80394922425944</v>
          </cell>
          <cell r="AD1177">
            <v>880.95909732016923</v>
          </cell>
          <cell r="AE1177">
            <v>919.67559943582501</v>
          </cell>
          <cell r="AF1177">
            <v>929.8307475317348</v>
          </cell>
          <cell r="AG1177">
            <v>939.9858956276446</v>
          </cell>
          <cell r="AH1177">
            <v>921.5796897038083</v>
          </cell>
          <cell r="AI1177">
            <v>931.73483779971798</v>
          </cell>
          <cell r="AJ1177">
            <v>941.88998589562766</v>
          </cell>
          <cell r="AK1177">
            <v>952.04513399153745</v>
          </cell>
          <cell r="AL1177">
            <v>962.20028208744725</v>
          </cell>
          <cell r="AM1177">
            <v>972.35543018335693</v>
          </cell>
          <cell r="AN1177">
            <v>982.51057827926661</v>
          </cell>
          <cell r="AO1177">
            <v>992.6657263751764</v>
          </cell>
          <cell r="AP1177">
            <v>1002.8208744710862</v>
          </cell>
          <cell r="AQ1177">
            <v>1012.9760225669959</v>
          </cell>
          <cell r="AR1177">
            <v>1023.1311706629056</v>
          </cell>
          <cell r="AS1177">
            <v>1033.2863187588155</v>
          </cell>
          <cell r="AT1177">
            <v>1043.4414668547251</v>
          </cell>
          <cell r="AU1177">
            <v>1053.5966149506348</v>
          </cell>
          <cell r="AV1177">
            <v>1078.984485190409</v>
          </cell>
          <cell r="AW1177">
            <v>1078.984485190409</v>
          </cell>
          <cell r="AX1177">
            <v>1078.984485190409</v>
          </cell>
          <cell r="AY1177">
            <v>1078.984485190409</v>
          </cell>
          <cell r="AZ1177">
            <v>1078.984485190409</v>
          </cell>
          <cell r="BA1177">
            <v>1078.984485190409</v>
          </cell>
          <cell r="BB1177">
            <v>1078.984485190409</v>
          </cell>
          <cell r="BC1177">
            <v>1078.984485190409</v>
          </cell>
          <cell r="BD1177">
            <v>1078.984485190409</v>
          </cell>
          <cell r="BE1177">
            <v>1078.984485190409</v>
          </cell>
          <cell r="BF1177">
            <v>1078.984485190409</v>
          </cell>
          <cell r="BG1177">
            <v>1078.984485190409</v>
          </cell>
          <cell r="BH1177">
            <v>1078.984485190409</v>
          </cell>
          <cell r="BI1177">
            <v>1078.984485190409</v>
          </cell>
          <cell r="BJ1177">
            <v>1078.984485190409</v>
          </cell>
          <cell r="BK1177">
            <v>228.49083215796898</v>
          </cell>
          <cell r="BL1177">
            <v>228.49083215796898</v>
          </cell>
          <cell r="BM1177">
            <v>228.49083215796898</v>
          </cell>
          <cell r="BN1177">
            <v>228.49083215796898</v>
          </cell>
          <cell r="BO1177">
            <v>228.49083215796898</v>
          </cell>
          <cell r="BP1177">
            <v>228.49083215796898</v>
          </cell>
          <cell r="BQ1177">
            <v>228.49083215796898</v>
          </cell>
          <cell r="BR1177">
            <v>228.49083215796898</v>
          </cell>
          <cell r="BS1177">
            <v>228.49083215796898</v>
          </cell>
          <cell r="BT1177">
            <v>228.49083215796898</v>
          </cell>
          <cell r="BU1177">
            <v>228.49083215796898</v>
          </cell>
          <cell r="BV1177">
            <v>228.49083215796898</v>
          </cell>
        </row>
        <row r="1178">
          <cell r="A1178" t="str">
            <v>MMA</v>
          </cell>
          <cell r="B1178" t="str">
            <v>ARM</v>
          </cell>
          <cell r="D1178" t="str">
            <v>Weekly Output PLAN</v>
          </cell>
          <cell r="E1178" t="str">
            <v>SEW</v>
          </cell>
          <cell r="Z1178">
            <v>2254.4428772919609</v>
          </cell>
          <cell r="AA1178">
            <v>3518.7588152327221</v>
          </cell>
          <cell r="AB1178">
            <v>4303.244005641749</v>
          </cell>
          <cell r="AC1178">
            <v>4354.0197461212974</v>
          </cell>
          <cell r="AD1178">
            <v>2642.8772919605076</v>
          </cell>
          <cell r="AE1178">
            <v>4598.3779971791246</v>
          </cell>
          <cell r="AF1178">
            <v>4649.1537376586739</v>
          </cell>
          <cell r="AG1178">
            <v>4699.9294781382232</v>
          </cell>
          <cell r="AH1178">
            <v>4607.8984485190413</v>
          </cell>
          <cell r="AI1178">
            <v>4658.6741889985897</v>
          </cell>
          <cell r="AJ1178">
            <v>4709.4499294781381</v>
          </cell>
          <cell r="AK1178">
            <v>3808.1805359661498</v>
          </cell>
          <cell r="AL1178">
            <v>3848.801128349789</v>
          </cell>
          <cell r="AM1178">
            <v>4861.7771509167851</v>
          </cell>
          <cell r="AN1178">
            <v>3930.0423131170664</v>
          </cell>
          <cell r="AO1178">
            <v>4963.3286318758819</v>
          </cell>
          <cell r="AP1178">
            <v>5014.1043723554312</v>
          </cell>
          <cell r="AQ1178">
            <v>5064.8801128349796</v>
          </cell>
          <cell r="AR1178">
            <v>5115.655853314528</v>
          </cell>
          <cell r="AS1178">
            <v>5166.4315937940773</v>
          </cell>
          <cell r="AT1178">
            <v>5217.2073342736257</v>
          </cell>
          <cell r="AU1178">
            <v>5267.9830747531742</v>
          </cell>
          <cell r="AV1178">
            <v>5394.9224259520452</v>
          </cell>
          <cell r="AW1178">
            <v>5394.9224259520452</v>
          </cell>
          <cell r="AX1178">
            <v>5394.9224259520452</v>
          </cell>
          <cell r="AY1178">
            <v>5394.9224259520452</v>
          </cell>
          <cell r="AZ1178">
            <v>0</v>
          </cell>
          <cell r="BA1178">
            <v>0</v>
          </cell>
          <cell r="BB1178">
            <v>5394.9224259520452</v>
          </cell>
          <cell r="BC1178">
            <v>5394.9224259520452</v>
          </cell>
          <cell r="BD1178">
            <v>5394.9224259520452</v>
          </cell>
          <cell r="BE1178">
            <v>5394.9224259520452</v>
          </cell>
          <cell r="BF1178">
            <v>5394.9224259520452</v>
          </cell>
          <cell r="BG1178">
            <v>5394.9224259520452</v>
          </cell>
          <cell r="BH1178">
            <v>5394.9224259520452</v>
          </cell>
          <cell r="BI1178">
            <v>5394.9224259520452</v>
          </cell>
          <cell r="BJ1178">
            <v>5394.9224259520452</v>
          </cell>
          <cell r="BK1178">
            <v>1142.454160789845</v>
          </cell>
          <cell r="BL1178">
            <v>1142.454160789845</v>
          </cell>
          <cell r="BM1178">
            <v>1142.454160789845</v>
          </cell>
          <cell r="BN1178">
            <v>1142.454160789845</v>
          </cell>
          <cell r="BO1178">
            <v>1142.454160789845</v>
          </cell>
          <cell r="BP1178">
            <v>1142.454160789845</v>
          </cell>
          <cell r="BQ1178">
            <v>685.47249647390697</v>
          </cell>
          <cell r="BR1178">
            <v>685.47249647390697</v>
          </cell>
          <cell r="BS1178">
            <v>685.47249647390697</v>
          </cell>
          <cell r="BT1178">
            <v>685.47249647390697</v>
          </cell>
          <cell r="BU1178">
            <v>685.47249647390697</v>
          </cell>
          <cell r="BV1178">
            <v>685.47249647390697</v>
          </cell>
        </row>
        <row r="1179">
          <cell r="A1179" t="str">
            <v>MMA</v>
          </cell>
          <cell r="B1179" t="str">
            <v>ARM</v>
          </cell>
          <cell r="D1179" t="str">
            <v>Leather</v>
          </cell>
          <cell r="E1179">
            <v>7.0884</v>
          </cell>
          <cell r="Z1179">
            <v>3923.7057220708448</v>
          </cell>
          <cell r="AA1179">
            <v>3923.7057220708448</v>
          </cell>
          <cell r="AB1179">
            <v>3923.7057220708448</v>
          </cell>
          <cell r="AC1179">
            <v>4904.632152588556</v>
          </cell>
          <cell r="AD1179">
            <v>2942.7792915531336</v>
          </cell>
          <cell r="AE1179">
            <v>4904.632152588556</v>
          </cell>
          <cell r="AF1179">
            <v>4193.4604904632151</v>
          </cell>
          <cell r="AG1179">
            <v>4193.4604904632151</v>
          </cell>
          <cell r="AH1179">
            <v>4193.4604904632151</v>
          </cell>
          <cell r="AI1179">
            <v>4193.4604904632151</v>
          </cell>
          <cell r="AJ1179">
            <v>4193.4604904632151</v>
          </cell>
          <cell r="AK1179">
            <v>3913.8964577656675</v>
          </cell>
          <cell r="AL1179">
            <v>3913.8964577656675</v>
          </cell>
          <cell r="AM1179">
            <v>4892.3705722070845</v>
          </cell>
          <cell r="AN1179">
            <v>3913.8964577656675</v>
          </cell>
          <cell r="AO1179">
            <v>4892.3705722070845</v>
          </cell>
          <cell r="AP1179">
            <v>4892.3705722070845</v>
          </cell>
          <cell r="AQ1179">
            <v>4892.3705722070845</v>
          </cell>
          <cell r="AR1179">
            <v>4892.3705722070845</v>
          </cell>
          <cell r="AS1179">
            <v>4892.3705722070845</v>
          </cell>
          <cell r="AT1179">
            <v>4892.3705722070845</v>
          </cell>
          <cell r="AU1179">
            <v>4892.3705722070845</v>
          </cell>
          <cell r="AV1179">
            <v>4892.3705722070845</v>
          </cell>
          <cell r="AW1179">
            <v>4892.3705722070845</v>
          </cell>
          <cell r="AX1179">
            <v>4892.3705722070845</v>
          </cell>
          <cell r="AY1179">
            <v>4892.3705722070845</v>
          </cell>
          <cell r="AZ1179">
            <v>0</v>
          </cell>
          <cell r="BA1179">
            <v>0</v>
          </cell>
          <cell r="BB1179">
            <v>4892.3705722070845</v>
          </cell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</row>
        <row r="1180">
          <cell r="A1180" t="str">
            <v>MMA</v>
          </cell>
          <cell r="B1180" t="str">
            <v>ARM</v>
          </cell>
          <cell r="D1180" t="str">
            <v>PVC</v>
          </cell>
          <cell r="E1180">
            <v>6.5403000000000002</v>
          </cell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</row>
        <row r="1181">
          <cell r="A1181" t="str">
            <v>MMA</v>
          </cell>
          <cell r="B1181" t="str">
            <v>ARM</v>
          </cell>
          <cell r="D1181" t="str">
            <v>PO</v>
          </cell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</row>
        <row r="1182">
          <cell r="A1182" t="str">
            <v>MMA</v>
          </cell>
          <cell r="B1182" t="str">
            <v>ARM</v>
          </cell>
          <cell r="D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</row>
        <row r="1183">
          <cell r="A1183" t="str">
            <v>MMA</v>
          </cell>
          <cell r="B1183" t="str">
            <v>ARM</v>
          </cell>
          <cell r="D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</row>
        <row r="1184">
          <cell r="A1184" t="str">
            <v>MMA</v>
          </cell>
          <cell r="B1184" t="str">
            <v>ARM</v>
          </cell>
          <cell r="D1184" t="str">
            <v>Weekly Output PLAN - SUM of models</v>
          </cell>
          <cell r="Z1184">
            <v>3923.7057220708448</v>
          </cell>
          <cell r="AA1184">
            <v>3923.7057220708448</v>
          </cell>
          <cell r="AB1184">
            <v>3923.7057220708448</v>
          </cell>
          <cell r="AC1184">
            <v>4904.632152588556</v>
          </cell>
          <cell r="AD1184">
            <v>2942.7792915531336</v>
          </cell>
          <cell r="AE1184">
            <v>4904.632152588556</v>
          </cell>
          <cell r="AF1184">
            <v>4193.4604904632151</v>
          </cell>
          <cell r="AG1184">
            <v>4193.4604904632151</v>
          </cell>
          <cell r="AH1184">
            <v>4193.4604904632151</v>
          </cell>
          <cell r="AI1184">
            <v>4193.4604904632151</v>
          </cell>
          <cell r="AJ1184">
            <v>4193.4604904632151</v>
          </cell>
          <cell r="AK1184">
            <v>3913.8964577656675</v>
          </cell>
          <cell r="AL1184">
            <v>3913.8964577656675</v>
          </cell>
          <cell r="AM1184">
            <v>4892.3705722070845</v>
          </cell>
          <cell r="AN1184">
            <v>3913.8964577656675</v>
          </cell>
          <cell r="AO1184">
            <v>4892.3705722070845</v>
          </cell>
          <cell r="AP1184">
            <v>4892.3705722070845</v>
          </cell>
          <cell r="AQ1184">
            <v>4892.3705722070845</v>
          </cell>
          <cell r="AR1184">
            <v>4892.3705722070845</v>
          </cell>
          <cell r="AS1184">
            <v>4892.3705722070845</v>
          </cell>
          <cell r="AT1184">
            <v>4892.3705722070845</v>
          </cell>
          <cell r="AU1184">
            <v>4892.3705722070845</v>
          </cell>
          <cell r="AV1184">
            <v>4892.3705722070845</v>
          </cell>
          <cell r="AW1184">
            <v>4892.3705722070845</v>
          </cell>
          <cell r="AX1184">
            <v>4892.3705722070845</v>
          </cell>
          <cell r="AY1184">
            <v>4892.3705722070845</v>
          </cell>
          <cell r="AZ1184">
            <v>0</v>
          </cell>
          <cell r="BA1184">
            <v>0</v>
          </cell>
          <cell r="BB1184">
            <v>4892.3705722070845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</row>
        <row r="1185">
          <cell r="A1185" t="str">
            <v>MMA</v>
          </cell>
          <cell r="B1185" t="str">
            <v>ARM</v>
          </cell>
          <cell r="D1185" t="str">
            <v>Weekly Output CHECK with TO time multiple</v>
          </cell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</row>
        <row r="1186">
          <cell r="A1186" t="str">
            <v>MMA</v>
          </cell>
          <cell r="B1186" t="str">
            <v>ARM</v>
          </cell>
          <cell r="D1186" t="str">
            <v>Weekly Output ACT</v>
          </cell>
          <cell r="Z1186">
            <v>2254.4428772919609</v>
          </cell>
          <cell r="AA1186">
            <v>3518.7588152327221</v>
          </cell>
          <cell r="AB1186">
            <v>4303.244005641749</v>
          </cell>
          <cell r="AC1186">
            <v>4354.0197461212974</v>
          </cell>
          <cell r="AD1186">
            <v>2642.8772919605076</v>
          </cell>
          <cell r="AE1186">
            <v>4598.3779971791246</v>
          </cell>
          <cell r="AF1186">
            <v>4649.1537376586739</v>
          </cell>
          <cell r="AG1186">
            <v>4699.9294781382232</v>
          </cell>
          <cell r="AH1186">
            <v>4607.8984485190413</v>
          </cell>
          <cell r="AI1186">
            <v>4658.6741889985897</v>
          </cell>
          <cell r="AJ1186">
            <v>4709.4499294781381</v>
          </cell>
          <cell r="AK1186">
            <v>3808.1805359661498</v>
          </cell>
          <cell r="AL1186">
            <v>3848.801128349789</v>
          </cell>
          <cell r="AM1186">
            <v>4861.7771509167851</v>
          </cell>
          <cell r="AN1186">
            <v>3930.0423131170664</v>
          </cell>
          <cell r="AO1186">
            <v>4963.3286318758819</v>
          </cell>
          <cell r="AP1186">
            <v>5014.1043723554312</v>
          </cell>
          <cell r="AQ1186">
            <v>5064.8801128349796</v>
          </cell>
          <cell r="AR1186">
            <v>5115.655853314528</v>
          </cell>
          <cell r="AS1186">
            <v>5166.4315937940773</v>
          </cell>
          <cell r="AT1186">
            <v>5217.2073342736257</v>
          </cell>
          <cell r="AU1186">
            <v>5267.9830747531742</v>
          </cell>
          <cell r="AV1186">
            <v>5394.9224259520452</v>
          </cell>
          <cell r="AW1186">
            <v>5394.9224259520452</v>
          </cell>
          <cell r="AX1186">
            <v>5394.9224259520452</v>
          </cell>
          <cell r="AY1186">
            <v>5394.9224259520452</v>
          </cell>
          <cell r="AZ1186">
            <v>0</v>
          </cell>
          <cell r="BA1186">
            <v>0</v>
          </cell>
          <cell r="BB1186">
            <v>5394.9224259520452</v>
          </cell>
          <cell r="BC1186">
            <v>5394.9224259520452</v>
          </cell>
          <cell r="BD1186">
            <v>5394.9224259520452</v>
          </cell>
          <cell r="BE1186">
            <v>5394.9224259520452</v>
          </cell>
          <cell r="BF1186">
            <v>5394.9224259520452</v>
          </cell>
          <cell r="BG1186">
            <v>5394.9224259520452</v>
          </cell>
          <cell r="BH1186">
            <v>5394.9224259520452</v>
          </cell>
          <cell r="BI1186">
            <v>5394.9224259520452</v>
          </cell>
          <cell r="BJ1186">
            <v>5394.9224259520452</v>
          </cell>
          <cell r="BK1186">
            <v>1142.454160789845</v>
          </cell>
          <cell r="BL1186">
            <v>1142.454160789845</v>
          </cell>
          <cell r="BM1186">
            <v>1142.454160789845</v>
          </cell>
          <cell r="BN1186">
            <v>1142.454160789845</v>
          </cell>
          <cell r="BO1186">
            <v>1142.454160789845</v>
          </cell>
          <cell r="BP1186">
            <v>1142.454160789845</v>
          </cell>
          <cell r="BQ1186">
            <v>685.47249647390697</v>
          </cell>
          <cell r="BR1186">
            <v>685.47249647390697</v>
          </cell>
          <cell r="BS1186">
            <v>685.47249647390697</v>
          </cell>
          <cell r="BT1186">
            <v>685.47249647390697</v>
          </cell>
          <cell r="BU1186">
            <v>685.47249647390697</v>
          </cell>
          <cell r="BV1186">
            <v>685.47249647390697</v>
          </cell>
        </row>
        <row r="1187">
          <cell r="A1187" t="str">
            <v>MMA</v>
          </cell>
          <cell r="B1187" t="str">
            <v>ARM</v>
          </cell>
          <cell r="D1187" t="str">
            <v>Leather</v>
          </cell>
          <cell r="Z1187">
            <v>3923.7057220708448</v>
          </cell>
          <cell r="AA1187">
            <v>3923.7057220708448</v>
          </cell>
          <cell r="AB1187">
            <v>3923.7057220708448</v>
          </cell>
          <cell r="AC1187">
            <v>4904.632152588556</v>
          </cell>
          <cell r="AD1187">
            <v>2942.7792915531336</v>
          </cell>
          <cell r="AE1187">
            <v>4904.632152588556</v>
          </cell>
          <cell r="AF1187">
            <v>4193.4604904632151</v>
          </cell>
          <cell r="AG1187">
            <v>4193.4604904632151</v>
          </cell>
          <cell r="AH1187">
            <v>4193.4604904632151</v>
          </cell>
          <cell r="AI1187">
            <v>4193.4604904632151</v>
          </cell>
          <cell r="AJ1187">
            <v>4193.4604904632151</v>
          </cell>
          <cell r="AK1187">
            <v>3913.8964577656675</v>
          </cell>
          <cell r="AL1187">
            <v>3913.8964577656675</v>
          </cell>
          <cell r="AM1187">
            <v>4892.3705722070845</v>
          </cell>
          <cell r="AN1187">
            <v>3913.8964577656675</v>
          </cell>
          <cell r="AO1187">
            <v>4892.3705722070845</v>
          </cell>
          <cell r="AP1187">
            <v>4892.3705722070845</v>
          </cell>
          <cell r="AQ1187">
            <v>4892.3705722070845</v>
          </cell>
          <cell r="AR1187">
            <v>4892.3705722070845</v>
          </cell>
          <cell r="AS1187">
            <v>4892.3705722070845</v>
          </cell>
          <cell r="AT1187">
            <v>4892.3705722070845</v>
          </cell>
          <cell r="AU1187">
            <v>4892.3705722070845</v>
          </cell>
          <cell r="AV1187">
            <v>4892.3705722070845</v>
          </cell>
          <cell r="AW1187">
            <v>4892.3705722070845</v>
          </cell>
          <cell r="AX1187">
            <v>4892.3705722070845</v>
          </cell>
          <cell r="AY1187">
            <v>4892.3705722070845</v>
          </cell>
          <cell r="AZ1187">
            <v>0</v>
          </cell>
          <cell r="BA1187">
            <v>0</v>
          </cell>
          <cell r="BB1187">
            <v>4892.3705722070845</v>
          </cell>
          <cell r="BC1187">
            <v>4892.3705722070845</v>
          </cell>
          <cell r="BD1187">
            <v>4892.3705722070845</v>
          </cell>
          <cell r="BE1187">
            <v>4892.3705722070845</v>
          </cell>
          <cell r="BF1187">
            <v>4892.3705722070845</v>
          </cell>
          <cell r="BG1187">
            <v>4892.3705722070845</v>
          </cell>
          <cell r="BH1187">
            <v>4892.3705722070845</v>
          </cell>
          <cell r="BI1187">
            <v>4892.3705722070845</v>
          </cell>
          <cell r="BJ1187">
            <v>4892.3705722070845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</row>
        <row r="1188">
          <cell r="A1188" t="str">
            <v>MMA</v>
          </cell>
          <cell r="B1188" t="str">
            <v>ARM</v>
          </cell>
          <cell r="D1188" t="str">
            <v>PVC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</row>
        <row r="1189">
          <cell r="A1189" t="str">
            <v>MMA</v>
          </cell>
          <cell r="B1189" t="str">
            <v>ARM</v>
          </cell>
          <cell r="D1189" t="str">
            <v>PO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</row>
        <row r="1190">
          <cell r="A1190" t="str">
            <v>MMA</v>
          </cell>
          <cell r="B1190" t="str">
            <v>ARM</v>
          </cell>
          <cell r="D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</row>
        <row r="1191">
          <cell r="A1191" t="str">
            <v>MMA</v>
          </cell>
          <cell r="B1191" t="str">
            <v>ARM</v>
          </cell>
          <cell r="D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</row>
        <row r="1192">
          <cell r="A1192" t="str">
            <v>MMA</v>
          </cell>
          <cell r="B1192" t="str">
            <v>ARM</v>
          </cell>
          <cell r="D1192" t="str">
            <v>Weekly demand</v>
          </cell>
          <cell r="Z1192">
            <v>3923.7057220708448</v>
          </cell>
          <cell r="AA1192">
            <v>3923.7057220708448</v>
          </cell>
          <cell r="AB1192">
            <v>3923.7057220708448</v>
          </cell>
          <cell r="AC1192">
            <v>4904.632152588556</v>
          </cell>
          <cell r="AD1192">
            <v>2942.7792915531336</v>
          </cell>
          <cell r="AE1192">
            <v>4904.632152588556</v>
          </cell>
          <cell r="AF1192">
            <v>4193.4604904632151</v>
          </cell>
          <cell r="AG1192">
            <v>4193.4604904632151</v>
          </cell>
          <cell r="AH1192">
            <v>4193.4604904632151</v>
          </cell>
          <cell r="AI1192">
            <v>4193.4604904632151</v>
          </cell>
          <cell r="AJ1192">
            <v>4193.4604904632151</v>
          </cell>
          <cell r="AK1192">
            <v>3913.8964577656675</v>
          </cell>
          <cell r="AL1192">
            <v>3913.8964577656675</v>
          </cell>
          <cell r="AM1192">
            <v>4892.3705722070845</v>
          </cell>
          <cell r="AN1192">
            <v>3913.8964577656675</v>
          </cell>
          <cell r="AO1192">
            <v>4892.3705722070845</v>
          </cell>
          <cell r="AP1192">
            <v>4892.3705722070845</v>
          </cell>
          <cell r="AQ1192">
            <v>4892.3705722070845</v>
          </cell>
          <cell r="AR1192">
            <v>4892.3705722070845</v>
          </cell>
          <cell r="AS1192">
            <v>4892.3705722070845</v>
          </cell>
          <cell r="AT1192">
            <v>4892.3705722070845</v>
          </cell>
          <cell r="AU1192">
            <v>4892.3705722070845</v>
          </cell>
          <cell r="AV1192">
            <v>4892.3705722070845</v>
          </cell>
          <cell r="AW1192">
            <v>4892.3705722070845</v>
          </cell>
          <cell r="AX1192">
            <v>4892.3705722070845</v>
          </cell>
          <cell r="AY1192">
            <v>4892.3705722070845</v>
          </cell>
          <cell r="AZ1192">
            <v>0</v>
          </cell>
          <cell r="BA1192">
            <v>0</v>
          </cell>
          <cell r="BB1192">
            <v>4892.3705722070845</v>
          </cell>
          <cell r="BC1192">
            <v>4892.3705722070845</v>
          </cell>
          <cell r="BD1192">
            <v>4892.3705722070845</v>
          </cell>
          <cell r="BE1192">
            <v>4892.3705722070845</v>
          </cell>
          <cell r="BF1192">
            <v>4892.3705722070845</v>
          </cell>
          <cell r="BG1192">
            <v>4892.3705722070845</v>
          </cell>
          <cell r="BH1192">
            <v>4892.3705722070845</v>
          </cell>
          <cell r="BI1192">
            <v>4892.3705722070845</v>
          </cell>
          <cell r="BJ1192">
            <v>4892.3705722070845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</row>
        <row r="1193">
          <cell r="A1193" t="str">
            <v>MMA</v>
          </cell>
          <cell r="B1193" t="str">
            <v>ARM</v>
          </cell>
          <cell r="D1193" t="str">
            <v>Stock Target</v>
          </cell>
          <cell r="Z1193">
            <v>600</v>
          </cell>
          <cell r="AA1193">
            <v>600</v>
          </cell>
          <cell r="AB1193">
            <v>600</v>
          </cell>
          <cell r="AC1193">
            <v>600</v>
          </cell>
          <cell r="AD1193">
            <v>600</v>
          </cell>
          <cell r="AE1193">
            <v>600</v>
          </cell>
          <cell r="AF1193">
            <v>2524</v>
          </cell>
          <cell r="AG1193">
            <v>2525</v>
          </cell>
          <cell r="AH1193">
            <v>2526</v>
          </cell>
          <cell r="AI1193">
            <v>2527</v>
          </cell>
          <cell r="AJ1193">
            <v>2528</v>
          </cell>
          <cell r="AK1193">
            <v>2529</v>
          </cell>
          <cell r="AL1193">
            <v>2530</v>
          </cell>
          <cell r="AM1193">
            <v>2531</v>
          </cell>
          <cell r="AN1193">
            <v>2532</v>
          </cell>
          <cell r="AO1193">
            <v>2533</v>
          </cell>
          <cell r="AP1193">
            <v>2534</v>
          </cell>
          <cell r="AQ1193">
            <v>2535</v>
          </cell>
          <cell r="AR1193">
            <v>2536</v>
          </cell>
          <cell r="AS1193">
            <v>2537</v>
          </cell>
          <cell r="AT1193">
            <v>2538</v>
          </cell>
          <cell r="AU1193">
            <v>2539</v>
          </cell>
          <cell r="AV1193">
            <v>2540</v>
          </cell>
          <cell r="AW1193">
            <v>2541</v>
          </cell>
          <cell r="AX1193">
            <v>2542</v>
          </cell>
          <cell r="AY1193">
            <v>2543</v>
          </cell>
          <cell r="AZ1193">
            <v>2544</v>
          </cell>
          <cell r="BA1193">
            <v>2545</v>
          </cell>
          <cell r="BB1193">
            <v>2546</v>
          </cell>
          <cell r="BC1193">
            <v>2547</v>
          </cell>
          <cell r="BD1193">
            <v>2548</v>
          </cell>
          <cell r="BE1193">
            <v>2549</v>
          </cell>
          <cell r="BF1193">
            <v>2550</v>
          </cell>
          <cell r="BG1193">
            <v>2551</v>
          </cell>
          <cell r="BH1193">
            <v>2552</v>
          </cell>
          <cell r="BI1193">
            <v>2553</v>
          </cell>
          <cell r="BJ1193">
            <v>2554</v>
          </cell>
          <cell r="BK1193">
            <v>2555</v>
          </cell>
          <cell r="BL1193">
            <v>2556</v>
          </cell>
          <cell r="BM1193">
            <v>2557</v>
          </cell>
          <cell r="BN1193">
            <v>2558</v>
          </cell>
          <cell r="BO1193">
            <v>2559</v>
          </cell>
          <cell r="BP1193">
            <v>2560</v>
          </cell>
          <cell r="BQ1193">
            <v>2561</v>
          </cell>
          <cell r="BR1193">
            <v>2562</v>
          </cell>
          <cell r="BS1193">
            <v>2563</v>
          </cell>
          <cell r="BT1193">
            <v>2564</v>
          </cell>
          <cell r="BU1193">
            <v>2565</v>
          </cell>
          <cell r="BV1193">
            <v>2566</v>
          </cell>
        </row>
        <row r="1194">
          <cell r="A1194" t="str">
            <v>MMA</v>
          </cell>
          <cell r="B1194" t="str">
            <v>ARM</v>
          </cell>
          <cell r="D1194" t="str">
            <v>Leather</v>
          </cell>
          <cell r="Z1194">
            <v>344</v>
          </cell>
          <cell r="AA1194">
            <v>344</v>
          </cell>
          <cell r="AB1194">
            <v>344</v>
          </cell>
          <cell r="AC1194">
            <v>344</v>
          </cell>
          <cell r="AD1194">
            <v>344</v>
          </cell>
          <cell r="AE1194">
            <v>344</v>
          </cell>
          <cell r="AF1194">
            <v>344</v>
          </cell>
          <cell r="AG1194">
            <v>344</v>
          </cell>
          <cell r="AH1194">
            <v>344</v>
          </cell>
          <cell r="AI1194">
            <v>344</v>
          </cell>
          <cell r="AJ1194">
            <v>344</v>
          </cell>
          <cell r="AK1194">
            <v>344</v>
          </cell>
          <cell r="AL1194">
            <v>344</v>
          </cell>
          <cell r="AM1194">
            <v>344</v>
          </cell>
          <cell r="AN1194">
            <v>344</v>
          </cell>
          <cell r="AO1194">
            <v>344</v>
          </cell>
          <cell r="AP1194">
            <v>344</v>
          </cell>
          <cell r="AQ1194">
            <v>344</v>
          </cell>
          <cell r="AR1194">
            <v>344</v>
          </cell>
          <cell r="AS1194">
            <v>344</v>
          </cell>
          <cell r="AT1194">
            <v>344</v>
          </cell>
          <cell r="AU1194">
            <v>344</v>
          </cell>
          <cell r="AV1194">
            <v>344</v>
          </cell>
          <cell r="AW1194">
            <v>344</v>
          </cell>
          <cell r="AX1194">
            <v>344</v>
          </cell>
          <cell r="AY1194">
            <v>344</v>
          </cell>
          <cell r="AZ1194">
            <v>344</v>
          </cell>
          <cell r="BA1194">
            <v>344</v>
          </cell>
          <cell r="BB1194">
            <v>344</v>
          </cell>
          <cell r="BC1194">
            <v>-4548.3705722070845</v>
          </cell>
          <cell r="BD1194">
            <v>-9440.741144414169</v>
          </cell>
          <cell r="BE1194">
            <v>-14333.111716621253</v>
          </cell>
          <cell r="BF1194">
            <v>-19225.482288828338</v>
          </cell>
          <cell r="BG1194">
            <v>-24117.852861035422</v>
          </cell>
          <cell r="BH1194">
            <v>-29010.223433242507</v>
          </cell>
          <cell r="BI1194">
            <v>-33902.594005449588</v>
          </cell>
          <cell r="BJ1194">
            <v>-38794.964577656676</v>
          </cell>
          <cell r="BK1194">
            <v>-38794.964577656676</v>
          </cell>
          <cell r="BL1194">
            <v>-38794.964577656676</v>
          </cell>
          <cell r="BM1194">
            <v>-38794.964577656676</v>
          </cell>
          <cell r="BN1194">
            <v>-38794.964577656676</v>
          </cell>
          <cell r="BO1194">
            <v>-38794.964577656676</v>
          </cell>
          <cell r="BP1194">
            <v>-38794.964577656676</v>
          </cell>
          <cell r="BQ1194">
            <v>-38794.964577656676</v>
          </cell>
          <cell r="BR1194">
            <v>-38794.964577656676</v>
          </cell>
          <cell r="BS1194">
            <v>-38794.964577656676</v>
          </cell>
          <cell r="BT1194">
            <v>-38794.964577656676</v>
          </cell>
          <cell r="BU1194">
            <v>-38794.964577656676</v>
          </cell>
          <cell r="BV1194">
            <v>-38794.964577656676</v>
          </cell>
        </row>
        <row r="1195">
          <cell r="A1195" t="str">
            <v>MMA</v>
          </cell>
          <cell r="B1195" t="str">
            <v>ARM</v>
          </cell>
          <cell r="D1195" t="str">
            <v>PVC</v>
          </cell>
          <cell r="Z1195">
            <v>832</v>
          </cell>
          <cell r="AA1195">
            <v>832</v>
          </cell>
          <cell r="AB1195">
            <v>832</v>
          </cell>
          <cell r="AC1195">
            <v>832</v>
          </cell>
          <cell r="AD1195">
            <v>832</v>
          </cell>
          <cell r="AE1195">
            <v>832</v>
          </cell>
          <cell r="AF1195">
            <v>832</v>
          </cell>
          <cell r="AG1195">
            <v>832</v>
          </cell>
          <cell r="AH1195">
            <v>832</v>
          </cell>
          <cell r="AI1195">
            <v>832</v>
          </cell>
          <cell r="AJ1195">
            <v>832</v>
          </cell>
          <cell r="AK1195">
            <v>832</v>
          </cell>
          <cell r="AL1195">
            <v>832</v>
          </cell>
          <cell r="AM1195">
            <v>832</v>
          </cell>
          <cell r="AN1195">
            <v>832</v>
          </cell>
          <cell r="AO1195">
            <v>832</v>
          </cell>
          <cell r="AP1195">
            <v>832</v>
          </cell>
          <cell r="AQ1195">
            <v>832</v>
          </cell>
          <cell r="AR1195">
            <v>832</v>
          </cell>
          <cell r="AS1195">
            <v>832</v>
          </cell>
          <cell r="AT1195">
            <v>832</v>
          </cell>
          <cell r="AU1195">
            <v>832</v>
          </cell>
          <cell r="AV1195">
            <v>832</v>
          </cell>
          <cell r="AW1195">
            <v>832</v>
          </cell>
          <cell r="AX1195">
            <v>832</v>
          </cell>
          <cell r="AY1195">
            <v>832</v>
          </cell>
          <cell r="AZ1195">
            <v>832</v>
          </cell>
          <cell r="BA1195">
            <v>832</v>
          </cell>
          <cell r="BB1195">
            <v>832</v>
          </cell>
          <cell r="BC1195">
            <v>832</v>
          </cell>
          <cell r="BD1195">
            <v>832</v>
          </cell>
          <cell r="BE1195">
            <v>832</v>
          </cell>
          <cell r="BF1195">
            <v>832</v>
          </cell>
          <cell r="BG1195">
            <v>832</v>
          </cell>
          <cell r="BH1195">
            <v>832</v>
          </cell>
          <cell r="BI1195">
            <v>832</v>
          </cell>
          <cell r="BJ1195">
            <v>832</v>
          </cell>
          <cell r="BK1195">
            <v>832</v>
          </cell>
          <cell r="BL1195">
            <v>832</v>
          </cell>
          <cell r="BM1195">
            <v>832</v>
          </cell>
          <cell r="BN1195">
            <v>832</v>
          </cell>
          <cell r="BO1195">
            <v>832</v>
          </cell>
          <cell r="BP1195">
            <v>832</v>
          </cell>
          <cell r="BQ1195">
            <v>832</v>
          </cell>
          <cell r="BR1195">
            <v>832</v>
          </cell>
          <cell r="BS1195">
            <v>832</v>
          </cell>
          <cell r="BT1195">
            <v>832</v>
          </cell>
          <cell r="BU1195">
            <v>832</v>
          </cell>
          <cell r="BV1195">
            <v>832</v>
          </cell>
        </row>
        <row r="1196">
          <cell r="A1196" t="str">
            <v>MMA</v>
          </cell>
          <cell r="B1196" t="str">
            <v>ARM</v>
          </cell>
          <cell r="D1196" t="str">
            <v>PO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</row>
        <row r="1197">
          <cell r="A1197" t="str">
            <v>MMA</v>
          </cell>
          <cell r="B1197" t="str">
            <v>ARM</v>
          </cell>
          <cell r="D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</row>
        <row r="1198">
          <cell r="A1198" t="str">
            <v>MMA</v>
          </cell>
          <cell r="B1198" t="str">
            <v>ARM</v>
          </cell>
          <cell r="D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</row>
        <row r="1199">
          <cell r="A1199" t="str">
            <v>MMA</v>
          </cell>
          <cell r="B1199" t="str">
            <v>ARM</v>
          </cell>
          <cell r="D1199" t="str">
            <v>STOCK</v>
          </cell>
          <cell r="Z1199">
            <v>1176</v>
          </cell>
          <cell r="AA1199">
            <v>771.05309316187731</v>
          </cell>
          <cell r="AB1199">
            <v>1150.5913767327816</v>
          </cell>
          <cell r="AC1199">
            <v>599.978970265523</v>
          </cell>
          <cell r="AD1199">
            <v>300.076970672897</v>
          </cell>
          <cell r="AE1199">
            <v>-6.1771847365344001</v>
          </cell>
          <cell r="AF1199">
            <v>449.51606245892435</v>
          </cell>
          <cell r="AG1199">
            <v>955.98505013393242</v>
          </cell>
          <cell r="AH1199">
            <v>1370.4230081897585</v>
          </cell>
          <cell r="AI1199">
            <v>1835.6367067251331</v>
          </cell>
          <cell r="AJ1199">
            <v>2351.626145740056</v>
          </cell>
          <cell r="AK1199">
            <v>2245.9102239405383</v>
          </cell>
          <cell r="AL1199">
            <v>2180.8148945246598</v>
          </cell>
          <cell r="AM1199">
            <v>2150.2214732343605</v>
          </cell>
          <cell r="AN1199">
            <v>2166.3673285857594</v>
          </cell>
          <cell r="AO1199">
            <v>2237.3253882545569</v>
          </cell>
          <cell r="AP1199">
            <v>2359.0591884029036</v>
          </cell>
          <cell r="AQ1199">
            <v>2531.5687290307987</v>
          </cell>
          <cell r="AR1199">
            <v>2754.8540101382423</v>
          </cell>
          <cell r="AS1199">
            <v>3028.9150317252352</v>
          </cell>
          <cell r="AT1199">
            <v>3353.7517937917764</v>
          </cell>
          <cell r="AU1199">
            <v>3729.3642963378661</v>
          </cell>
          <cell r="AV1199">
            <v>4231.9161500828268</v>
          </cell>
          <cell r="AW1199">
            <v>4734.4680038277875</v>
          </cell>
          <cell r="AX1199">
            <v>5237.0198575727482</v>
          </cell>
          <cell r="AY1199">
            <v>5739.5717113177088</v>
          </cell>
          <cell r="AZ1199">
            <v>5739.5717113177088</v>
          </cell>
          <cell r="BA1199">
            <v>5739.5717113177088</v>
          </cell>
          <cell r="BB1199">
            <v>6242.1235650626695</v>
          </cell>
          <cell r="BC1199">
            <v>6744.6754188076302</v>
          </cell>
          <cell r="BD1199">
            <v>7247.2272725525909</v>
          </cell>
          <cell r="BE1199">
            <v>7749.7791262975516</v>
          </cell>
          <cell r="BF1199">
            <v>8252.3309800425122</v>
          </cell>
          <cell r="BG1199">
            <v>8754.8828337874729</v>
          </cell>
          <cell r="BH1199">
            <v>9257.4346875324336</v>
          </cell>
          <cell r="BI1199">
            <v>9759.9865412773943</v>
          </cell>
          <cell r="BJ1199">
            <v>10262.538395022355</v>
          </cell>
          <cell r="BK1199">
            <v>11404.992555812199</v>
          </cell>
          <cell r="BL1199">
            <v>12547.446716602044</v>
          </cell>
          <cell r="BM1199">
            <v>13689.900877391889</v>
          </cell>
          <cell r="BN1199">
            <v>14832.355038181733</v>
          </cell>
          <cell r="BO1199">
            <v>15974.809198971578</v>
          </cell>
          <cell r="BP1199">
            <v>17117.263359761422</v>
          </cell>
          <cell r="BQ1199">
            <v>17802.735856235329</v>
          </cell>
          <cell r="BR1199">
            <v>18488.208352709236</v>
          </cell>
          <cell r="BS1199">
            <v>19173.680849183143</v>
          </cell>
          <cell r="BT1199">
            <v>19859.153345657051</v>
          </cell>
          <cell r="BU1199">
            <v>20544.625842130958</v>
          </cell>
          <cell r="BV1199">
            <v>21230.098338604865</v>
          </cell>
        </row>
        <row r="1200">
          <cell r="A1200" t="str">
            <v>Blank</v>
          </cell>
          <cell r="B1200" t="str">
            <v>Blank</v>
          </cell>
          <cell r="D1200" t="str">
            <v>Blank</v>
          </cell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</row>
        <row r="1201">
          <cell r="A1201" t="str">
            <v>MMA</v>
          </cell>
          <cell r="B1201" t="str">
            <v>2WAY</v>
          </cell>
          <cell r="D1201" t="str">
            <v>Work days</v>
          </cell>
          <cell r="Z1201">
            <v>5</v>
          </cell>
          <cell r="AA1201">
            <v>5</v>
          </cell>
          <cell r="AB1201">
            <v>5</v>
          </cell>
          <cell r="AC1201">
            <v>5</v>
          </cell>
          <cell r="AD1201">
            <v>3</v>
          </cell>
          <cell r="AE1201">
            <v>5</v>
          </cell>
          <cell r="AF1201">
            <v>5</v>
          </cell>
          <cell r="AG1201">
            <v>5</v>
          </cell>
          <cell r="AH1201">
            <v>5</v>
          </cell>
          <cell r="AI1201">
            <v>5</v>
          </cell>
          <cell r="AJ1201">
            <v>5</v>
          </cell>
          <cell r="AK1201">
            <v>4</v>
          </cell>
          <cell r="AL1201">
            <v>4</v>
          </cell>
          <cell r="AM1201">
            <v>5</v>
          </cell>
          <cell r="AN1201">
            <v>4</v>
          </cell>
          <cell r="AO1201">
            <v>5</v>
          </cell>
          <cell r="AP1201">
            <v>5</v>
          </cell>
          <cell r="AQ1201">
            <v>5</v>
          </cell>
          <cell r="AR1201">
            <v>5</v>
          </cell>
          <cell r="AS1201">
            <v>5</v>
          </cell>
          <cell r="AT1201">
            <v>5</v>
          </cell>
          <cell r="AU1201">
            <v>5</v>
          </cell>
          <cell r="AV1201">
            <v>5</v>
          </cell>
          <cell r="AW1201">
            <v>5</v>
          </cell>
          <cell r="AX1201">
            <v>5</v>
          </cell>
          <cell r="AY1201">
            <v>5</v>
          </cell>
          <cell r="AZ1201">
            <v>0</v>
          </cell>
          <cell r="BA1201">
            <v>0</v>
          </cell>
          <cell r="BB1201">
            <v>5</v>
          </cell>
          <cell r="BC1201">
            <v>5</v>
          </cell>
          <cell r="BD1201">
            <v>5</v>
          </cell>
          <cell r="BE1201">
            <v>5</v>
          </cell>
          <cell r="BF1201">
            <v>5</v>
          </cell>
          <cell r="BG1201">
            <v>5</v>
          </cell>
          <cell r="BH1201">
            <v>5</v>
          </cell>
          <cell r="BI1201">
            <v>5</v>
          </cell>
          <cell r="BJ1201">
            <v>5</v>
          </cell>
          <cell r="BK1201">
            <v>5</v>
          </cell>
          <cell r="BL1201">
            <v>5</v>
          </cell>
          <cell r="BM1201">
            <v>5</v>
          </cell>
          <cell r="BN1201">
            <v>5</v>
          </cell>
          <cell r="BO1201">
            <v>5</v>
          </cell>
          <cell r="BP1201">
            <v>5</v>
          </cell>
          <cell r="BQ1201">
            <v>5</v>
          </cell>
          <cell r="BR1201">
            <v>5</v>
          </cell>
          <cell r="BS1201">
            <v>5</v>
          </cell>
          <cell r="BT1201">
            <v>5</v>
          </cell>
          <cell r="BU1201">
            <v>3</v>
          </cell>
          <cell r="BV1201">
            <v>3</v>
          </cell>
        </row>
        <row r="1202">
          <cell r="A1202" t="str">
            <v>MMA</v>
          </cell>
          <cell r="B1202" t="str">
            <v>2WAY</v>
          </cell>
          <cell r="D1202" t="str">
            <v>SHIFT A HC - operators</v>
          </cell>
          <cell r="E1202" t="str">
            <v>ELI INCL FROM 01/01/26 (2OP+1ELI per shift)</v>
          </cell>
          <cell r="Z1202">
            <v>3</v>
          </cell>
          <cell r="AA1202">
            <v>4</v>
          </cell>
          <cell r="AB1202">
            <v>4</v>
          </cell>
          <cell r="AC1202">
            <v>4</v>
          </cell>
          <cell r="AD1202">
            <v>4</v>
          </cell>
          <cell r="AE1202">
            <v>4</v>
          </cell>
          <cell r="AF1202">
            <v>4</v>
          </cell>
          <cell r="AG1202">
            <v>3</v>
          </cell>
          <cell r="AH1202">
            <v>3</v>
          </cell>
          <cell r="AI1202">
            <v>3</v>
          </cell>
          <cell r="AJ1202">
            <v>3</v>
          </cell>
          <cell r="AK1202">
            <v>3</v>
          </cell>
          <cell r="AL1202">
            <v>3</v>
          </cell>
          <cell r="AM1202">
            <v>3</v>
          </cell>
          <cell r="AN1202">
            <v>3</v>
          </cell>
          <cell r="AO1202">
            <v>3</v>
          </cell>
          <cell r="AP1202">
            <v>3</v>
          </cell>
          <cell r="AQ1202">
            <v>3</v>
          </cell>
          <cell r="AR1202">
            <v>3</v>
          </cell>
          <cell r="AS1202">
            <v>3</v>
          </cell>
          <cell r="AT1202">
            <v>3</v>
          </cell>
          <cell r="AU1202">
            <v>3</v>
          </cell>
          <cell r="AV1202">
            <v>3</v>
          </cell>
          <cell r="AW1202">
            <v>3</v>
          </cell>
          <cell r="AX1202">
            <v>3</v>
          </cell>
          <cell r="AY1202">
            <v>3</v>
          </cell>
          <cell r="AZ1202">
            <v>3</v>
          </cell>
          <cell r="BA1202">
            <v>3</v>
          </cell>
          <cell r="BB1202">
            <v>3</v>
          </cell>
          <cell r="BC1202">
            <v>3</v>
          </cell>
          <cell r="BD1202">
            <v>3</v>
          </cell>
          <cell r="BE1202">
            <v>3</v>
          </cell>
          <cell r="BF1202">
            <v>3</v>
          </cell>
          <cell r="BG1202">
            <v>3</v>
          </cell>
          <cell r="BH1202">
            <v>3</v>
          </cell>
          <cell r="BI1202">
            <v>3</v>
          </cell>
          <cell r="BJ1202">
            <v>3</v>
          </cell>
          <cell r="BK1202">
            <v>3</v>
          </cell>
          <cell r="BL1202">
            <v>3</v>
          </cell>
          <cell r="BM1202">
            <v>3</v>
          </cell>
          <cell r="BN1202">
            <v>3</v>
          </cell>
          <cell r="BO1202">
            <v>3</v>
          </cell>
          <cell r="BP1202">
            <v>3</v>
          </cell>
          <cell r="BQ1202">
            <v>3</v>
          </cell>
          <cell r="BR1202">
            <v>3</v>
          </cell>
          <cell r="BS1202">
            <v>3</v>
          </cell>
          <cell r="BT1202">
            <v>3</v>
          </cell>
          <cell r="BU1202">
            <v>3</v>
          </cell>
          <cell r="BV1202">
            <v>3</v>
          </cell>
        </row>
        <row r="1203">
          <cell r="A1203" t="str">
            <v>MMA</v>
          </cell>
          <cell r="B1203" t="str">
            <v>2WAY</v>
          </cell>
          <cell r="D1203" t="str">
            <v>SHIFT B HC  - operators</v>
          </cell>
          <cell r="E1203" t="str">
            <v>ELI INCL FROM 01/01/26 (2OP+1ELI per shift)</v>
          </cell>
          <cell r="Z1203">
            <v>3</v>
          </cell>
          <cell r="AA1203">
            <v>3</v>
          </cell>
          <cell r="AB1203">
            <v>3</v>
          </cell>
          <cell r="AC1203">
            <v>3</v>
          </cell>
          <cell r="AD1203">
            <v>3</v>
          </cell>
          <cell r="AE1203">
            <v>3</v>
          </cell>
          <cell r="AF1203">
            <v>3</v>
          </cell>
          <cell r="AG1203">
            <v>3</v>
          </cell>
          <cell r="AH1203">
            <v>3</v>
          </cell>
          <cell r="AI1203">
            <v>3</v>
          </cell>
          <cell r="AJ1203">
            <v>3</v>
          </cell>
          <cell r="AK1203">
            <v>3</v>
          </cell>
          <cell r="AL1203">
            <v>3</v>
          </cell>
          <cell r="AM1203">
            <v>3</v>
          </cell>
          <cell r="AN1203">
            <v>3</v>
          </cell>
          <cell r="AO1203">
            <v>3</v>
          </cell>
          <cell r="AP1203">
            <v>3</v>
          </cell>
          <cell r="AQ1203">
            <v>3</v>
          </cell>
          <cell r="AR1203">
            <v>3</v>
          </cell>
          <cell r="AS1203">
            <v>3</v>
          </cell>
          <cell r="AT1203">
            <v>3</v>
          </cell>
          <cell r="AU1203">
            <v>3</v>
          </cell>
          <cell r="AV1203">
            <v>3</v>
          </cell>
          <cell r="AW1203">
            <v>3</v>
          </cell>
          <cell r="AX1203">
            <v>3</v>
          </cell>
          <cell r="AY1203">
            <v>3</v>
          </cell>
          <cell r="AZ1203">
            <v>3</v>
          </cell>
          <cell r="BA1203">
            <v>3</v>
          </cell>
          <cell r="BB1203">
            <v>3</v>
          </cell>
          <cell r="BC1203">
            <v>3</v>
          </cell>
          <cell r="BD1203">
            <v>3</v>
          </cell>
          <cell r="BE1203">
            <v>3</v>
          </cell>
          <cell r="BF1203">
            <v>3</v>
          </cell>
          <cell r="BG1203">
            <v>3</v>
          </cell>
          <cell r="BH1203">
            <v>3</v>
          </cell>
          <cell r="BI1203">
            <v>3</v>
          </cell>
          <cell r="BJ1203">
            <v>3</v>
          </cell>
          <cell r="BK1203">
            <v>0</v>
          </cell>
          <cell r="BL1203">
            <v>0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0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</row>
        <row r="1204">
          <cell r="A1204" t="str">
            <v>MMA</v>
          </cell>
          <cell r="B1204" t="str">
            <v>2WAY</v>
          </cell>
          <cell r="D1204" t="str">
            <v>SHIFT C HC  - operators</v>
          </cell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>
            <v>3</v>
          </cell>
          <cell r="AW1204">
            <v>3</v>
          </cell>
          <cell r="AX1204">
            <v>3</v>
          </cell>
          <cell r="AY1204">
            <v>3</v>
          </cell>
          <cell r="AZ1204">
            <v>3</v>
          </cell>
          <cell r="BA1204">
            <v>3</v>
          </cell>
          <cell r="BB1204">
            <v>3</v>
          </cell>
          <cell r="BC1204">
            <v>3</v>
          </cell>
          <cell r="BD1204">
            <v>3</v>
          </cell>
          <cell r="BE1204">
            <v>3</v>
          </cell>
          <cell r="BF1204">
            <v>3</v>
          </cell>
          <cell r="BG1204">
            <v>3</v>
          </cell>
          <cell r="BH1204">
            <v>3</v>
          </cell>
          <cell r="BI1204">
            <v>3</v>
          </cell>
          <cell r="BJ1204">
            <v>3</v>
          </cell>
          <cell r="BK1204">
            <v>3</v>
          </cell>
          <cell r="BL1204">
            <v>3</v>
          </cell>
          <cell r="BM1204">
            <v>3</v>
          </cell>
          <cell r="BN1204">
            <v>3</v>
          </cell>
          <cell r="BO1204">
            <v>3</v>
          </cell>
          <cell r="BP1204">
            <v>3</v>
          </cell>
          <cell r="BQ1204">
            <v>3</v>
          </cell>
          <cell r="BR1204">
            <v>3</v>
          </cell>
          <cell r="BS1204">
            <v>3</v>
          </cell>
          <cell r="BT1204">
            <v>3</v>
          </cell>
          <cell r="BU1204">
            <v>3</v>
          </cell>
          <cell r="BV1204">
            <v>3</v>
          </cell>
        </row>
        <row r="1205">
          <cell r="A1205" t="str">
            <v>MMA</v>
          </cell>
          <cell r="B1205" t="str">
            <v>2WAY</v>
          </cell>
          <cell r="D1205" t="str">
            <v>Total HC</v>
          </cell>
          <cell r="Z1205">
            <v>6</v>
          </cell>
          <cell r="AA1205">
            <v>7</v>
          </cell>
          <cell r="AB1205">
            <v>7</v>
          </cell>
          <cell r="AC1205">
            <v>7</v>
          </cell>
          <cell r="AD1205">
            <v>7</v>
          </cell>
          <cell r="AE1205">
            <v>7</v>
          </cell>
          <cell r="AF1205">
            <v>7</v>
          </cell>
          <cell r="AG1205">
            <v>6</v>
          </cell>
          <cell r="AH1205">
            <v>6</v>
          </cell>
          <cell r="AI1205">
            <v>6</v>
          </cell>
          <cell r="AJ1205">
            <v>6</v>
          </cell>
          <cell r="AK1205">
            <v>6</v>
          </cell>
          <cell r="AL1205">
            <v>6</v>
          </cell>
          <cell r="AM1205">
            <v>6</v>
          </cell>
          <cell r="AN1205">
            <v>6</v>
          </cell>
          <cell r="AO1205">
            <v>6</v>
          </cell>
          <cell r="AP1205">
            <v>6</v>
          </cell>
          <cell r="AQ1205">
            <v>6</v>
          </cell>
          <cell r="AR1205">
            <v>6</v>
          </cell>
          <cell r="AS1205">
            <v>6</v>
          </cell>
          <cell r="AT1205">
            <v>6</v>
          </cell>
          <cell r="AU1205">
            <v>6</v>
          </cell>
          <cell r="AV1205">
            <v>9</v>
          </cell>
          <cell r="AW1205">
            <v>9</v>
          </cell>
          <cell r="AX1205">
            <v>9</v>
          </cell>
          <cell r="AY1205">
            <v>9</v>
          </cell>
          <cell r="AZ1205">
            <v>9</v>
          </cell>
          <cell r="BA1205">
            <v>9</v>
          </cell>
          <cell r="BB1205">
            <v>9</v>
          </cell>
          <cell r="BC1205">
            <v>9</v>
          </cell>
          <cell r="BD1205">
            <v>9</v>
          </cell>
          <cell r="BE1205">
            <v>9</v>
          </cell>
          <cell r="BF1205">
            <v>9</v>
          </cell>
          <cell r="BG1205">
            <v>9</v>
          </cell>
          <cell r="BH1205">
            <v>9</v>
          </cell>
          <cell r="BI1205">
            <v>9</v>
          </cell>
          <cell r="BJ1205">
            <v>9</v>
          </cell>
          <cell r="BK1205">
            <v>6</v>
          </cell>
          <cell r="BL1205">
            <v>6</v>
          </cell>
          <cell r="BM1205">
            <v>6</v>
          </cell>
          <cell r="BN1205">
            <v>6</v>
          </cell>
          <cell r="BO1205">
            <v>6</v>
          </cell>
          <cell r="BP1205">
            <v>6</v>
          </cell>
          <cell r="BQ1205">
            <v>6</v>
          </cell>
          <cell r="BR1205">
            <v>6</v>
          </cell>
          <cell r="BS1205">
            <v>6</v>
          </cell>
          <cell r="BT1205">
            <v>6</v>
          </cell>
          <cell r="BU1205">
            <v>6</v>
          </cell>
          <cell r="BV1205">
            <v>6</v>
          </cell>
        </row>
        <row r="1206">
          <cell r="A1206" t="str">
            <v>MMA</v>
          </cell>
          <cell r="B1206" t="str">
            <v>2WAY</v>
          </cell>
          <cell r="D1206" t="str">
            <v>SHIFT A HC  - efficiency</v>
          </cell>
          <cell r="Z1206">
            <v>0.9</v>
          </cell>
          <cell r="AA1206">
            <v>0.95</v>
          </cell>
          <cell r="AB1206">
            <v>1</v>
          </cell>
          <cell r="AC1206">
            <v>1</v>
          </cell>
          <cell r="AD1206">
            <v>1</v>
          </cell>
          <cell r="AE1206">
            <v>1</v>
          </cell>
          <cell r="AF1206">
            <v>1</v>
          </cell>
          <cell r="AG1206">
            <v>1</v>
          </cell>
          <cell r="AH1206">
            <v>1</v>
          </cell>
          <cell r="AI1206">
            <v>1</v>
          </cell>
          <cell r="AJ1206">
            <v>1</v>
          </cell>
          <cell r="AK1206">
            <v>1</v>
          </cell>
          <cell r="AL1206">
            <v>1</v>
          </cell>
          <cell r="AM1206">
            <v>1</v>
          </cell>
          <cell r="AN1206">
            <v>1</v>
          </cell>
          <cell r="AO1206">
            <v>1</v>
          </cell>
          <cell r="AP1206">
            <v>1</v>
          </cell>
          <cell r="AQ1206">
            <v>1</v>
          </cell>
          <cell r="AR1206">
            <v>1</v>
          </cell>
          <cell r="AS1206">
            <v>1</v>
          </cell>
          <cell r="AT1206">
            <v>1</v>
          </cell>
          <cell r="AU1206">
            <v>1</v>
          </cell>
          <cell r="AV1206">
            <v>1</v>
          </cell>
          <cell r="AW1206">
            <v>1</v>
          </cell>
          <cell r="AX1206">
            <v>1</v>
          </cell>
          <cell r="AY1206">
            <v>1</v>
          </cell>
          <cell r="AZ1206">
            <v>1</v>
          </cell>
          <cell r="BA1206">
            <v>1.1000000000000001</v>
          </cell>
          <cell r="BB1206">
            <v>1.1000000000000001</v>
          </cell>
          <cell r="BC1206">
            <v>1.1000000000000001</v>
          </cell>
          <cell r="BD1206">
            <v>1.1000000000000001</v>
          </cell>
          <cell r="BE1206">
            <v>1.1000000000000001</v>
          </cell>
          <cell r="BF1206">
            <v>1.1000000000000001</v>
          </cell>
          <cell r="BG1206">
            <v>1.1000000000000001</v>
          </cell>
          <cell r="BH1206">
            <v>1.1000000000000001</v>
          </cell>
          <cell r="BI1206">
            <v>1.1000000000000001</v>
          </cell>
          <cell r="BJ1206">
            <v>1.1000000000000001</v>
          </cell>
          <cell r="BK1206">
            <v>1.2</v>
          </cell>
          <cell r="BL1206">
            <v>1.2</v>
          </cell>
          <cell r="BM1206">
            <v>1.2</v>
          </cell>
          <cell r="BN1206">
            <v>1.2</v>
          </cell>
          <cell r="BO1206">
            <v>1.2</v>
          </cell>
          <cell r="BP1206">
            <v>1.2</v>
          </cell>
          <cell r="BQ1206">
            <v>1.2</v>
          </cell>
          <cell r="BR1206">
            <v>1.2</v>
          </cell>
          <cell r="BS1206">
            <v>1.2</v>
          </cell>
          <cell r="BT1206">
            <v>1.2</v>
          </cell>
          <cell r="BU1206">
            <v>1.2</v>
          </cell>
          <cell r="BV1206">
            <v>1.2</v>
          </cell>
        </row>
        <row r="1207">
          <cell r="A1207" t="str">
            <v>MMA</v>
          </cell>
          <cell r="B1207" t="str">
            <v>2WAY</v>
          </cell>
          <cell r="D1207" t="str">
            <v>SHIFT B HC  - efficiency</v>
          </cell>
          <cell r="Z1207">
            <v>0.9</v>
          </cell>
          <cell r="AA1207">
            <v>0.95</v>
          </cell>
          <cell r="AB1207">
            <v>1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>
            <v>1.1000000000000001</v>
          </cell>
          <cell r="BB1207">
            <v>1.1000000000000001</v>
          </cell>
          <cell r="BC1207">
            <v>1.1000000000000001</v>
          </cell>
          <cell r="BD1207">
            <v>1.1000000000000001</v>
          </cell>
          <cell r="BE1207">
            <v>1.1000000000000001</v>
          </cell>
          <cell r="BF1207">
            <v>1.1000000000000001</v>
          </cell>
          <cell r="BG1207">
            <v>1.1000000000000001</v>
          </cell>
          <cell r="BH1207">
            <v>1.1000000000000001</v>
          </cell>
          <cell r="BI1207">
            <v>1.1000000000000001</v>
          </cell>
          <cell r="BJ1207">
            <v>1.1000000000000001</v>
          </cell>
          <cell r="BK1207">
            <v>1</v>
          </cell>
          <cell r="BL1207">
            <v>1</v>
          </cell>
          <cell r="BM1207">
            <v>1</v>
          </cell>
          <cell r="BN1207">
            <v>1</v>
          </cell>
          <cell r="BO1207">
            <v>1</v>
          </cell>
          <cell r="BP1207">
            <v>1</v>
          </cell>
          <cell r="BQ1207">
            <v>1</v>
          </cell>
          <cell r="BR1207">
            <v>1</v>
          </cell>
          <cell r="BS1207">
            <v>1</v>
          </cell>
          <cell r="BT1207">
            <v>1</v>
          </cell>
          <cell r="BU1207">
            <v>1</v>
          </cell>
          <cell r="BV1207">
            <v>1</v>
          </cell>
        </row>
        <row r="1208">
          <cell r="A1208" t="str">
            <v>MMA</v>
          </cell>
          <cell r="B1208" t="str">
            <v>2WAY</v>
          </cell>
          <cell r="D1208" t="str">
            <v>SHIFT C HC  - efficiency</v>
          </cell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>
            <v>0.5</v>
          </cell>
          <cell r="AW1208">
            <v>0.55000000000000004</v>
          </cell>
          <cell r="AX1208">
            <v>0.60000000000000009</v>
          </cell>
          <cell r="AY1208">
            <v>0.65000000000000013</v>
          </cell>
          <cell r="AZ1208">
            <v>0.70000000000000018</v>
          </cell>
          <cell r="BA1208">
            <v>0.75000000000000022</v>
          </cell>
          <cell r="BB1208">
            <v>0.80000000000000027</v>
          </cell>
          <cell r="BC1208">
            <v>0.85000000000000031</v>
          </cell>
          <cell r="BD1208">
            <v>0.90000000000000036</v>
          </cell>
          <cell r="BE1208">
            <v>0.9500000000000004</v>
          </cell>
          <cell r="BF1208">
            <v>1.0000000000000004</v>
          </cell>
          <cell r="BG1208">
            <v>1.0500000000000005</v>
          </cell>
          <cell r="BH1208">
            <v>1.1000000000000005</v>
          </cell>
          <cell r="BI1208">
            <v>1.1500000000000006</v>
          </cell>
          <cell r="BJ1208">
            <v>1.2000000000000006</v>
          </cell>
          <cell r="BK1208">
            <v>1</v>
          </cell>
          <cell r="BL1208">
            <v>1</v>
          </cell>
          <cell r="BM1208">
            <v>1</v>
          </cell>
          <cell r="BN1208">
            <v>1</v>
          </cell>
          <cell r="BO1208">
            <v>1</v>
          </cell>
          <cell r="BP1208">
            <v>1</v>
          </cell>
          <cell r="BQ1208">
            <v>1</v>
          </cell>
          <cell r="BR1208">
            <v>1</v>
          </cell>
          <cell r="BS1208">
            <v>1</v>
          </cell>
          <cell r="BT1208">
            <v>1</v>
          </cell>
          <cell r="BU1208">
            <v>1</v>
          </cell>
          <cell r="BV1208">
            <v>1</v>
          </cell>
        </row>
        <row r="1209">
          <cell r="A1209" t="str">
            <v>MMA</v>
          </cell>
          <cell r="B1209" t="str">
            <v>2WAY</v>
          </cell>
          <cell r="D1209" t="str">
            <v>Total efficiency</v>
          </cell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</row>
        <row r="1210">
          <cell r="A1210" t="str">
            <v>MMA</v>
          </cell>
          <cell r="B1210" t="str">
            <v>2WAY</v>
          </cell>
          <cell r="D1210" t="str">
            <v>SHIFT A - output</v>
          </cell>
          <cell r="E1210">
            <v>671</v>
          </cell>
          <cell r="Z1210">
            <v>517.02127659574467</v>
          </cell>
          <cell r="AA1210">
            <v>727.659574468085</v>
          </cell>
          <cell r="AB1210">
            <v>765.95744680851055</v>
          </cell>
          <cell r="AC1210">
            <v>765.95744680851055</v>
          </cell>
          <cell r="AD1210">
            <v>765.95744680851055</v>
          </cell>
          <cell r="AE1210">
            <v>765.95744680851055</v>
          </cell>
          <cell r="AF1210">
            <v>765.95744680851055</v>
          </cell>
          <cell r="AG1210">
            <v>574.46808510638289</v>
          </cell>
          <cell r="AH1210">
            <v>574.46808510638289</v>
          </cell>
          <cell r="AI1210">
            <v>574.46808510638289</v>
          </cell>
          <cell r="AJ1210">
            <v>574.46808510638289</v>
          </cell>
          <cell r="AK1210">
            <v>574.46808510638289</v>
          </cell>
          <cell r="AL1210">
            <v>574.46808510638289</v>
          </cell>
          <cell r="AM1210">
            <v>574.46808510638289</v>
          </cell>
          <cell r="AN1210">
            <v>574.46808510638289</v>
          </cell>
          <cell r="AO1210">
            <v>574.46808510638289</v>
          </cell>
          <cell r="AP1210">
            <v>574.46808510638289</v>
          </cell>
          <cell r="AQ1210">
            <v>574.46808510638289</v>
          </cell>
          <cell r="AR1210">
            <v>574.46808510638289</v>
          </cell>
          <cell r="AS1210">
            <v>574.46808510638289</v>
          </cell>
          <cell r="AT1210">
            <v>574.46808510638289</v>
          </cell>
          <cell r="AU1210">
            <v>574.46808510638289</v>
          </cell>
          <cell r="AV1210">
            <v>574.46808510638289</v>
          </cell>
          <cell r="AW1210">
            <v>574.46808510638289</v>
          </cell>
          <cell r="AX1210">
            <v>574.46808510638289</v>
          </cell>
          <cell r="AY1210">
            <v>574.46808510638289</v>
          </cell>
          <cell r="AZ1210">
            <v>574.46808510638289</v>
          </cell>
          <cell r="BA1210">
            <v>631.91489361702122</v>
          </cell>
          <cell r="BB1210">
            <v>631.91489361702122</v>
          </cell>
          <cell r="BC1210">
            <v>631.91489361702122</v>
          </cell>
          <cell r="BD1210">
            <v>631.91489361702122</v>
          </cell>
          <cell r="BE1210">
            <v>631.91489361702122</v>
          </cell>
          <cell r="BF1210">
            <v>631.91489361702122</v>
          </cell>
          <cell r="BG1210">
            <v>631.91489361702122</v>
          </cell>
          <cell r="BH1210">
            <v>631.91489361702122</v>
          </cell>
          <cell r="BI1210">
            <v>631.91489361702122</v>
          </cell>
          <cell r="BJ1210">
            <v>631.91489361702122</v>
          </cell>
          <cell r="BK1210">
            <v>689.36170212765944</v>
          </cell>
          <cell r="BL1210">
            <v>689.36170212765944</v>
          </cell>
          <cell r="BM1210">
            <v>689.36170212765944</v>
          </cell>
          <cell r="BN1210">
            <v>689.36170212765944</v>
          </cell>
          <cell r="BO1210">
            <v>689.36170212765944</v>
          </cell>
          <cell r="BP1210">
            <v>689.36170212765944</v>
          </cell>
          <cell r="BQ1210">
            <v>689.36170212765944</v>
          </cell>
          <cell r="BR1210">
            <v>689.36170212765944</v>
          </cell>
          <cell r="BS1210">
            <v>689.36170212765944</v>
          </cell>
          <cell r="BT1210">
            <v>689.36170212765944</v>
          </cell>
          <cell r="BU1210">
            <v>689.36170212765944</v>
          </cell>
          <cell r="BV1210">
            <v>689.36170212765944</v>
          </cell>
        </row>
        <row r="1211">
          <cell r="A1211" t="str">
            <v>MMA</v>
          </cell>
          <cell r="B1211" t="str">
            <v>2WAY</v>
          </cell>
          <cell r="D1211" t="str">
            <v>SHIFT B  - output</v>
          </cell>
          <cell r="E1211">
            <v>671</v>
          </cell>
          <cell r="Z1211">
            <v>517.02127659574467</v>
          </cell>
          <cell r="AA1211">
            <v>545.74468085106366</v>
          </cell>
          <cell r="AB1211">
            <v>574.46808510638289</v>
          </cell>
          <cell r="AC1211">
            <v>574.46808510638289</v>
          </cell>
          <cell r="AD1211">
            <v>574.46808510638289</v>
          </cell>
          <cell r="AE1211">
            <v>574.46808510638289</v>
          </cell>
          <cell r="AF1211">
            <v>574.46808510638289</v>
          </cell>
          <cell r="AG1211">
            <v>574.46808510638289</v>
          </cell>
          <cell r="AH1211">
            <v>574.46808510638289</v>
          </cell>
          <cell r="AI1211">
            <v>574.46808510638289</v>
          </cell>
          <cell r="AJ1211">
            <v>574.46808510638289</v>
          </cell>
          <cell r="AK1211">
            <v>574.46808510638289</v>
          </cell>
          <cell r="AL1211">
            <v>574.46808510638289</v>
          </cell>
          <cell r="AM1211">
            <v>574.46808510638289</v>
          </cell>
          <cell r="AN1211">
            <v>574.46808510638289</v>
          </cell>
          <cell r="AO1211">
            <v>574.46808510638289</v>
          </cell>
          <cell r="AP1211">
            <v>574.46808510638289</v>
          </cell>
          <cell r="AQ1211">
            <v>574.46808510638289</v>
          </cell>
          <cell r="AR1211">
            <v>574.46808510638289</v>
          </cell>
          <cell r="AS1211">
            <v>574.46808510638289</v>
          </cell>
          <cell r="AT1211">
            <v>574.46808510638289</v>
          </cell>
          <cell r="AU1211">
            <v>574.46808510638289</v>
          </cell>
          <cell r="AV1211">
            <v>574.46808510638289</v>
          </cell>
          <cell r="AW1211">
            <v>574.46808510638289</v>
          </cell>
          <cell r="AX1211">
            <v>574.46808510638289</v>
          </cell>
          <cell r="AY1211">
            <v>574.46808510638289</v>
          </cell>
          <cell r="AZ1211">
            <v>574.46808510638289</v>
          </cell>
          <cell r="BA1211">
            <v>631.91489361702122</v>
          </cell>
          <cell r="BB1211">
            <v>631.91489361702122</v>
          </cell>
          <cell r="BC1211">
            <v>631.91489361702122</v>
          </cell>
          <cell r="BD1211">
            <v>631.91489361702122</v>
          </cell>
          <cell r="BE1211">
            <v>631.91489361702122</v>
          </cell>
          <cell r="BF1211">
            <v>631.91489361702122</v>
          </cell>
          <cell r="BG1211">
            <v>631.91489361702122</v>
          </cell>
          <cell r="BH1211">
            <v>631.91489361702122</v>
          </cell>
          <cell r="BI1211">
            <v>631.91489361702122</v>
          </cell>
          <cell r="BJ1211">
            <v>631.91489361702122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</row>
        <row r="1212">
          <cell r="A1212" t="str">
            <v>MMA</v>
          </cell>
          <cell r="B1212" t="str">
            <v>2WAY</v>
          </cell>
          <cell r="D1212" t="str">
            <v>SHIFT C  - output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287.23404255319144</v>
          </cell>
          <cell r="AW1212">
            <v>315.95744680851061</v>
          </cell>
          <cell r="AX1212">
            <v>344.68085106382978</v>
          </cell>
          <cell r="AY1212">
            <v>373.40425531914894</v>
          </cell>
          <cell r="AZ1212">
            <v>402.12765957446811</v>
          </cell>
          <cell r="BA1212">
            <v>430.85106382978728</v>
          </cell>
          <cell r="BB1212">
            <v>459.57446808510645</v>
          </cell>
          <cell r="BC1212">
            <v>488.29787234042561</v>
          </cell>
          <cell r="BD1212">
            <v>517.02127659574478</v>
          </cell>
          <cell r="BE1212">
            <v>545.744680851064</v>
          </cell>
          <cell r="BF1212">
            <v>574.46808510638311</v>
          </cell>
          <cell r="BG1212">
            <v>603.19148936170234</v>
          </cell>
          <cell r="BH1212">
            <v>631.91489361702145</v>
          </cell>
          <cell r="BI1212">
            <v>660.63829787234067</v>
          </cell>
          <cell r="BJ1212">
            <v>689.36170212765978</v>
          </cell>
          <cell r="BK1212">
            <v>574.46808510638289</v>
          </cell>
          <cell r="BL1212">
            <v>574.46808510638289</v>
          </cell>
          <cell r="BM1212">
            <v>574.46808510638289</v>
          </cell>
          <cell r="BN1212">
            <v>574.46808510638289</v>
          </cell>
          <cell r="BO1212">
            <v>574.46808510638289</v>
          </cell>
          <cell r="BP1212">
            <v>574.46808510638289</v>
          </cell>
          <cell r="BQ1212">
            <v>574.46808510638289</v>
          </cell>
          <cell r="BR1212">
            <v>574.46808510638289</v>
          </cell>
          <cell r="BS1212">
            <v>574.46808510638289</v>
          </cell>
          <cell r="BT1212">
            <v>574.46808510638289</v>
          </cell>
          <cell r="BU1212">
            <v>574.46808510638289</v>
          </cell>
          <cell r="BV1212">
            <v>574.46808510638289</v>
          </cell>
        </row>
        <row r="1213">
          <cell r="A1213" t="str">
            <v>MMA</v>
          </cell>
          <cell r="B1213" t="str">
            <v>2WAY</v>
          </cell>
          <cell r="D1213" t="str">
            <v>Est. Output (Pcs day)</v>
          </cell>
          <cell r="E1213">
            <v>2.35</v>
          </cell>
          <cell r="Z1213">
            <v>1034.0425531914893</v>
          </cell>
          <cell r="AA1213">
            <v>1273.4042553191487</v>
          </cell>
          <cell r="AB1213">
            <v>1340.4255319148933</v>
          </cell>
          <cell r="AC1213">
            <v>1340.4255319148933</v>
          </cell>
          <cell r="AD1213">
            <v>1340.4255319148933</v>
          </cell>
          <cell r="AE1213">
            <v>1340.4255319148933</v>
          </cell>
          <cell r="AF1213">
            <v>1340.4255319148933</v>
          </cell>
          <cell r="AG1213">
            <v>1148.9361702127658</v>
          </cell>
          <cell r="AH1213">
            <v>1148.9361702127658</v>
          </cell>
          <cell r="AI1213">
            <v>1148.9361702127658</v>
          </cell>
          <cell r="AJ1213">
            <v>1148.9361702127658</v>
          </cell>
          <cell r="AK1213">
            <v>1148.9361702127658</v>
          </cell>
          <cell r="AL1213">
            <v>1148.9361702127658</v>
          </cell>
          <cell r="AM1213">
            <v>1148.9361702127658</v>
          </cell>
          <cell r="AN1213">
            <v>1148.9361702127658</v>
          </cell>
          <cell r="AO1213">
            <v>1148.9361702127658</v>
          </cell>
          <cell r="AP1213">
            <v>1148.9361702127658</v>
          </cell>
          <cell r="AQ1213">
            <v>1148.9361702127658</v>
          </cell>
          <cell r="AR1213">
            <v>1148.9361702127658</v>
          </cell>
          <cell r="AS1213">
            <v>1148.9361702127658</v>
          </cell>
          <cell r="AT1213">
            <v>1148.9361702127658</v>
          </cell>
          <cell r="AU1213">
            <v>1148.9361702127658</v>
          </cell>
          <cell r="AV1213">
            <v>1436.1702127659573</v>
          </cell>
          <cell r="AW1213">
            <v>1464.8936170212764</v>
          </cell>
          <cell r="AX1213">
            <v>1493.6170212765956</v>
          </cell>
          <cell r="AY1213">
            <v>1522.3404255319147</v>
          </cell>
          <cell r="AZ1213">
            <v>1551.0638297872338</v>
          </cell>
          <cell r="BA1213">
            <v>1694.6808510638298</v>
          </cell>
          <cell r="BB1213">
            <v>1723.4042553191489</v>
          </cell>
          <cell r="BC1213">
            <v>1752.127659574468</v>
          </cell>
          <cell r="BD1213">
            <v>1780.8510638297871</v>
          </cell>
          <cell r="BE1213">
            <v>1809.5744680851064</v>
          </cell>
          <cell r="BF1213">
            <v>1838.2978723404256</v>
          </cell>
          <cell r="BG1213">
            <v>1867.0212765957449</v>
          </cell>
          <cell r="BH1213">
            <v>1895.744680851064</v>
          </cell>
          <cell r="BI1213">
            <v>1924.4680851063831</v>
          </cell>
          <cell r="BJ1213">
            <v>1953.1914893617022</v>
          </cell>
          <cell r="BK1213">
            <v>1263.8297872340422</v>
          </cell>
          <cell r="BL1213">
            <v>1263.8297872340422</v>
          </cell>
          <cell r="BM1213">
            <v>1263.8297872340422</v>
          </cell>
          <cell r="BN1213">
            <v>1263.8297872340422</v>
          </cell>
          <cell r="BO1213">
            <v>1263.8297872340422</v>
          </cell>
          <cell r="BP1213">
            <v>1263.8297872340422</v>
          </cell>
          <cell r="BQ1213">
            <v>1263.8297872340422</v>
          </cell>
          <cell r="BR1213">
            <v>1263.8297872340422</v>
          </cell>
          <cell r="BS1213">
            <v>1263.8297872340422</v>
          </cell>
          <cell r="BT1213">
            <v>1263.8297872340422</v>
          </cell>
          <cell r="BU1213">
            <v>1263.8297872340422</v>
          </cell>
          <cell r="BV1213">
            <v>1263.8297872340422</v>
          </cell>
        </row>
        <row r="1214">
          <cell r="A1214" t="str">
            <v>MMA</v>
          </cell>
          <cell r="B1214" t="str">
            <v>2WAY</v>
          </cell>
          <cell r="D1214" t="str">
            <v>Weekly Output PLAN</v>
          </cell>
          <cell r="E1214" t="str">
            <v>ASSY</v>
          </cell>
          <cell r="Z1214">
            <v>5170.2127659574471</v>
          </cell>
          <cell r="AA1214">
            <v>6367.0212765957431</v>
          </cell>
          <cell r="AB1214">
            <v>6702.1276595744666</v>
          </cell>
          <cell r="AC1214">
            <v>6702.1276595744666</v>
          </cell>
          <cell r="AD1214">
            <v>4021.27659574468</v>
          </cell>
          <cell r="AE1214">
            <v>6702.1276595744666</v>
          </cell>
          <cell r="AF1214">
            <v>6702.1276595744666</v>
          </cell>
          <cell r="AG1214">
            <v>5744.6808510638293</v>
          </cell>
          <cell r="AH1214">
            <v>5744.6808510638293</v>
          </cell>
          <cell r="AI1214">
            <v>5744.6808510638293</v>
          </cell>
          <cell r="AJ1214">
            <v>5744.6808510638293</v>
          </cell>
          <cell r="AK1214">
            <v>4595.7446808510631</v>
          </cell>
          <cell r="AL1214">
            <v>4595.7446808510631</v>
          </cell>
          <cell r="AM1214">
            <v>5744.6808510638293</v>
          </cell>
          <cell r="AN1214">
            <v>4595.7446808510631</v>
          </cell>
          <cell r="AO1214">
            <v>5744.6808510638293</v>
          </cell>
          <cell r="AP1214">
            <v>5744.6808510638293</v>
          </cell>
          <cell r="AQ1214">
            <v>5744.6808510638293</v>
          </cell>
          <cell r="AR1214">
            <v>5744.6808510638293</v>
          </cell>
          <cell r="AS1214">
            <v>5744.6808510638293</v>
          </cell>
          <cell r="AT1214">
            <v>5744.6808510638293</v>
          </cell>
          <cell r="AU1214">
            <v>5744.6808510638293</v>
          </cell>
          <cell r="AV1214">
            <v>7180.8510638297867</v>
          </cell>
          <cell r="AW1214">
            <v>7324.4680851063822</v>
          </cell>
          <cell r="AX1214">
            <v>7468.0851063829778</v>
          </cell>
          <cell r="AY1214">
            <v>7611.7021276595733</v>
          </cell>
          <cell r="AZ1214">
            <v>0</v>
          </cell>
          <cell r="BA1214">
            <v>0</v>
          </cell>
          <cell r="BB1214">
            <v>8617.021276595744</v>
          </cell>
          <cell r="BC1214">
            <v>8760.6382978723395</v>
          </cell>
          <cell r="BD1214">
            <v>8904.2553191489351</v>
          </cell>
          <cell r="BE1214">
            <v>9047.8723404255325</v>
          </cell>
          <cell r="BF1214">
            <v>9191.489361702128</v>
          </cell>
          <cell r="BG1214">
            <v>9335.1063829787236</v>
          </cell>
          <cell r="BH1214">
            <v>9478.7234042553209</v>
          </cell>
          <cell r="BI1214">
            <v>9622.3404255319147</v>
          </cell>
          <cell r="BJ1214">
            <v>9765.957446808512</v>
          </cell>
          <cell r="BK1214">
            <v>6319.1489361702115</v>
          </cell>
          <cell r="BL1214">
            <v>6319.1489361702115</v>
          </cell>
          <cell r="BM1214">
            <v>6319.1489361702115</v>
          </cell>
          <cell r="BN1214">
            <v>6319.1489361702115</v>
          </cell>
          <cell r="BO1214">
            <v>6319.1489361702115</v>
          </cell>
          <cell r="BP1214">
            <v>6319.1489361702115</v>
          </cell>
          <cell r="BQ1214">
            <v>6319.1489361702115</v>
          </cell>
          <cell r="BR1214">
            <v>6319.1489361702115</v>
          </cell>
          <cell r="BS1214">
            <v>6319.1489361702115</v>
          </cell>
          <cell r="BT1214">
            <v>6319.1489361702115</v>
          </cell>
          <cell r="BU1214">
            <v>3791.4893617021266</v>
          </cell>
          <cell r="BV1214">
            <v>3791.4893617021266</v>
          </cell>
        </row>
        <row r="1215">
          <cell r="A1215" t="str">
            <v>MMA</v>
          </cell>
          <cell r="B1215" t="str">
            <v>2WAY</v>
          </cell>
          <cell r="D1215" t="str">
            <v>PVC</v>
          </cell>
          <cell r="E1215">
            <v>2.14</v>
          </cell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</row>
        <row r="1216">
          <cell r="A1216" t="str">
            <v>MMA</v>
          </cell>
          <cell r="B1216" t="str">
            <v>2WAY</v>
          </cell>
          <cell r="D1216" t="str">
            <v>LTH</v>
          </cell>
          <cell r="E1216">
            <v>2.3540000000000005</v>
          </cell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</row>
        <row r="1217">
          <cell r="A1217" t="str">
            <v>MMA</v>
          </cell>
          <cell r="B1217" t="str">
            <v>2WAY</v>
          </cell>
          <cell r="D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</row>
        <row r="1218">
          <cell r="A1218" t="str">
            <v>MMA</v>
          </cell>
          <cell r="B1218" t="str">
            <v>2WAY</v>
          </cell>
          <cell r="D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</row>
        <row r="1219">
          <cell r="A1219" t="str">
            <v>MMA</v>
          </cell>
          <cell r="B1219" t="str">
            <v>2WAY</v>
          </cell>
          <cell r="D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</row>
        <row r="1220">
          <cell r="A1220" t="str">
            <v>MMA</v>
          </cell>
          <cell r="B1220" t="str">
            <v>2WAY</v>
          </cell>
          <cell r="D1220" t="str">
            <v>Weekly Output PLAN - SUM of models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</row>
        <row r="1221">
          <cell r="A1221" t="str">
            <v>MMA</v>
          </cell>
          <cell r="B1221" t="str">
            <v>2WAY</v>
          </cell>
          <cell r="D1221" t="str">
            <v>Weekly Output CHECK with TO time multiple</v>
          </cell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</row>
        <row r="1222">
          <cell r="A1222" t="str">
            <v>MMA</v>
          </cell>
          <cell r="B1222" t="str">
            <v>2WAY</v>
          </cell>
          <cell r="D1222" t="str">
            <v>Weekly Output ACT</v>
          </cell>
          <cell r="Z1222">
            <v>5170.2127659574471</v>
          </cell>
          <cell r="AA1222">
            <v>6367.0212765957431</v>
          </cell>
          <cell r="AB1222">
            <v>6702.1276595744666</v>
          </cell>
          <cell r="AC1222">
            <v>6702.1276595744666</v>
          </cell>
          <cell r="AD1222">
            <v>4021.27659574468</v>
          </cell>
          <cell r="AE1222">
            <v>6702.1276595744666</v>
          </cell>
          <cell r="AF1222">
            <v>6702.1276595744666</v>
          </cell>
          <cell r="AG1222">
            <v>5744.6808510638293</v>
          </cell>
          <cell r="AH1222">
            <v>5744.6808510638293</v>
          </cell>
          <cell r="AI1222">
            <v>5744.6808510638293</v>
          </cell>
          <cell r="AJ1222">
            <v>5744.6808510638293</v>
          </cell>
          <cell r="AK1222">
            <v>4595.7446808510631</v>
          </cell>
          <cell r="AL1222">
            <v>4595.7446808510631</v>
          </cell>
          <cell r="AM1222">
            <v>5744.6808510638293</v>
          </cell>
          <cell r="AN1222">
            <v>4595.7446808510631</v>
          </cell>
          <cell r="AO1222">
            <v>5744.6808510638293</v>
          </cell>
          <cell r="AP1222">
            <v>5744.6808510638293</v>
          </cell>
          <cell r="AQ1222">
            <v>5744.6808510638293</v>
          </cell>
          <cell r="AR1222">
            <v>5744.6808510638293</v>
          </cell>
          <cell r="AS1222">
            <v>5744.6808510638293</v>
          </cell>
          <cell r="AT1222">
            <v>5744.6808510638293</v>
          </cell>
          <cell r="AU1222">
            <v>5744.6808510638293</v>
          </cell>
          <cell r="AV1222">
            <v>7180.8510638297867</v>
          </cell>
          <cell r="AW1222">
            <v>7324.4680851063822</v>
          </cell>
          <cell r="AX1222">
            <v>7468.0851063829778</v>
          </cell>
          <cell r="AY1222">
            <v>7611.7021276595733</v>
          </cell>
          <cell r="AZ1222">
            <v>0</v>
          </cell>
          <cell r="BA1222">
            <v>0</v>
          </cell>
          <cell r="BB1222">
            <v>8617.021276595744</v>
          </cell>
          <cell r="BC1222">
            <v>8760.6382978723395</v>
          </cell>
          <cell r="BD1222">
            <v>8904.2553191489351</v>
          </cell>
          <cell r="BE1222">
            <v>9047.8723404255325</v>
          </cell>
          <cell r="BF1222">
            <v>9191.489361702128</v>
          </cell>
          <cell r="BG1222">
            <v>9335.1063829787236</v>
          </cell>
          <cell r="BH1222">
            <v>9478.7234042553209</v>
          </cell>
          <cell r="BI1222">
            <v>9622.3404255319147</v>
          </cell>
          <cell r="BJ1222">
            <v>9765.957446808512</v>
          </cell>
          <cell r="BK1222">
            <v>6319.1489361702115</v>
          </cell>
          <cell r="BL1222">
            <v>6319.1489361702115</v>
          </cell>
          <cell r="BM1222">
            <v>6319.1489361702115</v>
          </cell>
          <cell r="BN1222">
            <v>6319.1489361702115</v>
          </cell>
          <cell r="BO1222">
            <v>6319.1489361702115</v>
          </cell>
          <cell r="BP1222">
            <v>6319.1489361702115</v>
          </cell>
          <cell r="BQ1222">
            <v>6319.1489361702115</v>
          </cell>
          <cell r="BR1222">
            <v>6319.1489361702115</v>
          </cell>
          <cell r="BS1222">
            <v>6319.1489361702115</v>
          </cell>
          <cell r="BT1222">
            <v>6319.1489361702115</v>
          </cell>
          <cell r="BU1222">
            <v>3791.4893617021266</v>
          </cell>
          <cell r="BV1222">
            <v>3791.4893617021266</v>
          </cell>
        </row>
        <row r="1223">
          <cell r="A1223" t="str">
            <v>MMA</v>
          </cell>
          <cell r="B1223" t="str">
            <v>2WAY</v>
          </cell>
          <cell r="D1223" t="str">
            <v>PVC</v>
          </cell>
          <cell r="Z1223">
            <v>6359</v>
          </cell>
          <cell r="AA1223">
            <v>2462</v>
          </cell>
          <cell r="AB1223">
            <v>6008</v>
          </cell>
          <cell r="AC1223">
            <v>5508</v>
          </cell>
          <cell r="AD1223">
            <v>5024</v>
          </cell>
          <cell r="AE1223">
            <v>5444</v>
          </cell>
          <cell r="AF1223">
            <v>6156</v>
          </cell>
          <cell r="AG1223">
            <v>5136</v>
          </cell>
          <cell r="AH1223">
            <v>7488</v>
          </cell>
          <cell r="AI1223">
            <v>4974</v>
          </cell>
          <cell r="AJ1223">
            <v>2728</v>
          </cell>
          <cell r="AK1223">
            <v>4466</v>
          </cell>
          <cell r="AL1223">
            <v>3970</v>
          </cell>
          <cell r="AM1223">
            <v>3898</v>
          </cell>
          <cell r="AN1223">
            <v>4180</v>
          </cell>
          <cell r="AO1223">
            <v>3880</v>
          </cell>
          <cell r="AP1223">
            <v>4008</v>
          </cell>
          <cell r="AQ1223">
            <v>3208</v>
          </cell>
          <cell r="AR1223">
            <v>16970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15383</v>
          </cell>
          <cell r="AX1223">
            <v>0</v>
          </cell>
          <cell r="AY1223">
            <v>0</v>
          </cell>
          <cell r="AZ1223">
            <v>0</v>
          </cell>
          <cell r="BA1223">
            <v>8423.3509743294144</v>
          </cell>
          <cell r="BB1223">
            <v>9569.3224884113952</v>
          </cell>
          <cell r="BC1223">
            <v>9569.3224884113952</v>
          </cell>
          <cell r="BD1223">
            <v>9569.3224884113952</v>
          </cell>
          <cell r="BE1223">
            <v>9569.3224884113952</v>
          </cell>
          <cell r="BF1223">
            <v>9793.1287521071899</v>
          </cell>
          <cell r="BG1223">
            <v>9793.1287521071899</v>
          </cell>
          <cell r="BH1223">
            <v>9793.1287521071899</v>
          </cell>
          <cell r="BI1223">
            <v>9793.1287521071899</v>
          </cell>
          <cell r="BJ1223">
            <v>4896.564376053595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</row>
        <row r="1224">
          <cell r="A1224" t="str">
            <v>MMA</v>
          </cell>
          <cell r="B1224" t="str">
            <v>2WAY</v>
          </cell>
          <cell r="D1224" t="str">
            <v>LTH</v>
          </cell>
          <cell r="Z1224">
            <v>466</v>
          </cell>
          <cell r="AA1224">
            <v>0</v>
          </cell>
          <cell r="AB1224">
            <v>0</v>
          </cell>
          <cell r="AC1224">
            <v>158</v>
          </cell>
          <cell r="AD1224">
            <v>128</v>
          </cell>
          <cell r="AE1224">
            <v>320</v>
          </cell>
          <cell r="AF1224">
            <v>192</v>
          </cell>
          <cell r="AG1224">
            <v>288</v>
          </cell>
          <cell r="AH1224">
            <v>640</v>
          </cell>
          <cell r="AI1224">
            <v>544</v>
          </cell>
          <cell r="AJ1224">
            <v>160</v>
          </cell>
          <cell r="AK1224">
            <v>288</v>
          </cell>
          <cell r="AL1224">
            <v>512</v>
          </cell>
          <cell r="AM1224">
            <v>448</v>
          </cell>
          <cell r="AN1224">
            <v>544</v>
          </cell>
          <cell r="AO1224">
            <v>384</v>
          </cell>
          <cell r="AP1224">
            <v>512</v>
          </cell>
          <cell r="AQ1224">
            <v>480</v>
          </cell>
          <cell r="AR1224">
            <v>2944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3200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</row>
        <row r="1225">
          <cell r="A1225" t="str">
            <v>MMA</v>
          </cell>
          <cell r="B1225" t="str">
            <v>2WAY</v>
          </cell>
          <cell r="D1225">
            <v>0</v>
          </cell>
          <cell r="Z1225">
            <v>7020</v>
          </cell>
          <cell r="AA1225">
            <v>2700</v>
          </cell>
          <cell r="AB1225">
            <v>6300</v>
          </cell>
          <cell r="AC1225">
            <v>5760</v>
          </cell>
          <cell r="AD1225">
            <v>5114</v>
          </cell>
          <cell r="AE1225">
            <v>5766</v>
          </cell>
          <cell r="AF1225">
            <v>6442</v>
          </cell>
          <cell r="AG1225">
            <v>5392</v>
          </cell>
          <cell r="AH1225">
            <v>8212</v>
          </cell>
          <cell r="AI1225">
            <v>5254</v>
          </cell>
          <cell r="AJ1225">
            <v>2954</v>
          </cell>
          <cell r="AK1225">
            <v>4854</v>
          </cell>
          <cell r="AL1225">
            <v>4406</v>
          </cell>
          <cell r="AM1225">
            <v>4494</v>
          </cell>
          <cell r="AN1225">
            <v>4516</v>
          </cell>
          <cell r="AO1225">
            <v>4371</v>
          </cell>
          <cell r="AP1225">
            <v>4371</v>
          </cell>
          <cell r="AQ1225">
            <v>3829</v>
          </cell>
          <cell r="AR1225">
            <v>19920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18540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</row>
        <row r="1226">
          <cell r="A1226" t="str">
            <v>MMA</v>
          </cell>
          <cell r="B1226" t="str">
            <v>2WAY</v>
          </cell>
          <cell r="D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</row>
        <row r="1227">
          <cell r="A1227" t="str">
            <v>MMA</v>
          </cell>
          <cell r="B1227" t="str">
            <v>2WAY</v>
          </cell>
          <cell r="D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</row>
        <row r="1228">
          <cell r="A1228" t="str">
            <v>MMA</v>
          </cell>
          <cell r="B1228" t="str">
            <v>2WAY</v>
          </cell>
          <cell r="D1228" t="str">
            <v>Weekly demand</v>
          </cell>
          <cell r="Z1228">
            <v>6825</v>
          </cell>
          <cell r="AA1228">
            <v>2462</v>
          </cell>
          <cell r="AB1228">
            <v>6008</v>
          </cell>
          <cell r="AC1228">
            <v>5666</v>
          </cell>
          <cell r="AD1228">
            <v>5152</v>
          </cell>
          <cell r="AE1228">
            <v>5764</v>
          </cell>
          <cell r="AF1228">
            <v>6348</v>
          </cell>
          <cell r="AG1228">
            <v>5424</v>
          </cell>
          <cell r="AH1228">
            <v>8128</v>
          </cell>
          <cell r="AI1228">
            <v>5518</v>
          </cell>
          <cell r="AJ1228">
            <v>2888</v>
          </cell>
          <cell r="AK1228">
            <v>4754</v>
          </cell>
          <cell r="AL1228">
            <v>4482</v>
          </cell>
          <cell r="AM1228">
            <v>4346</v>
          </cell>
          <cell r="AN1228">
            <v>4724</v>
          </cell>
          <cell r="AO1228">
            <v>4264</v>
          </cell>
          <cell r="AP1228">
            <v>4520</v>
          </cell>
          <cell r="AQ1228">
            <v>3688</v>
          </cell>
          <cell r="AR1228">
            <v>19914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18583</v>
          </cell>
          <cell r="AX1228">
            <v>0</v>
          </cell>
          <cell r="AY1228">
            <v>0</v>
          </cell>
          <cell r="AZ1228">
            <v>0</v>
          </cell>
          <cell r="BA1228">
            <v>8423.3509743294144</v>
          </cell>
          <cell r="BB1228">
            <v>9569.3224884113952</v>
          </cell>
          <cell r="BC1228">
            <v>9569.3224884113952</v>
          </cell>
          <cell r="BD1228">
            <v>9569.3224884113952</v>
          </cell>
          <cell r="BE1228">
            <v>9569.3224884113952</v>
          </cell>
          <cell r="BF1228">
            <v>9793.1287521071899</v>
          </cell>
          <cell r="BG1228">
            <v>9793.1287521071899</v>
          </cell>
          <cell r="BH1228">
            <v>9793.1287521071899</v>
          </cell>
          <cell r="BI1228">
            <v>9793.1287521071899</v>
          </cell>
          <cell r="BJ1228">
            <v>4896.564376053595</v>
          </cell>
          <cell r="BK1228">
            <v>0</v>
          </cell>
          <cell r="BL1228">
            <v>365908.72031245736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</row>
        <row r="1229">
          <cell r="A1229" t="str">
            <v>MMA</v>
          </cell>
          <cell r="B1229" t="str">
            <v>2WAY</v>
          </cell>
          <cell r="D1229" t="str">
            <v>Stock Target</v>
          </cell>
          <cell r="Z1229">
            <v>5000</v>
          </cell>
          <cell r="AA1229">
            <v>5000</v>
          </cell>
          <cell r="AB1229">
            <v>5000</v>
          </cell>
          <cell r="AC1229">
            <v>5000</v>
          </cell>
          <cell r="AD1229">
            <v>5000</v>
          </cell>
          <cell r="AE1229">
            <v>5000</v>
          </cell>
          <cell r="AF1229">
            <v>5000</v>
          </cell>
          <cell r="AG1229">
            <v>5000</v>
          </cell>
          <cell r="AH1229">
            <v>5000</v>
          </cell>
          <cell r="AI1229">
            <v>5000</v>
          </cell>
          <cell r="AJ1229">
            <v>2528</v>
          </cell>
          <cell r="AK1229">
            <v>2529</v>
          </cell>
          <cell r="AL1229">
            <v>2530</v>
          </cell>
          <cell r="AM1229">
            <v>2531</v>
          </cell>
          <cell r="AN1229">
            <v>2532</v>
          </cell>
          <cell r="AO1229">
            <v>2533</v>
          </cell>
          <cell r="AP1229">
            <v>2534</v>
          </cell>
          <cell r="AQ1229">
            <v>2535</v>
          </cell>
          <cell r="AR1229">
            <v>2536</v>
          </cell>
          <cell r="AS1229">
            <v>2537</v>
          </cell>
          <cell r="AT1229">
            <v>2538</v>
          </cell>
          <cell r="AU1229">
            <v>2539</v>
          </cell>
          <cell r="AV1229">
            <v>2540</v>
          </cell>
          <cell r="AW1229">
            <v>2541</v>
          </cell>
          <cell r="AX1229">
            <v>2542</v>
          </cell>
          <cell r="AY1229">
            <v>2543</v>
          </cell>
          <cell r="AZ1229">
            <v>2544</v>
          </cell>
          <cell r="BA1229">
            <v>2545</v>
          </cell>
          <cell r="BB1229">
            <v>2546</v>
          </cell>
          <cell r="BC1229">
            <v>2547</v>
          </cell>
          <cell r="BD1229">
            <v>2548</v>
          </cell>
          <cell r="BE1229">
            <v>2549</v>
          </cell>
          <cell r="BF1229">
            <v>2550</v>
          </cell>
          <cell r="BG1229">
            <v>2551</v>
          </cell>
          <cell r="BH1229">
            <v>2552</v>
          </cell>
          <cell r="BI1229">
            <v>2553</v>
          </cell>
          <cell r="BJ1229">
            <v>2554</v>
          </cell>
          <cell r="BK1229">
            <v>2555</v>
          </cell>
          <cell r="BL1229">
            <v>2556</v>
          </cell>
          <cell r="BM1229">
            <v>2557</v>
          </cell>
          <cell r="BN1229">
            <v>2558</v>
          </cell>
          <cell r="BO1229">
            <v>2559</v>
          </cell>
          <cell r="BP1229">
            <v>2560</v>
          </cell>
          <cell r="BQ1229">
            <v>2561</v>
          </cell>
          <cell r="BR1229">
            <v>2562</v>
          </cell>
          <cell r="BS1229">
            <v>2563</v>
          </cell>
          <cell r="BT1229">
            <v>2564</v>
          </cell>
          <cell r="BU1229">
            <v>2565</v>
          </cell>
          <cell r="BV1229">
            <v>2566</v>
          </cell>
        </row>
        <row r="1230">
          <cell r="A1230" t="str">
            <v>MMA</v>
          </cell>
          <cell r="B1230" t="str">
            <v>2WAY</v>
          </cell>
          <cell r="D1230" t="str">
            <v>PVC</v>
          </cell>
          <cell r="Z1230">
            <v>1091</v>
          </cell>
          <cell r="AA1230">
            <v>-1371</v>
          </cell>
          <cell r="AB1230">
            <v>-7379</v>
          </cell>
          <cell r="AC1230">
            <v>-12887</v>
          </cell>
          <cell r="AD1230">
            <v>-17911</v>
          </cell>
          <cell r="AE1230">
            <v>-23355</v>
          </cell>
          <cell r="AF1230">
            <v>-29511</v>
          </cell>
          <cell r="AG1230">
            <v>-34647</v>
          </cell>
          <cell r="AH1230">
            <v>-42135</v>
          </cell>
          <cell r="AI1230">
            <v>-47109</v>
          </cell>
          <cell r="AJ1230">
            <v>-49837</v>
          </cell>
          <cell r="AK1230">
            <v>-54303</v>
          </cell>
          <cell r="AL1230">
            <v>-58273</v>
          </cell>
          <cell r="AM1230">
            <v>-62171</v>
          </cell>
          <cell r="AN1230">
            <v>-66351</v>
          </cell>
          <cell r="AO1230">
            <v>-70231</v>
          </cell>
          <cell r="AP1230">
            <v>-74239</v>
          </cell>
          <cell r="AQ1230">
            <v>-77447</v>
          </cell>
          <cell r="AR1230">
            <v>-94417</v>
          </cell>
          <cell r="AS1230">
            <v>-94417</v>
          </cell>
          <cell r="AT1230">
            <v>-94417</v>
          </cell>
          <cell r="AU1230">
            <v>-94417</v>
          </cell>
          <cell r="AV1230">
            <v>-94417</v>
          </cell>
          <cell r="AW1230">
            <v>-109800</v>
          </cell>
          <cell r="AX1230">
            <v>-109800</v>
          </cell>
          <cell r="AY1230">
            <v>-109800</v>
          </cell>
          <cell r="AZ1230">
            <v>-109800</v>
          </cell>
          <cell r="BA1230">
            <v>-118223.35097432941</v>
          </cell>
          <cell r="BB1230">
            <v>-127792.67346274082</v>
          </cell>
          <cell r="BC1230">
            <v>-137361.9959511522</v>
          </cell>
          <cell r="BD1230">
            <v>-146931.31843956359</v>
          </cell>
          <cell r="BE1230">
            <v>-156500.64092797498</v>
          </cell>
          <cell r="BF1230">
            <v>-166293.76968008216</v>
          </cell>
          <cell r="BG1230">
            <v>-176086.89843218934</v>
          </cell>
          <cell r="BH1230">
            <v>-185880.02718429652</v>
          </cell>
          <cell r="BI1230">
            <v>-195673.15593640369</v>
          </cell>
          <cell r="BJ1230">
            <v>-200569.7203124573</v>
          </cell>
          <cell r="BK1230">
            <v>-200569.7203124573</v>
          </cell>
          <cell r="BL1230">
            <v>-200569.7203124573</v>
          </cell>
          <cell r="BM1230">
            <v>-200569.7203124573</v>
          </cell>
          <cell r="BN1230">
            <v>-200569.7203124573</v>
          </cell>
          <cell r="BO1230">
            <v>-200569.7203124573</v>
          </cell>
          <cell r="BP1230">
            <v>-200569.7203124573</v>
          </cell>
          <cell r="BQ1230">
            <v>-200569.7203124573</v>
          </cell>
          <cell r="BR1230">
            <v>-200569.7203124573</v>
          </cell>
          <cell r="BS1230">
            <v>-200569.7203124573</v>
          </cell>
          <cell r="BT1230">
            <v>-200569.7203124573</v>
          </cell>
          <cell r="BU1230">
            <v>-200569.7203124573</v>
          </cell>
          <cell r="BV1230">
            <v>-200569.7203124573</v>
          </cell>
        </row>
        <row r="1231">
          <cell r="A1231" t="str">
            <v>MMA</v>
          </cell>
          <cell r="B1231" t="str">
            <v>2WAY</v>
          </cell>
          <cell r="D1231" t="str">
            <v>LTH</v>
          </cell>
          <cell r="Z1231">
            <v>35</v>
          </cell>
          <cell r="AA1231">
            <v>35</v>
          </cell>
          <cell r="AB1231">
            <v>35</v>
          </cell>
          <cell r="AC1231">
            <v>-123</v>
          </cell>
          <cell r="AD1231">
            <v>-251</v>
          </cell>
          <cell r="AE1231">
            <v>-571</v>
          </cell>
          <cell r="AF1231">
            <v>-763</v>
          </cell>
          <cell r="AG1231">
            <v>-1051</v>
          </cell>
          <cell r="AH1231">
            <v>-1691</v>
          </cell>
          <cell r="AI1231">
            <v>-2235</v>
          </cell>
          <cell r="AJ1231">
            <v>-2395</v>
          </cell>
          <cell r="AK1231">
            <v>-2683</v>
          </cell>
          <cell r="AL1231">
            <v>-3195</v>
          </cell>
          <cell r="AM1231">
            <v>-3643</v>
          </cell>
          <cell r="AN1231">
            <v>-4187</v>
          </cell>
          <cell r="AO1231">
            <v>-4571</v>
          </cell>
          <cell r="AP1231">
            <v>-5083</v>
          </cell>
          <cell r="AQ1231">
            <v>-5563</v>
          </cell>
          <cell r="AR1231">
            <v>-8507</v>
          </cell>
          <cell r="AS1231">
            <v>-8507</v>
          </cell>
          <cell r="AT1231">
            <v>-8507</v>
          </cell>
          <cell r="AU1231">
            <v>-8507</v>
          </cell>
          <cell r="AV1231">
            <v>-8507</v>
          </cell>
          <cell r="AW1231">
            <v>-11707</v>
          </cell>
          <cell r="AX1231">
            <v>-11707</v>
          </cell>
          <cell r="AY1231">
            <v>-11707</v>
          </cell>
          <cell r="AZ1231">
            <v>-11707</v>
          </cell>
          <cell r="BA1231">
            <v>-11707</v>
          </cell>
          <cell r="BB1231">
            <v>-11707</v>
          </cell>
          <cell r="BC1231">
            <v>-11707</v>
          </cell>
          <cell r="BD1231">
            <v>-11707</v>
          </cell>
          <cell r="BE1231">
            <v>-11707</v>
          </cell>
          <cell r="BF1231">
            <v>-11707</v>
          </cell>
          <cell r="BG1231">
            <v>-11707</v>
          </cell>
          <cell r="BH1231">
            <v>-11707</v>
          </cell>
          <cell r="BI1231">
            <v>-11707</v>
          </cell>
          <cell r="BJ1231">
            <v>-11707</v>
          </cell>
          <cell r="BK1231">
            <v>-11707</v>
          </cell>
          <cell r="BL1231">
            <v>-11707</v>
          </cell>
          <cell r="BM1231">
            <v>-11707</v>
          </cell>
          <cell r="BN1231">
            <v>-11707</v>
          </cell>
          <cell r="BO1231">
            <v>-11707</v>
          </cell>
          <cell r="BP1231">
            <v>-11707</v>
          </cell>
          <cell r="BQ1231">
            <v>-11707</v>
          </cell>
          <cell r="BR1231">
            <v>-11707</v>
          </cell>
          <cell r="BS1231">
            <v>-11707</v>
          </cell>
          <cell r="BT1231">
            <v>-11707</v>
          </cell>
          <cell r="BU1231">
            <v>-11707</v>
          </cell>
          <cell r="BV1231">
            <v>-11707</v>
          </cell>
        </row>
        <row r="1232">
          <cell r="A1232" t="str">
            <v>MMA</v>
          </cell>
          <cell r="B1232" t="str">
            <v>2WAY</v>
          </cell>
          <cell r="D1232">
            <v>0</v>
          </cell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</row>
        <row r="1233">
          <cell r="A1233" t="str">
            <v>MMA</v>
          </cell>
          <cell r="B1233" t="str">
            <v>2WAY</v>
          </cell>
          <cell r="D1233" t="str">
            <v>PO</v>
          </cell>
          <cell r="Z1233">
            <v>4</v>
          </cell>
          <cell r="AA1233">
            <v>4</v>
          </cell>
          <cell r="AB1233">
            <v>4</v>
          </cell>
          <cell r="AC1233">
            <v>4</v>
          </cell>
          <cell r="AD1233">
            <v>4</v>
          </cell>
          <cell r="AE1233">
            <v>4</v>
          </cell>
          <cell r="AF1233">
            <v>4</v>
          </cell>
          <cell r="AG1233">
            <v>4</v>
          </cell>
          <cell r="AH1233">
            <v>4</v>
          </cell>
          <cell r="AI1233">
            <v>4</v>
          </cell>
          <cell r="AJ1233">
            <v>4</v>
          </cell>
          <cell r="AK1233">
            <v>4</v>
          </cell>
          <cell r="AL1233">
            <v>4</v>
          </cell>
          <cell r="AM1233">
            <v>4</v>
          </cell>
          <cell r="AN1233">
            <v>4</v>
          </cell>
          <cell r="AO1233">
            <v>4</v>
          </cell>
          <cell r="AP1233">
            <v>4</v>
          </cell>
          <cell r="AQ1233">
            <v>4</v>
          </cell>
          <cell r="AR1233">
            <v>4</v>
          </cell>
          <cell r="AS1233">
            <v>4</v>
          </cell>
          <cell r="AT1233">
            <v>4</v>
          </cell>
          <cell r="AU1233">
            <v>4</v>
          </cell>
          <cell r="AV1233">
            <v>4</v>
          </cell>
          <cell r="AW1233">
            <v>4</v>
          </cell>
          <cell r="AX1233">
            <v>4</v>
          </cell>
          <cell r="AY1233">
            <v>4</v>
          </cell>
          <cell r="AZ1233">
            <v>4</v>
          </cell>
          <cell r="BA1233">
            <v>4</v>
          </cell>
          <cell r="BB1233">
            <v>4</v>
          </cell>
          <cell r="BC1233">
            <v>4</v>
          </cell>
          <cell r="BD1233">
            <v>4</v>
          </cell>
          <cell r="BE1233">
            <v>4</v>
          </cell>
          <cell r="BF1233">
            <v>4</v>
          </cell>
          <cell r="BG1233">
            <v>4</v>
          </cell>
          <cell r="BH1233">
            <v>4</v>
          </cell>
          <cell r="BI1233">
            <v>4</v>
          </cell>
          <cell r="BJ1233">
            <v>4</v>
          </cell>
          <cell r="BK1233">
            <v>4</v>
          </cell>
          <cell r="BL1233">
            <v>4</v>
          </cell>
          <cell r="BM1233">
            <v>4</v>
          </cell>
          <cell r="BN1233">
            <v>4</v>
          </cell>
          <cell r="BO1233">
            <v>4</v>
          </cell>
          <cell r="BP1233">
            <v>4</v>
          </cell>
          <cell r="BQ1233">
            <v>4</v>
          </cell>
          <cell r="BR1233">
            <v>4</v>
          </cell>
          <cell r="BS1233">
            <v>4</v>
          </cell>
          <cell r="BT1233">
            <v>4</v>
          </cell>
          <cell r="BU1233">
            <v>4</v>
          </cell>
          <cell r="BV1233">
            <v>4</v>
          </cell>
        </row>
        <row r="1234">
          <cell r="A1234" t="str">
            <v>MMA</v>
          </cell>
          <cell r="B1234" t="str">
            <v>2WAY</v>
          </cell>
          <cell r="D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</row>
        <row r="1235">
          <cell r="A1235" t="str">
            <v>MMA</v>
          </cell>
          <cell r="B1235" t="str">
            <v>2WAY</v>
          </cell>
          <cell r="D1235" t="str">
            <v>STOCK</v>
          </cell>
          <cell r="Z1235">
            <v>1130</v>
          </cell>
          <cell r="AA1235">
            <v>5035.0212765957431</v>
          </cell>
          <cell r="AB1235">
            <v>5729.1489361702097</v>
          </cell>
          <cell r="AC1235">
            <v>6765.2765957446763</v>
          </cell>
          <cell r="AD1235">
            <v>5634.5531914893563</v>
          </cell>
          <cell r="AE1235">
            <v>6572.680851063823</v>
          </cell>
          <cell r="AF1235">
            <v>6926.8085106382896</v>
          </cell>
          <cell r="AG1235">
            <v>7247.4893617021189</v>
          </cell>
          <cell r="AH1235">
            <v>4864.1702127659482</v>
          </cell>
          <cell r="AI1235">
            <v>5090.8510638297776</v>
          </cell>
          <cell r="AJ1235">
            <v>7947.5319148936069</v>
          </cell>
          <cell r="AK1235">
            <v>7789.27659574467</v>
          </cell>
          <cell r="AL1235">
            <v>7903.0212765957331</v>
          </cell>
          <cell r="AM1235">
            <v>9301.7021276595624</v>
          </cell>
          <cell r="AN1235">
            <v>9173.4468085106255</v>
          </cell>
          <cell r="AO1235">
            <v>10654.127659574455</v>
          </cell>
          <cell r="AP1235">
            <v>11878.808510638284</v>
          </cell>
          <cell r="AQ1235">
            <v>13935.489361702113</v>
          </cell>
          <cell r="AR1235">
            <v>-233.82978723405722</v>
          </cell>
          <cell r="AS1235">
            <v>5510.8510638297721</v>
          </cell>
          <cell r="AT1235">
            <v>11255.531914893601</v>
          </cell>
          <cell r="AU1235">
            <v>17000.212765957433</v>
          </cell>
          <cell r="AV1235">
            <v>24181.063829787221</v>
          </cell>
          <cell r="AW1235">
            <v>12922.531914893603</v>
          </cell>
          <cell r="AX1235">
            <v>20390.617021276579</v>
          </cell>
          <cell r="AY1235">
            <v>28002.319148936152</v>
          </cell>
          <cell r="AZ1235">
            <v>28002.319148936152</v>
          </cell>
          <cell r="BA1235">
            <v>19578.968174606736</v>
          </cell>
          <cell r="BB1235">
            <v>18626.666962791085</v>
          </cell>
          <cell r="BC1235">
            <v>17817.982772252028</v>
          </cell>
          <cell r="BD1235">
            <v>17152.915602989568</v>
          </cell>
          <cell r="BE1235">
            <v>16631.465455003705</v>
          </cell>
          <cell r="BF1235">
            <v>16029.826064598643</v>
          </cell>
          <cell r="BG1235">
            <v>15571.803695470177</v>
          </cell>
          <cell r="BH1235">
            <v>15257.398347618308</v>
          </cell>
          <cell r="BI1235">
            <v>15086.610021043032</v>
          </cell>
          <cell r="BJ1235">
            <v>19956.003091797949</v>
          </cell>
          <cell r="BK1235">
            <v>26275.152027968161</v>
          </cell>
          <cell r="BL1235">
            <v>-333314.419348319</v>
          </cell>
          <cell r="BM1235">
            <v>-326995.27041214879</v>
          </cell>
          <cell r="BN1235">
            <v>-320676.12147597858</v>
          </cell>
          <cell r="BO1235">
            <v>-314356.97253980837</v>
          </cell>
          <cell r="BP1235">
            <v>-308037.82360363816</v>
          </cell>
          <cell r="BQ1235">
            <v>-301718.67466746795</v>
          </cell>
          <cell r="BR1235">
            <v>-295399.52573129773</v>
          </cell>
          <cell r="BS1235">
            <v>-289080.37679512752</v>
          </cell>
          <cell r="BT1235">
            <v>-282761.22785895731</v>
          </cell>
          <cell r="BU1235">
            <v>-278969.7384972552</v>
          </cell>
          <cell r="BV1235">
            <v>-275178.24913555308</v>
          </cell>
        </row>
        <row r="1236">
          <cell r="A1236" t="str">
            <v>Blank</v>
          </cell>
          <cell r="B1236" t="str">
            <v>Blank</v>
          </cell>
          <cell r="D1236" t="str">
            <v>Blank</v>
          </cell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</row>
        <row r="1237">
          <cell r="A1237" t="str">
            <v>MMA</v>
          </cell>
          <cell r="B1237" t="str">
            <v>2WAY</v>
          </cell>
          <cell r="D1237" t="str">
            <v>Work days</v>
          </cell>
          <cell r="Z1237">
            <v>5</v>
          </cell>
          <cell r="AA1237">
            <v>5</v>
          </cell>
          <cell r="AB1237">
            <v>5</v>
          </cell>
          <cell r="AC1237">
            <v>5</v>
          </cell>
          <cell r="AD1237">
            <v>3</v>
          </cell>
          <cell r="AE1237">
            <v>5</v>
          </cell>
          <cell r="AF1237">
            <v>5</v>
          </cell>
          <cell r="AG1237">
            <v>5</v>
          </cell>
          <cell r="AH1237">
            <v>5</v>
          </cell>
          <cell r="AI1237">
            <v>5</v>
          </cell>
          <cell r="AJ1237">
            <v>5</v>
          </cell>
          <cell r="AK1237">
            <v>4</v>
          </cell>
          <cell r="AL1237">
            <v>4</v>
          </cell>
          <cell r="AM1237">
            <v>5</v>
          </cell>
          <cell r="AN1237">
            <v>4</v>
          </cell>
          <cell r="AO1237">
            <v>5</v>
          </cell>
          <cell r="AP1237">
            <v>5</v>
          </cell>
          <cell r="AQ1237">
            <v>5</v>
          </cell>
          <cell r="AR1237">
            <v>5</v>
          </cell>
          <cell r="AS1237">
            <v>5</v>
          </cell>
          <cell r="AT1237">
            <v>5</v>
          </cell>
          <cell r="AU1237">
            <v>5</v>
          </cell>
          <cell r="AV1237">
            <v>5</v>
          </cell>
          <cell r="AW1237">
            <v>5</v>
          </cell>
          <cell r="AX1237">
            <v>5</v>
          </cell>
          <cell r="AY1237">
            <v>5</v>
          </cell>
          <cell r="AZ1237">
            <v>0</v>
          </cell>
          <cell r="BA1237">
            <v>0</v>
          </cell>
          <cell r="BB1237">
            <v>5</v>
          </cell>
          <cell r="BC1237">
            <v>5</v>
          </cell>
          <cell r="BD1237">
            <v>5</v>
          </cell>
          <cell r="BE1237">
            <v>5</v>
          </cell>
          <cell r="BF1237">
            <v>5</v>
          </cell>
          <cell r="BG1237">
            <v>5</v>
          </cell>
          <cell r="BH1237">
            <v>5</v>
          </cell>
          <cell r="BI1237">
            <v>5</v>
          </cell>
          <cell r="BJ1237">
            <v>5</v>
          </cell>
          <cell r="BK1237">
            <v>5</v>
          </cell>
          <cell r="BL1237">
            <v>5</v>
          </cell>
          <cell r="BM1237">
            <v>18</v>
          </cell>
          <cell r="BN1237">
            <v>18</v>
          </cell>
          <cell r="BO1237">
            <v>18</v>
          </cell>
          <cell r="BP1237">
            <v>18</v>
          </cell>
          <cell r="BQ1237">
            <v>8</v>
          </cell>
          <cell r="BR1237">
            <v>8</v>
          </cell>
          <cell r="BS1237">
            <v>8</v>
          </cell>
          <cell r="BT1237">
            <v>8</v>
          </cell>
          <cell r="BU1237">
            <v>8</v>
          </cell>
          <cell r="BV1237">
            <v>8</v>
          </cell>
        </row>
        <row r="1238">
          <cell r="A1238" t="str">
            <v>MMA</v>
          </cell>
          <cell r="B1238" t="str">
            <v>2WAY</v>
          </cell>
          <cell r="D1238" t="str">
            <v>SHIFT A HC - operators</v>
          </cell>
          <cell r="Z1238">
            <v>8</v>
          </cell>
          <cell r="AA1238">
            <v>8</v>
          </cell>
          <cell r="AB1238">
            <v>8</v>
          </cell>
          <cell r="AC1238">
            <v>8</v>
          </cell>
          <cell r="AD1238">
            <v>8</v>
          </cell>
          <cell r="AE1238">
            <v>8</v>
          </cell>
          <cell r="AF1238">
            <v>8</v>
          </cell>
          <cell r="AG1238">
            <v>8</v>
          </cell>
          <cell r="AH1238">
            <v>8</v>
          </cell>
          <cell r="AI1238">
            <v>8</v>
          </cell>
          <cell r="AJ1238">
            <v>8</v>
          </cell>
          <cell r="AK1238">
            <v>8</v>
          </cell>
          <cell r="AL1238">
            <v>8</v>
          </cell>
          <cell r="AM1238">
            <v>8</v>
          </cell>
          <cell r="AN1238">
            <v>8</v>
          </cell>
          <cell r="AO1238">
            <v>8</v>
          </cell>
          <cell r="AP1238">
            <v>8</v>
          </cell>
          <cell r="AQ1238">
            <v>8</v>
          </cell>
          <cell r="AR1238">
            <v>8</v>
          </cell>
          <cell r="AS1238">
            <v>8</v>
          </cell>
          <cell r="AT1238">
            <v>8</v>
          </cell>
          <cell r="AU1238">
            <v>8</v>
          </cell>
          <cell r="AV1238">
            <v>8</v>
          </cell>
          <cell r="AW1238">
            <v>8</v>
          </cell>
          <cell r="AX1238">
            <v>8</v>
          </cell>
          <cell r="AY1238">
            <v>8</v>
          </cell>
          <cell r="AZ1238">
            <v>8</v>
          </cell>
          <cell r="BA1238">
            <v>8</v>
          </cell>
          <cell r="BB1238">
            <v>8</v>
          </cell>
          <cell r="BC1238">
            <v>8</v>
          </cell>
          <cell r="BD1238">
            <v>8</v>
          </cell>
          <cell r="BE1238">
            <v>8</v>
          </cell>
          <cell r="BF1238">
            <v>8</v>
          </cell>
          <cell r="BG1238">
            <v>8</v>
          </cell>
          <cell r="BH1238">
            <v>8</v>
          </cell>
          <cell r="BI1238">
            <v>8</v>
          </cell>
          <cell r="BJ1238">
            <v>8</v>
          </cell>
          <cell r="BK1238">
            <v>8</v>
          </cell>
          <cell r="BL1238">
            <v>8</v>
          </cell>
          <cell r="BM1238">
            <v>8</v>
          </cell>
          <cell r="BN1238">
            <v>8</v>
          </cell>
          <cell r="BO1238">
            <v>8</v>
          </cell>
          <cell r="BP1238">
            <v>8</v>
          </cell>
          <cell r="BQ1238">
            <v>8</v>
          </cell>
          <cell r="BR1238">
            <v>8</v>
          </cell>
          <cell r="BS1238">
            <v>8</v>
          </cell>
          <cell r="BT1238">
            <v>8</v>
          </cell>
          <cell r="BU1238">
            <v>8</v>
          </cell>
          <cell r="BV1238">
            <v>8</v>
          </cell>
        </row>
        <row r="1239">
          <cell r="A1239" t="str">
            <v>MMA</v>
          </cell>
          <cell r="B1239" t="str">
            <v>2WAY</v>
          </cell>
          <cell r="D1239" t="str">
            <v>SHIFT B HC  - operators</v>
          </cell>
          <cell r="Z1239">
            <v>8</v>
          </cell>
          <cell r="AA1239">
            <v>8</v>
          </cell>
          <cell r="AB1239">
            <v>8</v>
          </cell>
          <cell r="AC1239">
            <v>8</v>
          </cell>
          <cell r="AD1239">
            <v>8</v>
          </cell>
          <cell r="AE1239">
            <v>8</v>
          </cell>
          <cell r="AF1239">
            <v>8</v>
          </cell>
          <cell r="AG1239">
            <v>8</v>
          </cell>
          <cell r="AH1239">
            <v>8</v>
          </cell>
          <cell r="AI1239">
            <v>8</v>
          </cell>
          <cell r="AJ1239">
            <v>8</v>
          </cell>
          <cell r="AK1239">
            <v>8</v>
          </cell>
          <cell r="AL1239">
            <v>8</v>
          </cell>
          <cell r="AM1239">
            <v>8</v>
          </cell>
          <cell r="AN1239">
            <v>8</v>
          </cell>
          <cell r="AO1239">
            <v>6</v>
          </cell>
          <cell r="AP1239">
            <v>6</v>
          </cell>
          <cell r="AQ1239">
            <v>6</v>
          </cell>
          <cell r="AR1239">
            <v>6</v>
          </cell>
          <cell r="AS1239">
            <v>6</v>
          </cell>
          <cell r="AT1239">
            <v>6</v>
          </cell>
          <cell r="AU1239">
            <v>8</v>
          </cell>
          <cell r="AV1239">
            <v>8</v>
          </cell>
          <cell r="AW1239">
            <v>8</v>
          </cell>
          <cell r="AX1239">
            <v>8</v>
          </cell>
          <cell r="AY1239">
            <v>8</v>
          </cell>
          <cell r="AZ1239">
            <v>8</v>
          </cell>
          <cell r="BA1239">
            <v>8</v>
          </cell>
          <cell r="BB1239">
            <v>8</v>
          </cell>
          <cell r="BC1239">
            <v>8</v>
          </cell>
          <cell r="BD1239">
            <v>8</v>
          </cell>
          <cell r="BE1239">
            <v>8</v>
          </cell>
          <cell r="BF1239">
            <v>8</v>
          </cell>
          <cell r="BG1239">
            <v>8</v>
          </cell>
          <cell r="BH1239">
            <v>8</v>
          </cell>
          <cell r="BI1239">
            <v>8</v>
          </cell>
          <cell r="BJ1239">
            <v>8</v>
          </cell>
          <cell r="BK1239">
            <v>10</v>
          </cell>
          <cell r="BL1239">
            <v>10</v>
          </cell>
          <cell r="BM1239">
            <v>10</v>
          </cell>
          <cell r="BN1239">
            <v>10</v>
          </cell>
          <cell r="BO1239">
            <v>10</v>
          </cell>
          <cell r="BP1239">
            <v>10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</row>
        <row r="1240">
          <cell r="A1240" t="str">
            <v>MMA</v>
          </cell>
          <cell r="B1240" t="str">
            <v>2WAY</v>
          </cell>
          <cell r="D1240" t="str">
            <v>SHIFT C HC  - operators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6</v>
          </cell>
          <cell r="BB1240">
            <v>6</v>
          </cell>
          <cell r="BC1240">
            <v>6</v>
          </cell>
          <cell r="BD1240">
            <v>6</v>
          </cell>
          <cell r="BE1240">
            <v>6</v>
          </cell>
          <cell r="BF1240">
            <v>6</v>
          </cell>
          <cell r="BG1240">
            <v>6</v>
          </cell>
          <cell r="BH1240">
            <v>6</v>
          </cell>
          <cell r="BI1240">
            <v>6</v>
          </cell>
          <cell r="BJ1240">
            <v>6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</row>
        <row r="1241">
          <cell r="A1241" t="str">
            <v>MMA</v>
          </cell>
          <cell r="B1241" t="str">
            <v>2WAY</v>
          </cell>
          <cell r="D1241" t="str">
            <v>Total HC</v>
          </cell>
          <cell r="Z1241">
            <v>16</v>
          </cell>
          <cell r="AA1241">
            <v>16</v>
          </cell>
          <cell r="AB1241">
            <v>16</v>
          </cell>
          <cell r="AC1241">
            <v>16</v>
          </cell>
          <cell r="AD1241">
            <v>16</v>
          </cell>
          <cell r="AE1241">
            <v>16</v>
          </cell>
          <cell r="AF1241">
            <v>16</v>
          </cell>
          <cell r="AG1241">
            <v>16</v>
          </cell>
          <cell r="AH1241">
            <v>16</v>
          </cell>
          <cell r="AI1241">
            <v>16</v>
          </cell>
          <cell r="AJ1241">
            <v>16</v>
          </cell>
          <cell r="AK1241">
            <v>16</v>
          </cell>
          <cell r="AL1241">
            <v>16</v>
          </cell>
          <cell r="AM1241">
            <v>16</v>
          </cell>
          <cell r="AN1241">
            <v>16</v>
          </cell>
          <cell r="AO1241">
            <v>14</v>
          </cell>
          <cell r="AP1241">
            <v>14</v>
          </cell>
          <cell r="AQ1241">
            <v>14</v>
          </cell>
          <cell r="AR1241">
            <v>14</v>
          </cell>
          <cell r="AS1241">
            <v>14</v>
          </cell>
          <cell r="AT1241">
            <v>14</v>
          </cell>
          <cell r="AU1241">
            <v>16</v>
          </cell>
          <cell r="AV1241">
            <v>16</v>
          </cell>
          <cell r="AW1241">
            <v>16</v>
          </cell>
          <cell r="AX1241">
            <v>16</v>
          </cell>
          <cell r="AY1241">
            <v>16</v>
          </cell>
          <cell r="AZ1241">
            <v>16</v>
          </cell>
          <cell r="BA1241">
            <v>22</v>
          </cell>
          <cell r="BB1241">
            <v>22</v>
          </cell>
          <cell r="BC1241">
            <v>22</v>
          </cell>
          <cell r="BD1241">
            <v>22</v>
          </cell>
          <cell r="BE1241">
            <v>22</v>
          </cell>
          <cell r="BF1241">
            <v>22</v>
          </cell>
          <cell r="BG1241">
            <v>22</v>
          </cell>
          <cell r="BH1241">
            <v>22</v>
          </cell>
          <cell r="BI1241">
            <v>22</v>
          </cell>
          <cell r="BJ1241">
            <v>22</v>
          </cell>
          <cell r="BK1241">
            <v>18</v>
          </cell>
          <cell r="BL1241">
            <v>18</v>
          </cell>
          <cell r="BM1241">
            <v>18</v>
          </cell>
          <cell r="BN1241">
            <v>18</v>
          </cell>
          <cell r="BO1241">
            <v>18</v>
          </cell>
          <cell r="BP1241">
            <v>18</v>
          </cell>
          <cell r="BQ1241">
            <v>8</v>
          </cell>
          <cell r="BR1241">
            <v>8</v>
          </cell>
          <cell r="BS1241">
            <v>8</v>
          </cell>
          <cell r="BT1241">
            <v>8</v>
          </cell>
          <cell r="BU1241">
            <v>8</v>
          </cell>
          <cell r="BV1241">
            <v>8</v>
          </cell>
        </row>
        <row r="1242">
          <cell r="A1242" t="str">
            <v>MMA</v>
          </cell>
          <cell r="B1242" t="str">
            <v>2WAY</v>
          </cell>
          <cell r="D1242" t="str">
            <v>SHIFT A HC  - efficiency</v>
          </cell>
          <cell r="Z1242">
            <v>1</v>
          </cell>
          <cell r="AA1242">
            <v>1</v>
          </cell>
          <cell r="AB1242">
            <v>1.05</v>
          </cell>
          <cell r="AC1242">
            <v>1.06</v>
          </cell>
          <cell r="AD1242">
            <v>1.1000000000000001</v>
          </cell>
          <cell r="AE1242">
            <v>1.1000000000000001</v>
          </cell>
          <cell r="AF1242">
            <v>1.1000000000000001</v>
          </cell>
          <cell r="AG1242">
            <v>1.1000000000000001</v>
          </cell>
          <cell r="AH1242">
            <v>1.1000000000000001</v>
          </cell>
          <cell r="AI1242">
            <v>1.1000000000000001</v>
          </cell>
          <cell r="AJ1242">
            <v>1.1000000000000001</v>
          </cell>
          <cell r="AK1242">
            <v>1.1000000000000001</v>
          </cell>
          <cell r="AL1242">
            <v>1.2</v>
          </cell>
          <cell r="AM1242">
            <v>1.2</v>
          </cell>
          <cell r="AN1242">
            <v>1.2</v>
          </cell>
          <cell r="AO1242">
            <v>1.2</v>
          </cell>
          <cell r="AP1242">
            <v>1.2</v>
          </cell>
          <cell r="AQ1242">
            <v>1.2</v>
          </cell>
          <cell r="AR1242">
            <v>1.2</v>
          </cell>
          <cell r="AS1242">
            <v>1.2</v>
          </cell>
          <cell r="AT1242">
            <v>1.2</v>
          </cell>
          <cell r="AU1242">
            <v>1.2</v>
          </cell>
          <cell r="AV1242">
            <v>1.2</v>
          </cell>
          <cell r="AW1242">
            <v>1.2</v>
          </cell>
          <cell r="AX1242">
            <v>1.2</v>
          </cell>
          <cell r="AY1242">
            <v>1.2</v>
          </cell>
          <cell r="AZ1242">
            <v>1.2</v>
          </cell>
          <cell r="BA1242">
            <v>1.2</v>
          </cell>
          <cell r="BB1242">
            <v>1.2</v>
          </cell>
          <cell r="BC1242">
            <v>1.2</v>
          </cell>
          <cell r="BD1242">
            <v>1.2</v>
          </cell>
          <cell r="BE1242">
            <v>1.2</v>
          </cell>
          <cell r="BF1242">
            <v>1.2</v>
          </cell>
          <cell r="BG1242">
            <v>1.2</v>
          </cell>
          <cell r="BH1242">
            <v>1.2</v>
          </cell>
          <cell r="BI1242">
            <v>1.2</v>
          </cell>
          <cell r="BJ1242">
            <v>1.2</v>
          </cell>
          <cell r="BK1242">
            <v>1.2</v>
          </cell>
          <cell r="BL1242">
            <v>1.2</v>
          </cell>
          <cell r="BM1242">
            <v>1.2</v>
          </cell>
          <cell r="BN1242">
            <v>1.2</v>
          </cell>
          <cell r="BO1242">
            <v>1.2</v>
          </cell>
          <cell r="BP1242">
            <v>1.2</v>
          </cell>
          <cell r="BQ1242">
            <v>1.2</v>
          </cell>
          <cell r="BR1242">
            <v>1.2</v>
          </cell>
          <cell r="BS1242">
            <v>1.2</v>
          </cell>
          <cell r="BT1242">
            <v>1.2</v>
          </cell>
          <cell r="BU1242">
            <v>1.2</v>
          </cell>
          <cell r="BV1242">
            <v>1.2</v>
          </cell>
        </row>
        <row r="1243">
          <cell r="A1243" t="str">
            <v>MMA</v>
          </cell>
          <cell r="B1243" t="str">
            <v>2WAY</v>
          </cell>
          <cell r="D1243" t="str">
            <v>SHIFT B HC  - efficiency</v>
          </cell>
          <cell r="Z1243">
            <v>0.84000000000000019</v>
          </cell>
          <cell r="AA1243">
            <v>0.86000000000000021</v>
          </cell>
          <cell r="AB1243">
            <v>0.88000000000000023</v>
          </cell>
          <cell r="AC1243">
            <v>0.90000000000000024</v>
          </cell>
          <cell r="AD1243">
            <v>0.92000000000000026</v>
          </cell>
          <cell r="AE1243">
            <v>0.94000000000000028</v>
          </cell>
          <cell r="AF1243">
            <v>0.9600000000000003</v>
          </cell>
          <cell r="AG1243">
            <v>0.98000000000000032</v>
          </cell>
          <cell r="AH1243">
            <v>1.0000000000000002</v>
          </cell>
          <cell r="AI1243">
            <v>1</v>
          </cell>
          <cell r="AJ1243">
            <v>1</v>
          </cell>
          <cell r="AK1243">
            <v>1</v>
          </cell>
          <cell r="AL1243">
            <v>1</v>
          </cell>
          <cell r="AM1243">
            <v>1</v>
          </cell>
          <cell r="AN1243">
            <v>1</v>
          </cell>
          <cell r="AO1243">
            <v>1</v>
          </cell>
          <cell r="AP1243">
            <v>1</v>
          </cell>
          <cell r="AQ1243">
            <v>1</v>
          </cell>
          <cell r="AR1243">
            <v>1</v>
          </cell>
          <cell r="AS1243">
            <v>1</v>
          </cell>
          <cell r="AT1243">
            <v>1</v>
          </cell>
          <cell r="AU1243">
            <v>1</v>
          </cell>
          <cell r="AV1243">
            <v>1</v>
          </cell>
          <cell r="AW1243">
            <v>1</v>
          </cell>
          <cell r="AX1243">
            <v>1</v>
          </cell>
          <cell r="AY1243">
            <v>1</v>
          </cell>
          <cell r="AZ1243">
            <v>1</v>
          </cell>
          <cell r="BA1243">
            <v>1</v>
          </cell>
          <cell r="BB1243">
            <v>1</v>
          </cell>
          <cell r="BC1243">
            <v>1</v>
          </cell>
          <cell r="BD1243">
            <v>1</v>
          </cell>
          <cell r="BE1243">
            <v>1</v>
          </cell>
          <cell r="BF1243">
            <v>1</v>
          </cell>
          <cell r="BG1243">
            <v>1</v>
          </cell>
          <cell r="BH1243">
            <v>1</v>
          </cell>
          <cell r="BI1243">
            <v>1</v>
          </cell>
          <cell r="BJ1243">
            <v>1</v>
          </cell>
          <cell r="BK1243">
            <v>1</v>
          </cell>
          <cell r="BL1243">
            <v>1</v>
          </cell>
          <cell r="BM1243">
            <v>1</v>
          </cell>
          <cell r="BN1243">
            <v>1</v>
          </cell>
          <cell r="BO1243">
            <v>1</v>
          </cell>
          <cell r="BP1243">
            <v>1</v>
          </cell>
          <cell r="BQ1243">
            <v>1</v>
          </cell>
          <cell r="BR1243">
            <v>1</v>
          </cell>
          <cell r="BS1243">
            <v>1</v>
          </cell>
          <cell r="BT1243">
            <v>1</v>
          </cell>
          <cell r="BU1243">
            <v>1</v>
          </cell>
          <cell r="BV1243">
            <v>1</v>
          </cell>
        </row>
        <row r="1244">
          <cell r="A1244" t="str">
            <v>MMA</v>
          </cell>
          <cell r="B1244" t="str">
            <v>2WAY</v>
          </cell>
          <cell r="D1244" t="str">
            <v>SHIFT C HC  - efficiency</v>
          </cell>
          <cell r="Z1244">
            <v>1</v>
          </cell>
          <cell r="AA1244">
            <v>1</v>
          </cell>
          <cell r="AB1244">
            <v>1</v>
          </cell>
          <cell r="AC1244">
            <v>1</v>
          </cell>
          <cell r="AD1244">
            <v>1</v>
          </cell>
          <cell r="AE1244">
            <v>1</v>
          </cell>
          <cell r="AF1244">
            <v>1</v>
          </cell>
          <cell r="AG1244">
            <v>1</v>
          </cell>
          <cell r="AH1244">
            <v>1</v>
          </cell>
          <cell r="AI1244">
            <v>1</v>
          </cell>
          <cell r="AJ1244">
            <v>1</v>
          </cell>
          <cell r="AK1244">
            <v>1</v>
          </cell>
          <cell r="AL1244">
            <v>1</v>
          </cell>
          <cell r="AM1244">
            <v>1</v>
          </cell>
          <cell r="AN1244">
            <v>1</v>
          </cell>
          <cell r="AO1244">
            <v>1</v>
          </cell>
          <cell r="AP1244">
            <v>1</v>
          </cell>
          <cell r="AQ1244">
            <v>1</v>
          </cell>
          <cell r="AR1244">
            <v>1</v>
          </cell>
          <cell r="AS1244">
            <v>1</v>
          </cell>
          <cell r="AT1244">
            <v>0.4</v>
          </cell>
          <cell r="AU1244">
            <v>0.42000000000000004</v>
          </cell>
          <cell r="AV1244">
            <v>0.44000000000000006</v>
          </cell>
          <cell r="AW1244">
            <v>0.46000000000000008</v>
          </cell>
          <cell r="AX1244">
            <v>0.48000000000000009</v>
          </cell>
          <cell r="AY1244">
            <v>0.50000000000000011</v>
          </cell>
          <cell r="AZ1244">
            <v>0.52000000000000013</v>
          </cell>
          <cell r="BA1244">
            <v>0.54000000000000015</v>
          </cell>
          <cell r="BB1244">
            <v>0.56000000000000016</v>
          </cell>
          <cell r="BC1244">
            <v>0.58000000000000018</v>
          </cell>
          <cell r="BD1244">
            <v>0.6000000000000002</v>
          </cell>
          <cell r="BE1244">
            <v>0.62000000000000022</v>
          </cell>
          <cell r="BF1244">
            <v>0.64000000000000024</v>
          </cell>
          <cell r="BG1244">
            <v>0.66000000000000025</v>
          </cell>
          <cell r="BH1244">
            <v>0.68000000000000027</v>
          </cell>
          <cell r="BI1244">
            <v>0.70000000000000029</v>
          </cell>
          <cell r="BJ1244">
            <v>0.72000000000000031</v>
          </cell>
          <cell r="BK1244">
            <v>1</v>
          </cell>
          <cell r="BL1244">
            <v>1</v>
          </cell>
          <cell r="BM1244">
            <v>1</v>
          </cell>
          <cell r="BN1244">
            <v>1</v>
          </cell>
          <cell r="BO1244">
            <v>1</v>
          </cell>
          <cell r="BP1244">
            <v>1</v>
          </cell>
          <cell r="BQ1244">
            <v>1</v>
          </cell>
          <cell r="BR1244">
            <v>1</v>
          </cell>
          <cell r="BS1244">
            <v>1</v>
          </cell>
          <cell r="BT1244">
            <v>1</v>
          </cell>
          <cell r="BU1244">
            <v>1</v>
          </cell>
          <cell r="BV1244">
            <v>1</v>
          </cell>
        </row>
        <row r="1245">
          <cell r="A1245" t="str">
            <v>MMA</v>
          </cell>
          <cell r="B1245" t="str">
            <v>2WAY</v>
          </cell>
          <cell r="D1245" t="str">
            <v>Total efficiency</v>
          </cell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</row>
        <row r="1246">
          <cell r="A1246" t="str">
            <v>MMA</v>
          </cell>
          <cell r="B1246" t="str">
            <v>2WAY</v>
          </cell>
          <cell r="D1246" t="str">
            <v>SHIFT A - output</v>
          </cell>
          <cell r="Z1246">
            <v>606.06060606060601</v>
          </cell>
          <cell r="AA1246">
            <v>606.06060606060601</v>
          </cell>
          <cell r="AB1246">
            <v>636.36363636363637</v>
          </cell>
          <cell r="AC1246">
            <v>642.42424242424238</v>
          </cell>
          <cell r="AD1246">
            <v>666.66666666666663</v>
          </cell>
          <cell r="AE1246">
            <v>666.66666666666663</v>
          </cell>
          <cell r="AF1246">
            <v>666.66666666666663</v>
          </cell>
          <cell r="AG1246">
            <v>666.66666666666663</v>
          </cell>
          <cell r="AH1246">
            <v>666.66666666666663</v>
          </cell>
          <cell r="AI1246">
            <v>666.66666666666663</v>
          </cell>
          <cell r="AJ1246">
            <v>666.66666666666663</v>
          </cell>
          <cell r="AK1246">
            <v>666.66666666666663</v>
          </cell>
          <cell r="AL1246">
            <v>727.27272727272714</v>
          </cell>
          <cell r="AM1246">
            <v>727.27272727272714</v>
          </cell>
          <cell r="AN1246">
            <v>727.27272727272714</v>
          </cell>
          <cell r="AO1246">
            <v>727.27272727272714</v>
          </cell>
          <cell r="AP1246">
            <v>727.27272727272714</v>
          </cell>
          <cell r="AQ1246">
            <v>727.27272727272714</v>
          </cell>
          <cell r="AR1246">
            <v>727.27272727272714</v>
          </cell>
          <cell r="AS1246">
            <v>727.27272727272714</v>
          </cell>
          <cell r="AT1246">
            <v>727.27272727272714</v>
          </cell>
          <cell r="AU1246">
            <v>727.27272727272714</v>
          </cell>
          <cell r="AV1246">
            <v>727.27272727272714</v>
          </cell>
          <cell r="AW1246">
            <v>727.27272727272714</v>
          </cell>
          <cell r="AX1246">
            <v>727.27272727272714</v>
          </cell>
          <cell r="AY1246">
            <v>727.27272727272714</v>
          </cell>
          <cell r="AZ1246">
            <v>727.27272727272714</v>
          </cell>
          <cell r="BA1246">
            <v>727.27272727272714</v>
          </cell>
          <cell r="BB1246">
            <v>727.27272727272714</v>
          </cell>
          <cell r="BC1246">
            <v>727.27272727272714</v>
          </cell>
          <cell r="BD1246">
            <v>727.27272727272714</v>
          </cell>
          <cell r="BE1246">
            <v>727.27272727272714</v>
          </cell>
          <cell r="BF1246">
            <v>727.27272727272714</v>
          </cell>
          <cell r="BG1246">
            <v>727.27272727272714</v>
          </cell>
          <cell r="BH1246">
            <v>727.27272727272714</v>
          </cell>
          <cell r="BI1246">
            <v>727.27272727272714</v>
          </cell>
          <cell r="BJ1246">
            <v>727.27272727272714</v>
          </cell>
          <cell r="BK1246">
            <v>727.27272727272714</v>
          </cell>
          <cell r="BL1246">
            <v>727.27272727272714</v>
          </cell>
          <cell r="BM1246">
            <v>727.27272727272714</v>
          </cell>
          <cell r="BN1246">
            <v>727.27272727272714</v>
          </cell>
          <cell r="BO1246">
            <v>727.27272727272714</v>
          </cell>
          <cell r="BP1246">
            <v>727.27272727272714</v>
          </cell>
          <cell r="BQ1246">
            <v>727.27272727272714</v>
          </cell>
          <cell r="BR1246">
            <v>727.27272727272714</v>
          </cell>
          <cell r="BS1246">
            <v>727.27272727272714</v>
          </cell>
          <cell r="BT1246">
            <v>727.27272727272714</v>
          </cell>
          <cell r="BU1246">
            <v>727.27272727272714</v>
          </cell>
          <cell r="BV1246">
            <v>727.27272727272714</v>
          </cell>
        </row>
        <row r="1247">
          <cell r="A1247" t="str">
            <v>MMA</v>
          </cell>
          <cell r="B1247" t="str">
            <v>2WAY</v>
          </cell>
          <cell r="D1247" t="str">
            <v>SHIFT B  - output</v>
          </cell>
          <cell r="Z1247">
            <v>509.09090909090918</v>
          </cell>
          <cell r="AA1247">
            <v>521.21212121212125</v>
          </cell>
          <cell r="AB1247">
            <v>533.33333333333337</v>
          </cell>
          <cell r="AC1247">
            <v>545.45454545454561</v>
          </cell>
          <cell r="AD1247">
            <v>557.57575757575773</v>
          </cell>
          <cell r="AE1247">
            <v>569.69696969696986</v>
          </cell>
          <cell r="AF1247">
            <v>581.81818181818198</v>
          </cell>
          <cell r="AG1247">
            <v>593.93939393939411</v>
          </cell>
          <cell r="AH1247">
            <v>606.06060606060612</v>
          </cell>
          <cell r="AI1247">
            <v>606.06060606060601</v>
          </cell>
          <cell r="AJ1247">
            <v>606.06060606060601</v>
          </cell>
          <cell r="AK1247">
            <v>606.06060606060601</v>
          </cell>
          <cell r="AL1247">
            <v>606.06060606060601</v>
          </cell>
          <cell r="AM1247">
            <v>606.06060606060601</v>
          </cell>
          <cell r="AN1247">
            <v>606.06060606060601</v>
          </cell>
          <cell r="AO1247">
            <v>454.5454545454545</v>
          </cell>
          <cell r="AP1247">
            <v>454.5454545454545</v>
          </cell>
          <cell r="AQ1247">
            <v>454.5454545454545</v>
          </cell>
          <cell r="AR1247">
            <v>454.5454545454545</v>
          </cell>
          <cell r="AS1247">
            <v>454.5454545454545</v>
          </cell>
          <cell r="AT1247">
            <v>454.5454545454545</v>
          </cell>
          <cell r="AU1247">
            <v>606.06060606060601</v>
          </cell>
          <cell r="AV1247">
            <v>606.06060606060601</v>
          </cell>
          <cell r="AW1247">
            <v>606.06060606060601</v>
          </cell>
          <cell r="AX1247">
            <v>606.06060606060601</v>
          </cell>
          <cell r="AY1247">
            <v>606.06060606060601</v>
          </cell>
          <cell r="AZ1247">
            <v>606.06060606060601</v>
          </cell>
          <cell r="BA1247">
            <v>606.06060606060601</v>
          </cell>
          <cell r="BB1247">
            <v>606.06060606060601</v>
          </cell>
          <cell r="BC1247">
            <v>606.06060606060601</v>
          </cell>
          <cell r="BD1247">
            <v>606.06060606060601</v>
          </cell>
          <cell r="BE1247">
            <v>606.06060606060601</v>
          </cell>
          <cell r="BF1247">
            <v>606.06060606060601</v>
          </cell>
          <cell r="BG1247">
            <v>606.06060606060601</v>
          </cell>
          <cell r="BH1247">
            <v>606.06060606060601</v>
          </cell>
          <cell r="BI1247">
            <v>606.06060606060601</v>
          </cell>
          <cell r="BJ1247">
            <v>606.06060606060601</v>
          </cell>
          <cell r="BK1247">
            <v>757.57575757575751</v>
          </cell>
          <cell r="BL1247">
            <v>757.57575757575751</v>
          </cell>
          <cell r="BM1247">
            <v>757.57575757575751</v>
          </cell>
          <cell r="BN1247">
            <v>757.57575757575751</v>
          </cell>
          <cell r="BO1247">
            <v>757.57575757575751</v>
          </cell>
          <cell r="BP1247">
            <v>757.57575757575751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</row>
        <row r="1248">
          <cell r="A1248" t="str">
            <v>MMA</v>
          </cell>
          <cell r="B1248" t="str">
            <v>2WAY</v>
          </cell>
          <cell r="D1248" t="str">
            <v>SHIFT C  - output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245.4545454545455</v>
          </cell>
          <cell r="BB1248">
            <v>254.54545454545459</v>
          </cell>
          <cell r="BC1248">
            <v>263.63636363636368</v>
          </cell>
          <cell r="BD1248">
            <v>272.7272727272728</v>
          </cell>
          <cell r="BE1248">
            <v>281.81818181818187</v>
          </cell>
          <cell r="BF1248">
            <v>290.90909090909099</v>
          </cell>
          <cell r="BG1248">
            <v>300.00000000000011</v>
          </cell>
          <cell r="BH1248">
            <v>309.09090909090918</v>
          </cell>
          <cell r="BI1248">
            <v>318.1818181818183</v>
          </cell>
          <cell r="BJ1248">
            <v>327.27272727272737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</row>
        <row r="1249">
          <cell r="A1249" t="str">
            <v>MMA</v>
          </cell>
          <cell r="B1249" t="str">
            <v>2WAY</v>
          </cell>
          <cell r="D1249" t="str">
            <v>Est. Output (Pcs day)</v>
          </cell>
          <cell r="E1249">
            <v>5.94</v>
          </cell>
          <cell r="Z1249">
            <v>1115.1515151515152</v>
          </cell>
          <cell r="AA1249">
            <v>1127.2727272727273</v>
          </cell>
          <cell r="AB1249">
            <v>1169.6969696969697</v>
          </cell>
          <cell r="AC1249">
            <v>1187.878787878788</v>
          </cell>
          <cell r="AD1249">
            <v>1224.2424242424245</v>
          </cell>
          <cell r="AE1249">
            <v>1236.3636363636365</v>
          </cell>
          <cell r="AF1249">
            <v>1248.4848484848485</v>
          </cell>
          <cell r="AG1249">
            <v>1260.6060606060607</v>
          </cell>
          <cell r="AH1249">
            <v>1272.7272727272727</v>
          </cell>
          <cell r="AI1249">
            <v>1272.7272727272725</v>
          </cell>
          <cell r="AJ1249">
            <v>1272.7272727272725</v>
          </cell>
          <cell r="AK1249">
            <v>1272.7272727272725</v>
          </cell>
          <cell r="AL1249">
            <v>1333.333333333333</v>
          </cell>
          <cell r="AM1249">
            <v>1333.333333333333</v>
          </cell>
          <cell r="AN1249">
            <v>1333.333333333333</v>
          </cell>
          <cell r="AO1249">
            <v>1181.8181818181815</v>
          </cell>
          <cell r="AP1249">
            <v>1181.8181818181815</v>
          </cell>
          <cell r="AQ1249">
            <v>1181.8181818181815</v>
          </cell>
          <cell r="AR1249">
            <v>1181.8181818181815</v>
          </cell>
          <cell r="AS1249">
            <v>1181.8181818181815</v>
          </cell>
          <cell r="AT1249">
            <v>1181.8181818181815</v>
          </cell>
          <cell r="AU1249">
            <v>1333.333333333333</v>
          </cell>
          <cell r="AV1249">
            <v>1333.333333333333</v>
          </cell>
          <cell r="AW1249">
            <v>1333.333333333333</v>
          </cell>
          <cell r="AX1249">
            <v>1333.333333333333</v>
          </cell>
          <cell r="AY1249">
            <v>1333.333333333333</v>
          </cell>
          <cell r="AZ1249">
            <v>1333.333333333333</v>
          </cell>
          <cell r="BA1249">
            <v>1578.7878787878785</v>
          </cell>
          <cell r="BB1249">
            <v>1587.8787878787875</v>
          </cell>
          <cell r="BC1249">
            <v>1596.9696969696968</v>
          </cell>
          <cell r="BD1249">
            <v>1606.0606060606058</v>
          </cell>
          <cell r="BE1249">
            <v>1615.151515151515</v>
          </cell>
          <cell r="BF1249">
            <v>1624.242424242424</v>
          </cell>
          <cell r="BG1249">
            <v>1633.333333333333</v>
          </cell>
          <cell r="BH1249">
            <v>1642.4242424242423</v>
          </cell>
          <cell r="BI1249">
            <v>1651.5151515151513</v>
          </cell>
          <cell r="BJ1249">
            <v>1660.6060606060605</v>
          </cell>
          <cell r="BK1249">
            <v>1484.8484848484845</v>
          </cell>
          <cell r="BL1249">
            <v>1484.8484848484845</v>
          </cell>
          <cell r="BM1249">
            <v>1484.8484848484845</v>
          </cell>
          <cell r="BN1249">
            <v>1484.8484848484845</v>
          </cell>
          <cell r="BO1249">
            <v>1484.8484848484845</v>
          </cell>
          <cell r="BP1249">
            <v>1484.8484848484845</v>
          </cell>
          <cell r="BQ1249">
            <v>727.27272727272714</v>
          </cell>
          <cell r="BR1249">
            <v>727.27272727272714</v>
          </cell>
          <cell r="BS1249">
            <v>727.27272727272714</v>
          </cell>
          <cell r="BT1249">
            <v>727.27272727272714</v>
          </cell>
          <cell r="BU1249">
            <v>727.27272727272714</v>
          </cell>
          <cell r="BV1249">
            <v>727.27272727272714</v>
          </cell>
        </row>
        <row r="1250">
          <cell r="A1250" t="str">
            <v>MMA</v>
          </cell>
          <cell r="B1250" t="str">
            <v>2WAY</v>
          </cell>
          <cell r="D1250" t="str">
            <v>Weekly Output PLAN</v>
          </cell>
          <cell r="E1250" t="str">
            <v>SEW</v>
          </cell>
          <cell r="Z1250">
            <v>5575.757575757576</v>
          </cell>
          <cell r="AA1250">
            <v>5636.363636363636</v>
          </cell>
          <cell r="AB1250">
            <v>5848.484848484849</v>
          </cell>
          <cell r="AC1250">
            <v>5939.3939393939399</v>
          </cell>
          <cell r="AD1250">
            <v>3672.7272727272734</v>
          </cell>
          <cell r="AE1250">
            <v>6181.818181818182</v>
          </cell>
          <cell r="AF1250">
            <v>6242.424242424242</v>
          </cell>
          <cell r="AG1250">
            <v>6303.0303030303039</v>
          </cell>
          <cell r="AH1250">
            <v>6363.636363636364</v>
          </cell>
          <cell r="AI1250">
            <v>6363.6363636363621</v>
          </cell>
          <cell r="AJ1250">
            <v>6363.6363636363621</v>
          </cell>
          <cell r="AK1250">
            <v>5090.9090909090901</v>
          </cell>
          <cell r="AL1250">
            <v>5333.3333333333321</v>
          </cell>
          <cell r="AM1250">
            <v>6666.6666666666652</v>
          </cell>
          <cell r="AN1250">
            <v>5333.3333333333321</v>
          </cell>
          <cell r="AO1250">
            <v>5909.0909090909081</v>
          </cell>
          <cell r="AP1250">
            <v>5909.0909090909081</v>
          </cell>
          <cell r="AQ1250">
            <v>5909.0909090909081</v>
          </cell>
          <cell r="AR1250">
            <v>5909.0909090909081</v>
          </cell>
          <cell r="AS1250">
            <v>5909.0909090909081</v>
          </cell>
          <cell r="AT1250">
            <v>5909.0909090909081</v>
          </cell>
          <cell r="AU1250">
            <v>6666.6666666666652</v>
          </cell>
          <cell r="AV1250">
            <v>6666.6666666666652</v>
          </cell>
          <cell r="AW1250">
            <v>6666.6666666666652</v>
          </cell>
          <cell r="AX1250">
            <v>6666.6666666666652</v>
          </cell>
          <cell r="AY1250">
            <v>6666.6666666666652</v>
          </cell>
          <cell r="AZ1250">
            <v>0</v>
          </cell>
          <cell r="BA1250">
            <v>0</v>
          </cell>
          <cell r="BB1250">
            <v>7939.3939393939381</v>
          </cell>
          <cell r="BC1250">
            <v>7984.8484848484841</v>
          </cell>
          <cell r="BD1250">
            <v>8030.3030303030291</v>
          </cell>
          <cell r="BE1250">
            <v>8075.7575757575751</v>
          </cell>
          <cell r="BF1250">
            <v>8121.2121212121201</v>
          </cell>
          <cell r="BG1250">
            <v>8166.6666666666652</v>
          </cell>
          <cell r="BH1250">
            <v>8212.121212121212</v>
          </cell>
          <cell r="BI1250">
            <v>8257.5757575757561</v>
          </cell>
          <cell r="BJ1250">
            <v>8303.0303030303021</v>
          </cell>
          <cell r="BK1250">
            <v>7424.2424242424222</v>
          </cell>
          <cell r="BL1250">
            <v>7424.2424242424222</v>
          </cell>
          <cell r="BM1250">
            <v>26727.272727272721</v>
          </cell>
          <cell r="BN1250">
            <v>26727.272727272721</v>
          </cell>
          <cell r="BO1250">
            <v>26727.272727272721</v>
          </cell>
          <cell r="BP1250">
            <v>26727.272727272721</v>
          </cell>
          <cell r="BQ1250">
            <v>5818.1818181818171</v>
          </cell>
          <cell r="BR1250">
            <v>5818.1818181818171</v>
          </cell>
          <cell r="BS1250">
            <v>5818.1818181818171</v>
          </cell>
          <cell r="BT1250">
            <v>5818.1818181818171</v>
          </cell>
          <cell r="BU1250">
            <v>5818.1818181818171</v>
          </cell>
          <cell r="BV1250">
            <v>5818.1818181818171</v>
          </cell>
        </row>
        <row r="1251">
          <cell r="A1251" t="str">
            <v>MMA</v>
          </cell>
          <cell r="B1251" t="str">
            <v>2WAY</v>
          </cell>
          <cell r="D1251" t="str">
            <v>PVC</v>
          </cell>
          <cell r="E1251">
            <v>5.7258000000000004</v>
          </cell>
          <cell r="Z1251">
            <v>5170.2127659574471</v>
          </cell>
          <cell r="AA1251">
            <v>6367.0212765957431</v>
          </cell>
          <cell r="AB1251">
            <v>6702.1276595744666</v>
          </cell>
          <cell r="AC1251">
            <v>6702.1276595744666</v>
          </cell>
          <cell r="AD1251">
            <v>4021.27659574468</v>
          </cell>
          <cell r="AE1251">
            <v>6702.1276595744666</v>
          </cell>
          <cell r="AF1251">
            <v>6702.1276595744666</v>
          </cell>
          <cell r="AG1251">
            <v>5744.6808510638293</v>
          </cell>
          <cell r="AH1251">
            <v>5744.6808510638293</v>
          </cell>
          <cell r="AI1251">
            <v>5744.6808510638293</v>
          </cell>
          <cell r="AJ1251">
            <v>5744.6808510638293</v>
          </cell>
          <cell r="AK1251">
            <v>4595.7446808510631</v>
          </cell>
          <cell r="AL1251">
            <v>4595.7446808510631</v>
          </cell>
          <cell r="AM1251">
            <v>5744.6808510638293</v>
          </cell>
          <cell r="AN1251">
            <v>4595.7446808510631</v>
          </cell>
          <cell r="AO1251">
            <v>5744.6808510638293</v>
          </cell>
          <cell r="AP1251">
            <v>5744.6808510638293</v>
          </cell>
          <cell r="AQ1251">
            <v>5744.6808510638293</v>
          </cell>
          <cell r="AR1251">
            <v>5744.6808510638293</v>
          </cell>
          <cell r="AS1251">
            <v>5744.6808510638293</v>
          </cell>
          <cell r="AT1251">
            <v>5744.6808510638293</v>
          </cell>
          <cell r="AU1251">
            <v>5744.6808510638293</v>
          </cell>
          <cell r="AV1251">
            <v>7180.8510638297867</v>
          </cell>
          <cell r="AW1251">
            <v>7324.4680851063822</v>
          </cell>
          <cell r="AX1251">
            <v>7468.0851063829778</v>
          </cell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</row>
        <row r="1252">
          <cell r="A1252" t="str">
            <v>MMA</v>
          </cell>
          <cell r="B1252" t="str">
            <v>2WAY</v>
          </cell>
          <cell r="D1252" t="str">
            <v>LTH</v>
          </cell>
          <cell r="E1252">
            <v>6.1577999999999999</v>
          </cell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</row>
        <row r="1253">
          <cell r="A1253" t="str">
            <v>MMA</v>
          </cell>
          <cell r="B1253" t="str">
            <v>2WAY</v>
          </cell>
          <cell r="D1253" t="str">
            <v>PO</v>
          </cell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</row>
        <row r="1254">
          <cell r="A1254" t="str">
            <v>MMA</v>
          </cell>
          <cell r="B1254" t="str">
            <v>2WAY</v>
          </cell>
          <cell r="D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</row>
        <row r="1255">
          <cell r="A1255" t="str">
            <v>MMA</v>
          </cell>
          <cell r="B1255" t="str">
            <v>2WAY</v>
          </cell>
          <cell r="D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</row>
        <row r="1256">
          <cell r="A1256" t="str">
            <v>MMA</v>
          </cell>
          <cell r="B1256" t="str">
            <v>2WAY</v>
          </cell>
          <cell r="D1256" t="str">
            <v>Weekly Output PLAN - SUM of models</v>
          </cell>
          <cell r="Z1256">
            <v>5170.2127659574471</v>
          </cell>
          <cell r="AA1256">
            <v>6367.0212765957431</v>
          </cell>
          <cell r="AB1256">
            <v>6702.1276595744666</v>
          </cell>
          <cell r="AC1256">
            <v>6702.1276595744666</v>
          </cell>
          <cell r="AD1256">
            <v>4021.27659574468</v>
          </cell>
          <cell r="AE1256">
            <v>6702.1276595744666</v>
          </cell>
          <cell r="AF1256">
            <v>6702.1276595744666</v>
          </cell>
          <cell r="AG1256">
            <v>5744.6808510638293</v>
          </cell>
          <cell r="AH1256">
            <v>5744.6808510638293</v>
          </cell>
          <cell r="AI1256">
            <v>5744.6808510638293</v>
          </cell>
          <cell r="AJ1256">
            <v>5744.6808510638293</v>
          </cell>
          <cell r="AK1256">
            <v>4595.7446808510631</v>
          </cell>
          <cell r="AL1256">
            <v>4595.7446808510631</v>
          </cell>
          <cell r="AM1256">
            <v>5744.6808510638293</v>
          </cell>
          <cell r="AN1256">
            <v>4595.7446808510631</v>
          </cell>
          <cell r="AO1256">
            <v>5744.6808510638293</v>
          </cell>
          <cell r="AP1256">
            <v>5744.6808510638293</v>
          </cell>
          <cell r="AQ1256">
            <v>5744.6808510638293</v>
          </cell>
          <cell r="AR1256">
            <v>5744.6808510638293</v>
          </cell>
          <cell r="AS1256">
            <v>5744.6808510638293</v>
          </cell>
          <cell r="AT1256">
            <v>5744.6808510638293</v>
          </cell>
          <cell r="AU1256">
            <v>5744.6808510638293</v>
          </cell>
          <cell r="AV1256">
            <v>7180.8510638297867</v>
          </cell>
          <cell r="AW1256">
            <v>7324.4680851063822</v>
          </cell>
          <cell r="AX1256">
            <v>7468.0851063829778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</row>
        <row r="1257">
          <cell r="A1257" t="str">
            <v>MMA</v>
          </cell>
          <cell r="B1257" t="str">
            <v>2WAY</v>
          </cell>
          <cell r="D1257" t="str">
            <v>Weekly Output CHECK with TO time multiple</v>
          </cell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</row>
        <row r="1258">
          <cell r="A1258" t="str">
            <v>MMA</v>
          </cell>
          <cell r="B1258" t="str">
            <v>2WAY</v>
          </cell>
          <cell r="D1258" t="str">
            <v>Weekly Output ACT</v>
          </cell>
          <cell r="Z1258">
            <v>5575.757575757576</v>
          </cell>
          <cell r="AA1258">
            <v>5636.363636363636</v>
          </cell>
          <cell r="AB1258">
            <v>5848.484848484849</v>
          </cell>
          <cell r="AC1258">
            <v>5939.3939393939399</v>
          </cell>
          <cell r="AD1258">
            <v>3672.7272727272734</v>
          </cell>
          <cell r="AE1258">
            <v>6181.818181818182</v>
          </cell>
          <cell r="AF1258">
            <v>6242.424242424242</v>
          </cell>
          <cell r="AG1258">
            <v>6303.0303030303039</v>
          </cell>
          <cell r="AH1258">
            <v>6363.636363636364</v>
          </cell>
          <cell r="AI1258">
            <v>6363.6363636363621</v>
          </cell>
          <cell r="AJ1258">
            <v>6363.6363636363621</v>
          </cell>
          <cell r="AK1258">
            <v>5090.9090909090901</v>
          </cell>
          <cell r="AL1258">
            <v>5333.3333333333321</v>
          </cell>
          <cell r="AM1258">
            <v>6666.6666666666652</v>
          </cell>
          <cell r="AN1258">
            <v>5333.3333333333321</v>
          </cell>
          <cell r="AO1258">
            <v>5909.0909090909081</v>
          </cell>
          <cell r="AP1258">
            <v>5909.0909090909081</v>
          </cell>
          <cell r="AQ1258">
            <v>5909.0909090909081</v>
          </cell>
          <cell r="AR1258">
            <v>5909.0909090909081</v>
          </cell>
          <cell r="AS1258">
            <v>5909.0909090909081</v>
          </cell>
          <cell r="AT1258">
            <v>5909.0909090909081</v>
          </cell>
          <cell r="AU1258">
            <v>6666.6666666666652</v>
          </cell>
          <cell r="AV1258">
            <v>6666.6666666666652</v>
          </cell>
          <cell r="AW1258">
            <v>6666.6666666666652</v>
          </cell>
          <cell r="AX1258">
            <v>6666.6666666666652</v>
          </cell>
          <cell r="AY1258">
            <v>6666.6666666666652</v>
          </cell>
          <cell r="AZ1258">
            <v>0</v>
          </cell>
          <cell r="BA1258">
            <v>0</v>
          </cell>
          <cell r="BB1258">
            <v>7939.3939393939381</v>
          </cell>
          <cell r="BC1258">
            <v>7984.8484848484841</v>
          </cell>
          <cell r="BD1258">
            <v>8030.3030303030291</v>
          </cell>
          <cell r="BE1258">
            <v>8075.7575757575751</v>
          </cell>
          <cell r="BF1258">
            <v>8121.2121212121201</v>
          </cell>
          <cell r="BG1258">
            <v>8166.6666666666652</v>
          </cell>
          <cell r="BH1258">
            <v>8212.121212121212</v>
          </cell>
          <cell r="BI1258">
            <v>8257.5757575757561</v>
          </cell>
          <cell r="BJ1258">
            <v>8303.0303030303021</v>
          </cell>
          <cell r="BK1258">
            <v>7424.2424242424222</v>
          </cell>
          <cell r="BL1258">
            <v>7424.2424242424222</v>
          </cell>
          <cell r="BM1258">
            <v>26727.272727272721</v>
          </cell>
          <cell r="BN1258">
            <v>26727.272727272721</v>
          </cell>
          <cell r="BO1258">
            <v>26727.272727272721</v>
          </cell>
          <cell r="BP1258">
            <v>26727.272727272721</v>
          </cell>
          <cell r="BQ1258">
            <v>5818.1818181818171</v>
          </cell>
          <cell r="BR1258">
            <v>5818.1818181818171</v>
          </cell>
          <cell r="BS1258">
            <v>5818.1818181818171</v>
          </cell>
          <cell r="BT1258">
            <v>5818.1818181818171</v>
          </cell>
          <cell r="BU1258">
            <v>5818.1818181818171</v>
          </cell>
          <cell r="BV1258">
            <v>5818.1818181818171</v>
          </cell>
        </row>
        <row r="1259">
          <cell r="A1259" t="str">
            <v>MMA</v>
          </cell>
          <cell r="B1259" t="str">
            <v>2WAY</v>
          </cell>
          <cell r="D1259" t="str">
            <v>PVC</v>
          </cell>
          <cell r="Z1259">
            <v>5170.2127659574471</v>
          </cell>
          <cell r="AA1259">
            <v>6367.0212765957431</v>
          </cell>
          <cell r="AB1259">
            <v>6702.1276595744666</v>
          </cell>
          <cell r="AC1259">
            <v>6702.1276595744666</v>
          </cell>
          <cell r="AD1259">
            <v>4021.27659574468</v>
          </cell>
          <cell r="AE1259">
            <v>6702.1276595744666</v>
          </cell>
          <cell r="AF1259">
            <v>6702.1276595744666</v>
          </cell>
          <cell r="AG1259">
            <v>5744.6808510638293</v>
          </cell>
          <cell r="AH1259">
            <v>5744.6808510638293</v>
          </cell>
          <cell r="AI1259">
            <v>5744.6808510638293</v>
          </cell>
          <cell r="AJ1259">
            <v>5744.6808510638293</v>
          </cell>
          <cell r="AK1259">
            <v>4595.7446808510631</v>
          </cell>
          <cell r="AL1259">
            <v>4595.7446808510631</v>
          </cell>
          <cell r="AM1259">
            <v>5744.6808510638293</v>
          </cell>
          <cell r="AN1259">
            <v>4595.7446808510631</v>
          </cell>
          <cell r="AO1259">
            <v>5744.6808510638293</v>
          </cell>
          <cell r="AP1259">
            <v>5744.6808510638293</v>
          </cell>
          <cell r="AQ1259">
            <v>5744.6808510638293</v>
          </cell>
          <cell r="AR1259">
            <v>5744.6808510638293</v>
          </cell>
          <cell r="AS1259">
            <v>5744.6808510638293</v>
          </cell>
          <cell r="AT1259">
            <v>5744.6808510638293</v>
          </cell>
          <cell r="AU1259">
            <v>5744.6808510638293</v>
          </cell>
          <cell r="AV1259">
            <v>7180.8510638297867</v>
          </cell>
          <cell r="AW1259">
            <v>7324.4680851063822</v>
          </cell>
          <cell r="AX1259">
            <v>7468.0851063829778</v>
          </cell>
          <cell r="AY1259">
            <v>7611.7021276595733</v>
          </cell>
          <cell r="AZ1259">
            <v>0</v>
          </cell>
          <cell r="BA1259">
            <v>0</v>
          </cell>
          <cell r="BB1259">
            <v>8617.021276595744</v>
          </cell>
          <cell r="BC1259">
            <v>8760.6382978723395</v>
          </cell>
          <cell r="BD1259">
            <v>8904.2553191489351</v>
          </cell>
          <cell r="BE1259">
            <v>9047.8723404255325</v>
          </cell>
          <cell r="BF1259">
            <v>9191.489361702128</v>
          </cell>
          <cell r="BG1259">
            <v>9335.1063829787236</v>
          </cell>
          <cell r="BH1259">
            <v>9478.7234042553209</v>
          </cell>
          <cell r="BI1259">
            <v>9622.3404255319147</v>
          </cell>
          <cell r="BJ1259">
            <v>9765.957446808512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</row>
        <row r="1260">
          <cell r="A1260" t="str">
            <v>MMA</v>
          </cell>
          <cell r="B1260" t="str">
            <v>2WAY</v>
          </cell>
          <cell r="D1260" t="str">
            <v>LTH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</row>
        <row r="1261">
          <cell r="A1261" t="str">
            <v>MMA</v>
          </cell>
          <cell r="B1261" t="str">
            <v>2WAY</v>
          </cell>
          <cell r="D1261" t="str">
            <v>PO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</row>
        <row r="1262">
          <cell r="A1262" t="str">
            <v>MMA</v>
          </cell>
          <cell r="B1262" t="str">
            <v>2WAY</v>
          </cell>
          <cell r="D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</row>
        <row r="1263">
          <cell r="A1263" t="str">
            <v>MMA</v>
          </cell>
          <cell r="B1263" t="str">
            <v>2WAY</v>
          </cell>
          <cell r="D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</row>
        <row r="1264">
          <cell r="A1264" t="str">
            <v>MMA</v>
          </cell>
          <cell r="B1264" t="str">
            <v>2WAY</v>
          </cell>
          <cell r="D1264" t="str">
            <v>Weekly demand</v>
          </cell>
          <cell r="Z1264">
            <v>6825</v>
          </cell>
          <cell r="AA1264">
            <v>2462</v>
          </cell>
          <cell r="AB1264">
            <v>6008</v>
          </cell>
          <cell r="AC1264">
            <v>5666</v>
          </cell>
          <cell r="AD1264">
            <v>5152</v>
          </cell>
          <cell r="AE1264">
            <v>5764</v>
          </cell>
          <cell r="AF1264">
            <v>6348</v>
          </cell>
          <cell r="AG1264">
            <v>5424</v>
          </cell>
          <cell r="AH1264">
            <v>8128</v>
          </cell>
          <cell r="AI1264">
            <v>5518</v>
          </cell>
          <cell r="AJ1264">
            <v>2888</v>
          </cell>
          <cell r="AK1264">
            <v>4754</v>
          </cell>
          <cell r="AL1264">
            <v>4482</v>
          </cell>
          <cell r="AM1264">
            <v>4346</v>
          </cell>
          <cell r="AN1264">
            <v>4724</v>
          </cell>
          <cell r="AO1264">
            <v>4264</v>
          </cell>
          <cell r="AP1264">
            <v>4520</v>
          </cell>
          <cell r="AQ1264">
            <v>3688</v>
          </cell>
          <cell r="AR1264">
            <v>19914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18583</v>
          </cell>
          <cell r="AX1264">
            <v>0</v>
          </cell>
          <cell r="AY1264">
            <v>0</v>
          </cell>
          <cell r="AZ1264">
            <v>0</v>
          </cell>
          <cell r="BA1264">
            <v>8423.3509743294144</v>
          </cell>
          <cell r="BB1264">
            <v>8617.021276595744</v>
          </cell>
          <cell r="BC1264">
            <v>8760.6382978723395</v>
          </cell>
          <cell r="BD1264">
            <v>8904.2553191489351</v>
          </cell>
          <cell r="BE1264">
            <v>9047.8723404255325</v>
          </cell>
          <cell r="BF1264">
            <v>9191.489361702128</v>
          </cell>
          <cell r="BG1264">
            <v>9335.1063829787236</v>
          </cell>
          <cell r="BH1264">
            <v>9478.7234042553209</v>
          </cell>
          <cell r="BI1264">
            <v>9622.3404255319147</v>
          </cell>
          <cell r="BJ1264">
            <v>9765.957446808512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</row>
        <row r="1265">
          <cell r="A1265" t="str">
            <v>MMA</v>
          </cell>
          <cell r="B1265" t="str">
            <v>2WAY</v>
          </cell>
          <cell r="D1265" t="str">
            <v>Stock Target</v>
          </cell>
          <cell r="Z1265">
            <v>2518</v>
          </cell>
          <cell r="AA1265">
            <v>2519</v>
          </cell>
          <cell r="AB1265">
            <v>2520</v>
          </cell>
          <cell r="AC1265">
            <v>2521</v>
          </cell>
          <cell r="AD1265">
            <v>2522</v>
          </cell>
          <cell r="AE1265">
            <v>2523</v>
          </cell>
          <cell r="AF1265">
            <v>2524</v>
          </cell>
          <cell r="AG1265">
            <v>2525</v>
          </cell>
          <cell r="AH1265">
            <v>2526</v>
          </cell>
          <cell r="AI1265">
            <v>2527</v>
          </cell>
          <cell r="AJ1265">
            <v>2528</v>
          </cell>
          <cell r="AK1265">
            <v>2529</v>
          </cell>
          <cell r="AL1265">
            <v>2530</v>
          </cell>
          <cell r="AM1265">
            <v>2531</v>
          </cell>
          <cell r="AN1265">
            <v>2532</v>
          </cell>
          <cell r="AO1265">
            <v>2533</v>
          </cell>
          <cell r="AP1265">
            <v>2534</v>
          </cell>
          <cell r="AQ1265">
            <v>2535</v>
          </cell>
          <cell r="AR1265">
            <v>2536</v>
          </cell>
          <cell r="AS1265">
            <v>2537</v>
          </cell>
          <cell r="AT1265">
            <v>2538</v>
          </cell>
          <cell r="AU1265">
            <v>2539</v>
          </cell>
          <cell r="AV1265">
            <v>2540</v>
          </cell>
          <cell r="AW1265">
            <v>2541</v>
          </cell>
          <cell r="AX1265">
            <v>2542</v>
          </cell>
          <cell r="AY1265">
            <v>2543</v>
          </cell>
          <cell r="AZ1265">
            <v>2544</v>
          </cell>
          <cell r="BA1265">
            <v>2545</v>
          </cell>
          <cell r="BB1265">
            <v>2546</v>
          </cell>
          <cell r="BC1265">
            <v>2547</v>
          </cell>
          <cell r="BD1265">
            <v>2548</v>
          </cell>
          <cell r="BE1265">
            <v>2549</v>
          </cell>
          <cell r="BF1265">
            <v>2550</v>
          </cell>
          <cell r="BG1265">
            <v>2551</v>
          </cell>
          <cell r="BH1265">
            <v>2552</v>
          </cell>
          <cell r="BI1265">
            <v>2553</v>
          </cell>
          <cell r="BJ1265">
            <v>2554</v>
          </cell>
          <cell r="BK1265">
            <v>2555</v>
          </cell>
          <cell r="BL1265">
            <v>2556</v>
          </cell>
          <cell r="BM1265">
            <v>2557</v>
          </cell>
          <cell r="BN1265">
            <v>2558</v>
          </cell>
          <cell r="BO1265">
            <v>2559</v>
          </cell>
          <cell r="BP1265">
            <v>2560</v>
          </cell>
          <cell r="BQ1265">
            <v>2561</v>
          </cell>
          <cell r="BR1265">
            <v>2562</v>
          </cell>
          <cell r="BS1265">
            <v>2563</v>
          </cell>
          <cell r="BT1265">
            <v>2564</v>
          </cell>
          <cell r="BU1265">
            <v>2565</v>
          </cell>
          <cell r="BV1265">
            <v>2566</v>
          </cell>
        </row>
        <row r="1266">
          <cell r="A1266" t="str">
            <v>MMA</v>
          </cell>
          <cell r="B1266" t="str">
            <v>2WAY</v>
          </cell>
          <cell r="D1266" t="str">
            <v>PVC</v>
          </cell>
          <cell r="Z1266">
            <v>832</v>
          </cell>
          <cell r="AA1266">
            <v>832</v>
          </cell>
          <cell r="AB1266">
            <v>832</v>
          </cell>
          <cell r="AC1266">
            <v>832</v>
          </cell>
          <cell r="AD1266">
            <v>832</v>
          </cell>
          <cell r="AE1266">
            <v>832</v>
          </cell>
          <cell r="AF1266">
            <v>832</v>
          </cell>
          <cell r="AG1266">
            <v>832</v>
          </cell>
          <cell r="AH1266">
            <v>832</v>
          </cell>
          <cell r="AI1266">
            <v>832</v>
          </cell>
          <cell r="AJ1266">
            <v>832</v>
          </cell>
          <cell r="AK1266">
            <v>832</v>
          </cell>
          <cell r="AL1266">
            <v>832</v>
          </cell>
          <cell r="AM1266">
            <v>832</v>
          </cell>
          <cell r="AN1266">
            <v>832</v>
          </cell>
          <cell r="AO1266">
            <v>832</v>
          </cell>
          <cell r="AP1266">
            <v>832</v>
          </cell>
          <cell r="AQ1266">
            <v>832</v>
          </cell>
          <cell r="AR1266">
            <v>832</v>
          </cell>
          <cell r="AS1266">
            <v>832</v>
          </cell>
          <cell r="AT1266">
            <v>832</v>
          </cell>
          <cell r="AU1266">
            <v>832</v>
          </cell>
          <cell r="AV1266">
            <v>832</v>
          </cell>
          <cell r="AW1266">
            <v>832</v>
          </cell>
          <cell r="AX1266">
            <v>832</v>
          </cell>
          <cell r="AY1266">
            <v>-6779.7021276595733</v>
          </cell>
          <cell r="AZ1266">
            <v>-6779.7021276595733</v>
          </cell>
          <cell r="BA1266">
            <v>-6779.7021276595733</v>
          </cell>
          <cell r="BB1266">
            <v>-15396.723404255317</v>
          </cell>
          <cell r="BC1266">
            <v>-24157.361702127659</v>
          </cell>
          <cell r="BD1266">
            <v>-33061.617021276594</v>
          </cell>
          <cell r="BE1266">
            <v>-42109.48936170213</v>
          </cell>
          <cell r="BF1266">
            <v>-51300.97872340426</v>
          </cell>
          <cell r="BG1266">
            <v>-60636.085106382983</v>
          </cell>
          <cell r="BH1266">
            <v>-70114.808510638308</v>
          </cell>
          <cell r="BI1266">
            <v>-79737.148936170226</v>
          </cell>
          <cell r="BJ1266">
            <v>-89503.106382978731</v>
          </cell>
          <cell r="BK1266">
            <v>-89503.106382978731</v>
          </cell>
          <cell r="BL1266">
            <v>-89503.106382978731</v>
          </cell>
          <cell r="BM1266">
            <v>-89503.106382978731</v>
          </cell>
          <cell r="BN1266">
            <v>-89503.106382978731</v>
          </cell>
          <cell r="BO1266">
            <v>-89503.106382978731</v>
          </cell>
          <cell r="BP1266">
            <v>-89503.106382978731</v>
          </cell>
          <cell r="BQ1266">
            <v>-89503.106382978731</v>
          </cell>
          <cell r="BR1266">
            <v>-89503.106382978731</v>
          </cell>
          <cell r="BS1266">
            <v>-89503.106382978731</v>
          </cell>
          <cell r="BT1266">
            <v>-89503.106382978731</v>
          </cell>
          <cell r="BU1266">
            <v>-89503.106382978731</v>
          </cell>
          <cell r="BV1266">
            <v>-89503.106382978731</v>
          </cell>
        </row>
        <row r="1267">
          <cell r="A1267" t="str">
            <v>MMA</v>
          </cell>
          <cell r="B1267" t="str">
            <v>2WAY</v>
          </cell>
          <cell r="D1267" t="str">
            <v>LTH</v>
          </cell>
          <cell r="Z1267">
            <v>295</v>
          </cell>
          <cell r="AA1267">
            <v>295</v>
          </cell>
          <cell r="AB1267">
            <v>295</v>
          </cell>
          <cell r="AC1267">
            <v>295</v>
          </cell>
          <cell r="AD1267">
            <v>295</v>
          </cell>
          <cell r="AE1267">
            <v>295</v>
          </cell>
          <cell r="AF1267">
            <v>295</v>
          </cell>
          <cell r="AG1267">
            <v>295</v>
          </cell>
          <cell r="AH1267">
            <v>295</v>
          </cell>
          <cell r="AI1267">
            <v>295</v>
          </cell>
          <cell r="AJ1267">
            <v>295</v>
          </cell>
          <cell r="AK1267">
            <v>295</v>
          </cell>
          <cell r="AL1267">
            <v>295</v>
          </cell>
          <cell r="AM1267">
            <v>295</v>
          </cell>
          <cell r="AN1267">
            <v>295</v>
          </cell>
          <cell r="AO1267">
            <v>295</v>
          </cell>
          <cell r="AP1267">
            <v>295</v>
          </cell>
          <cell r="AQ1267">
            <v>295</v>
          </cell>
          <cell r="AR1267">
            <v>295</v>
          </cell>
          <cell r="AS1267">
            <v>295</v>
          </cell>
          <cell r="AT1267">
            <v>295</v>
          </cell>
          <cell r="AU1267">
            <v>295</v>
          </cell>
          <cell r="AV1267">
            <v>295</v>
          </cell>
          <cell r="AW1267">
            <v>295</v>
          </cell>
          <cell r="AX1267">
            <v>295</v>
          </cell>
          <cell r="AY1267">
            <v>295</v>
          </cell>
          <cell r="AZ1267">
            <v>295</v>
          </cell>
          <cell r="BA1267">
            <v>295</v>
          </cell>
          <cell r="BB1267">
            <v>295</v>
          </cell>
          <cell r="BC1267">
            <v>295</v>
          </cell>
          <cell r="BD1267">
            <v>295</v>
          </cell>
          <cell r="BE1267">
            <v>295</v>
          </cell>
          <cell r="BF1267">
            <v>295</v>
          </cell>
          <cell r="BG1267">
            <v>295</v>
          </cell>
          <cell r="BH1267">
            <v>295</v>
          </cell>
          <cell r="BI1267">
            <v>295</v>
          </cell>
          <cell r="BJ1267">
            <v>295</v>
          </cell>
          <cell r="BK1267">
            <v>295</v>
          </cell>
          <cell r="BL1267">
            <v>295</v>
          </cell>
          <cell r="BM1267">
            <v>295</v>
          </cell>
          <cell r="BN1267">
            <v>295</v>
          </cell>
          <cell r="BO1267">
            <v>295</v>
          </cell>
          <cell r="BP1267">
            <v>295</v>
          </cell>
          <cell r="BQ1267">
            <v>295</v>
          </cell>
          <cell r="BR1267">
            <v>295</v>
          </cell>
          <cell r="BS1267">
            <v>295</v>
          </cell>
          <cell r="BT1267">
            <v>295</v>
          </cell>
          <cell r="BU1267">
            <v>295</v>
          </cell>
          <cell r="BV1267">
            <v>295</v>
          </cell>
        </row>
        <row r="1268">
          <cell r="A1268" t="str">
            <v>MMA</v>
          </cell>
          <cell r="B1268" t="str">
            <v>2WAY</v>
          </cell>
          <cell r="D1268" t="str">
            <v>PO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</row>
        <row r="1269">
          <cell r="A1269" t="str">
            <v>MMA</v>
          </cell>
          <cell r="B1269" t="str">
            <v>2WAY</v>
          </cell>
          <cell r="D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</row>
        <row r="1270">
          <cell r="A1270" t="str">
            <v>MMA</v>
          </cell>
          <cell r="B1270" t="str">
            <v>2WAY</v>
          </cell>
          <cell r="D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</row>
        <row r="1271">
          <cell r="A1271" t="str">
            <v>MMA</v>
          </cell>
          <cell r="B1271" t="str">
            <v>2WAY</v>
          </cell>
          <cell r="D1271" t="str">
            <v>STOCK</v>
          </cell>
          <cell r="Z1271">
            <v>1127</v>
          </cell>
          <cell r="AA1271">
            <v>4301.363636363636</v>
          </cell>
          <cell r="AB1271">
            <v>4141.848484848485</v>
          </cell>
          <cell r="AC1271">
            <v>4415.2424242424249</v>
          </cell>
          <cell r="AD1271">
            <v>2935.9696969696984</v>
          </cell>
          <cell r="AE1271">
            <v>3353.7878787878803</v>
          </cell>
          <cell r="AF1271">
            <v>3248.2121212121224</v>
          </cell>
          <cell r="AG1271">
            <v>4127.2424242424258</v>
          </cell>
          <cell r="AH1271">
            <v>2362.8787878787898</v>
          </cell>
          <cell r="AI1271">
            <v>3208.515151515152</v>
          </cell>
          <cell r="AJ1271">
            <v>6684.1515151515141</v>
          </cell>
          <cell r="AK1271">
            <v>7021.0606060606042</v>
          </cell>
          <cell r="AL1271">
            <v>7872.3939393939363</v>
          </cell>
          <cell r="AM1271">
            <v>10193.060606060601</v>
          </cell>
          <cell r="AN1271">
            <v>10802.393939393933</v>
          </cell>
          <cell r="AO1271">
            <v>12447.484848484841</v>
          </cell>
          <cell r="AP1271">
            <v>13836.575757575749</v>
          </cell>
          <cell r="AQ1271">
            <v>16057.666666666657</v>
          </cell>
          <cell r="AR1271">
            <v>2052.7575757575651</v>
          </cell>
          <cell r="AS1271">
            <v>7961.8484848484732</v>
          </cell>
          <cell r="AT1271">
            <v>13870.939393939381</v>
          </cell>
          <cell r="AU1271">
            <v>20537.606060606046</v>
          </cell>
          <cell r="AV1271">
            <v>27204.27272727271</v>
          </cell>
          <cell r="AW1271">
            <v>15287.939393939374</v>
          </cell>
          <cell r="AX1271">
            <v>21954.606060606038</v>
          </cell>
          <cell r="AY1271">
            <v>28621.272727272702</v>
          </cell>
          <cell r="AZ1271">
            <v>28621.272727272702</v>
          </cell>
          <cell r="BA1271">
            <v>20197.921752943286</v>
          </cell>
          <cell r="BB1271">
            <v>19520.294415741482</v>
          </cell>
          <cell r="BC1271">
            <v>18744.504602717629</v>
          </cell>
          <cell r="BD1271">
            <v>17870.552313871722</v>
          </cell>
          <cell r="BE1271">
            <v>16898.437549203765</v>
          </cell>
          <cell r="BF1271">
            <v>15828.160308713757</v>
          </cell>
          <cell r="BG1271">
            <v>14659.7205924017</v>
          </cell>
          <cell r="BH1271">
            <v>13393.118400267591</v>
          </cell>
          <cell r="BI1271">
            <v>12028.353732311432</v>
          </cell>
          <cell r="BJ1271">
            <v>10565.426588533222</v>
          </cell>
          <cell r="BK1271">
            <v>17989.669012775645</v>
          </cell>
          <cell r="BL1271">
            <v>25413.911437018069</v>
          </cell>
          <cell r="BM1271">
            <v>52141.184164290789</v>
          </cell>
          <cell r="BN1271">
            <v>78868.456891563517</v>
          </cell>
          <cell r="BO1271">
            <v>105595.72961883624</v>
          </cell>
          <cell r="BP1271">
            <v>132323.00234610896</v>
          </cell>
          <cell r="BQ1271">
            <v>138141.18416429078</v>
          </cell>
          <cell r="BR1271">
            <v>143959.36598247261</v>
          </cell>
          <cell r="BS1271">
            <v>149777.54780065443</v>
          </cell>
          <cell r="BT1271">
            <v>155595.72961883625</v>
          </cell>
          <cell r="BU1271">
            <v>161413.91143701808</v>
          </cell>
          <cell r="BV1271">
            <v>167232.0932551999</v>
          </cell>
        </row>
        <row r="1272">
          <cell r="A1272" t="str">
            <v>Blank</v>
          </cell>
          <cell r="B1272" t="str">
            <v>Blank</v>
          </cell>
          <cell r="D1272" t="str">
            <v>Blank</v>
          </cell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</row>
        <row r="1273">
          <cell r="A1273" t="str">
            <v>MMA</v>
          </cell>
          <cell r="B1273" t="str">
            <v>CARRIER</v>
          </cell>
          <cell r="D1273" t="str">
            <v>Work days</v>
          </cell>
          <cell r="Z1273">
            <v>5</v>
          </cell>
          <cell r="AA1273">
            <v>5</v>
          </cell>
          <cell r="AB1273">
            <v>5</v>
          </cell>
          <cell r="AC1273">
            <v>5</v>
          </cell>
          <cell r="AD1273">
            <v>3</v>
          </cell>
          <cell r="AE1273">
            <v>5</v>
          </cell>
          <cell r="AF1273">
            <v>5</v>
          </cell>
          <cell r="AG1273">
            <v>5</v>
          </cell>
          <cell r="AH1273">
            <v>5</v>
          </cell>
          <cell r="AI1273">
            <v>5</v>
          </cell>
          <cell r="AJ1273">
            <v>5</v>
          </cell>
          <cell r="AK1273">
            <v>4</v>
          </cell>
          <cell r="AL1273">
            <v>4</v>
          </cell>
          <cell r="AM1273">
            <v>5</v>
          </cell>
          <cell r="AN1273">
            <v>4</v>
          </cell>
          <cell r="AO1273">
            <v>5</v>
          </cell>
          <cell r="AP1273">
            <v>5</v>
          </cell>
          <cell r="AQ1273">
            <v>5</v>
          </cell>
          <cell r="AR1273">
            <v>5</v>
          </cell>
          <cell r="AS1273">
            <v>5</v>
          </cell>
          <cell r="AT1273">
            <v>5</v>
          </cell>
          <cell r="AU1273">
            <v>5</v>
          </cell>
          <cell r="AV1273">
            <v>5</v>
          </cell>
          <cell r="AW1273">
            <v>5</v>
          </cell>
          <cell r="AX1273">
            <v>5</v>
          </cell>
          <cell r="AY1273">
            <v>5</v>
          </cell>
          <cell r="AZ1273">
            <v>0</v>
          </cell>
          <cell r="BA1273">
            <v>0</v>
          </cell>
          <cell r="BB1273">
            <v>5</v>
          </cell>
          <cell r="BC1273">
            <v>5</v>
          </cell>
          <cell r="BD1273">
            <v>5</v>
          </cell>
          <cell r="BE1273">
            <v>5</v>
          </cell>
          <cell r="BF1273">
            <v>5</v>
          </cell>
          <cell r="BG1273">
            <v>5</v>
          </cell>
          <cell r="BH1273">
            <v>5</v>
          </cell>
          <cell r="BI1273">
            <v>5</v>
          </cell>
          <cell r="BJ1273">
            <v>5</v>
          </cell>
          <cell r="BK1273">
            <v>5</v>
          </cell>
          <cell r="BL1273">
            <v>3</v>
          </cell>
          <cell r="BM1273">
            <v>3</v>
          </cell>
          <cell r="BN1273">
            <v>3</v>
          </cell>
          <cell r="BO1273">
            <v>3</v>
          </cell>
          <cell r="BP1273">
            <v>3</v>
          </cell>
          <cell r="BQ1273">
            <v>3</v>
          </cell>
          <cell r="BR1273">
            <v>3</v>
          </cell>
          <cell r="BS1273">
            <v>3</v>
          </cell>
          <cell r="BT1273">
            <v>3</v>
          </cell>
          <cell r="BU1273">
            <v>3</v>
          </cell>
          <cell r="BV1273">
            <v>3</v>
          </cell>
        </row>
        <row r="1274">
          <cell r="A1274" t="str">
            <v>MMA</v>
          </cell>
          <cell r="B1274" t="str">
            <v>CARRIER</v>
          </cell>
          <cell r="D1274" t="str">
            <v>SHIFT A HC - operators</v>
          </cell>
          <cell r="E1274" t="str">
            <v>ELI INCL FROM 01/01/26 (3.5OP+1ELI per shift)</v>
          </cell>
          <cell r="Z1274">
            <v>4</v>
          </cell>
          <cell r="AA1274">
            <v>4</v>
          </cell>
          <cell r="AB1274">
            <v>4</v>
          </cell>
          <cell r="AC1274">
            <v>4</v>
          </cell>
          <cell r="AD1274">
            <v>5</v>
          </cell>
          <cell r="AE1274">
            <v>5</v>
          </cell>
          <cell r="AF1274">
            <v>5</v>
          </cell>
          <cell r="AG1274">
            <v>5</v>
          </cell>
          <cell r="AH1274">
            <v>5</v>
          </cell>
          <cell r="AI1274">
            <v>5</v>
          </cell>
          <cell r="AJ1274">
            <v>5</v>
          </cell>
          <cell r="AK1274">
            <v>5</v>
          </cell>
          <cell r="AL1274">
            <v>5</v>
          </cell>
          <cell r="AM1274">
            <v>5</v>
          </cell>
          <cell r="AN1274">
            <v>5</v>
          </cell>
          <cell r="AO1274">
            <v>5</v>
          </cell>
          <cell r="AP1274">
            <v>5</v>
          </cell>
          <cell r="AQ1274">
            <v>5</v>
          </cell>
          <cell r="AR1274">
            <v>5</v>
          </cell>
          <cell r="AS1274">
            <v>5</v>
          </cell>
          <cell r="AT1274">
            <v>5</v>
          </cell>
          <cell r="AU1274">
            <v>5</v>
          </cell>
          <cell r="AV1274">
            <v>5</v>
          </cell>
          <cell r="AW1274">
            <v>5</v>
          </cell>
          <cell r="AX1274">
            <v>5</v>
          </cell>
          <cell r="AY1274">
            <v>5</v>
          </cell>
          <cell r="AZ1274">
            <v>5</v>
          </cell>
          <cell r="BA1274">
            <v>5</v>
          </cell>
          <cell r="BB1274">
            <v>5</v>
          </cell>
          <cell r="BC1274">
            <v>5</v>
          </cell>
          <cell r="BD1274">
            <v>5</v>
          </cell>
          <cell r="BE1274">
            <v>5</v>
          </cell>
          <cell r="BF1274">
            <v>5</v>
          </cell>
          <cell r="BG1274">
            <v>5</v>
          </cell>
          <cell r="BH1274">
            <v>5</v>
          </cell>
          <cell r="BI1274">
            <v>5</v>
          </cell>
          <cell r="BJ1274">
            <v>5</v>
          </cell>
          <cell r="BK1274">
            <v>3</v>
          </cell>
          <cell r="BL1274">
            <v>3</v>
          </cell>
          <cell r="BM1274">
            <v>3</v>
          </cell>
          <cell r="BN1274">
            <v>3</v>
          </cell>
          <cell r="BO1274">
            <v>3</v>
          </cell>
          <cell r="BP1274">
            <v>3</v>
          </cell>
          <cell r="BQ1274">
            <v>3</v>
          </cell>
          <cell r="BR1274">
            <v>3</v>
          </cell>
          <cell r="BS1274">
            <v>3</v>
          </cell>
          <cell r="BT1274">
            <v>3</v>
          </cell>
          <cell r="BU1274">
            <v>3</v>
          </cell>
          <cell r="BV1274">
            <v>3</v>
          </cell>
        </row>
        <row r="1275">
          <cell r="A1275" t="str">
            <v>MMA</v>
          </cell>
          <cell r="B1275" t="str">
            <v>CARRIER</v>
          </cell>
          <cell r="D1275" t="str">
            <v>SHIFT B HC  - operators</v>
          </cell>
          <cell r="Z1275">
            <v>4</v>
          </cell>
          <cell r="AA1275">
            <v>4</v>
          </cell>
          <cell r="AB1275">
            <v>4</v>
          </cell>
          <cell r="AC1275">
            <v>4</v>
          </cell>
          <cell r="AD1275">
            <v>5</v>
          </cell>
          <cell r="AE1275">
            <v>5</v>
          </cell>
          <cell r="AF1275">
            <v>5</v>
          </cell>
          <cell r="AG1275">
            <v>5</v>
          </cell>
          <cell r="AH1275">
            <v>5</v>
          </cell>
          <cell r="AI1275">
            <v>5</v>
          </cell>
          <cell r="AJ1275">
            <v>5</v>
          </cell>
          <cell r="AK1275">
            <v>5</v>
          </cell>
          <cell r="AL1275">
            <v>5</v>
          </cell>
          <cell r="AM1275">
            <v>5</v>
          </cell>
          <cell r="AN1275">
            <v>5</v>
          </cell>
          <cell r="AO1275">
            <v>5</v>
          </cell>
          <cell r="AP1275">
            <v>5</v>
          </cell>
          <cell r="AQ1275">
            <v>5</v>
          </cell>
          <cell r="AR1275">
            <v>5</v>
          </cell>
          <cell r="AS1275">
            <v>5</v>
          </cell>
          <cell r="AT1275">
            <v>5</v>
          </cell>
          <cell r="AU1275">
            <v>5</v>
          </cell>
          <cell r="AV1275">
            <v>5</v>
          </cell>
          <cell r="AW1275">
            <v>5</v>
          </cell>
          <cell r="AX1275">
            <v>5</v>
          </cell>
          <cell r="AY1275">
            <v>5</v>
          </cell>
          <cell r="AZ1275">
            <v>5</v>
          </cell>
          <cell r="BA1275">
            <v>5</v>
          </cell>
          <cell r="BB1275">
            <v>5</v>
          </cell>
          <cell r="BC1275">
            <v>5</v>
          </cell>
          <cell r="BD1275">
            <v>5</v>
          </cell>
          <cell r="BE1275">
            <v>5</v>
          </cell>
          <cell r="BF1275">
            <v>5</v>
          </cell>
          <cell r="BG1275">
            <v>5</v>
          </cell>
          <cell r="BH1275">
            <v>5</v>
          </cell>
          <cell r="BI1275">
            <v>5</v>
          </cell>
          <cell r="BJ1275">
            <v>5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</row>
        <row r="1276">
          <cell r="A1276" t="str">
            <v>MMA</v>
          </cell>
          <cell r="B1276" t="str">
            <v>CARRIER</v>
          </cell>
          <cell r="D1276" t="str">
            <v>SHIFT C HC  - operators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</row>
        <row r="1277">
          <cell r="A1277" t="str">
            <v>MMA</v>
          </cell>
          <cell r="B1277" t="str">
            <v>CARRIER</v>
          </cell>
          <cell r="D1277" t="str">
            <v>Total HC</v>
          </cell>
          <cell r="Z1277">
            <v>8</v>
          </cell>
          <cell r="AA1277">
            <v>8</v>
          </cell>
          <cell r="AB1277">
            <v>8</v>
          </cell>
          <cell r="AC1277">
            <v>8</v>
          </cell>
          <cell r="AD1277">
            <v>10</v>
          </cell>
          <cell r="AE1277">
            <v>10</v>
          </cell>
          <cell r="AF1277">
            <v>10</v>
          </cell>
          <cell r="AG1277">
            <v>10</v>
          </cell>
          <cell r="AH1277">
            <v>10</v>
          </cell>
          <cell r="AI1277">
            <v>10</v>
          </cell>
          <cell r="AJ1277">
            <v>10</v>
          </cell>
          <cell r="AK1277">
            <v>10</v>
          </cell>
          <cell r="AL1277">
            <v>10</v>
          </cell>
          <cell r="AM1277">
            <v>10</v>
          </cell>
          <cell r="AN1277">
            <v>10</v>
          </cell>
          <cell r="AO1277">
            <v>10</v>
          </cell>
          <cell r="AP1277">
            <v>10</v>
          </cell>
          <cell r="AQ1277">
            <v>10</v>
          </cell>
          <cell r="AR1277">
            <v>10</v>
          </cell>
          <cell r="AS1277">
            <v>10</v>
          </cell>
          <cell r="AT1277">
            <v>10</v>
          </cell>
          <cell r="AU1277">
            <v>10</v>
          </cell>
          <cell r="AV1277">
            <v>10</v>
          </cell>
          <cell r="AW1277">
            <v>10</v>
          </cell>
          <cell r="AX1277">
            <v>10</v>
          </cell>
          <cell r="AY1277">
            <v>10</v>
          </cell>
          <cell r="AZ1277">
            <v>10</v>
          </cell>
          <cell r="BA1277">
            <v>10</v>
          </cell>
          <cell r="BB1277">
            <v>10</v>
          </cell>
          <cell r="BC1277">
            <v>10</v>
          </cell>
          <cell r="BD1277">
            <v>10</v>
          </cell>
          <cell r="BE1277">
            <v>10</v>
          </cell>
          <cell r="BF1277">
            <v>10</v>
          </cell>
          <cell r="BG1277">
            <v>10</v>
          </cell>
          <cell r="BH1277">
            <v>10</v>
          </cell>
          <cell r="BI1277">
            <v>10</v>
          </cell>
          <cell r="BJ1277">
            <v>10</v>
          </cell>
          <cell r="BK1277">
            <v>3</v>
          </cell>
          <cell r="BL1277">
            <v>3</v>
          </cell>
          <cell r="BM1277">
            <v>3</v>
          </cell>
          <cell r="BN1277">
            <v>3</v>
          </cell>
          <cell r="BO1277">
            <v>3</v>
          </cell>
          <cell r="BP1277">
            <v>3</v>
          </cell>
          <cell r="BQ1277">
            <v>3</v>
          </cell>
          <cell r="BR1277">
            <v>3</v>
          </cell>
          <cell r="BS1277">
            <v>3</v>
          </cell>
          <cell r="BT1277">
            <v>3</v>
          </cell>
          <cell r="BU1277">
            <v>3</v>
          </cell>
          <cell r="BV1277">
            <v>3</v>
          </cell>
        </row>
        <row r="1278">
          <cell r="A1278" t="str">
            <v>MMA</v>
          </cell>
          <cell r="B1278" t="str">
            <v>CARRIER</v>
          </cell>
          <cell r="D1278" t="str">
            <v>SHIFT A HC  - efficiency</v>
          </cell>
          <cell r="Z1278">
            <v>0.71</v>
          </cell>
          <cell r="AA1278">
            <v>0.71</v>
          </cell>
          <cell r="AB1278">
            <v>0.71</v>
          </cell>
          <cell r="AC1278">
            <v>0.71</v>
          </cell>
          <cell r="AD1278">
            <v>0.71</v>
          </cell>
          <cell r="AE1278">
            <v>0.71</v>
          </cell>
          <cell r="AF1278">
            <v>0.71</v>
          </cell>
          <cell r="AG1278">
            <v>0.71</v>
          </cell>
          <cell r="AH1278">
            <v>0.71</v>
          </cell>
          <cell r="AI1278">
            <v>0.71</v>
          </cell>
          <cell r="AJ1278">
            <v>0.71</v>
          </cell>
          <cell r="AK1278">
            <v>0.71</v>
          </cell>
          <cell r="AL1278">
            <v>0.71</v>
          </cell>
          <cell r="AM1278">
            <v>0.71</v>
          </cell>
          <cell r="AN1278">
            <v>0.71</v>
          </cell>
          <cell r="AO1278">
            <v>0.71</v>
          </cell>
          <cell r="AP1278">
            <v>0.71</v>
          </cell>
          <cell r="AQ1278">
            <v>0.71</v>
          </cell>
          <cell r="AR1278">
            <v>0.71</v>
          </cell>
          <cell r="AS1278">
            <v>0.71</v>
          </cell>
          <cell r="AT1278">
            <v>0.71</v>
          </cell>
          <cell r="AU1278">
            <v>0.71</v>
          </cell>
          <cell r="AV1278">
            <v>0.71</v>
          </cell>
          <cell r="AW1278">
            <v>0.71</v>
          </cell>
          <cell r="AX1278">
            <v>0.71</v>
          </cell>
          <cell r="AY1278">
            <v>0.71</v>
          </cell>
          <cell r="AZ1278">
            <v>0.71</v>
          </cell>
          <cell r="BA1278">
            <v>0.71</v>
          </cell>
          <cell r="BB1278">
            <v>0.71</v>
          </cell>
          <cell r="BC1278">
            <v>0.71</v>
          </cell>
          <cell r="BD1278">
            <v>0.71</v>
          </cell>
          <cell r="BE1278">
            <v>0.71</v>
          </cell>
          <cell r="BF1278">
            <v>0.71</v>
          </cell>
          <cell r="BG1278">
            <v>0.71</v>
          </cell>
          <cell r="BH1278">
            <v>0.71</v>
          </cell>
          <cell r="BI1278">
            <v>0.71</v>
          </cell>
          <cell r="BJ1278">
            <v>0.71</v>
          </cell>
          <cell r="BK1278">
            <v>1.2</v>
          </cell>
          <cell r="BL1278">
            <v>1.2</v>
          </cell>
          <cell r="BM1278">
            <v>1.2</v>
          </cell>
          <cell r="BN1278">
            <v>1.2</v>
          </cell>
          <cell r="BO1278">
            <v>1.2</v>
          </cell>
          <cell r="BP1278">
            <v>1.2</v>
          </cell>
          <cell r="BQ1278">
            <v>1.2</v>
          </cell>
          <cell r="BR1278">
            <v>1.2</v>
          </cell>
          <cell r="BS1278">
            <v>1.2</v>
          </cell>
          <cell r="BT1278">
            <v>1.2</v>
          </cell>
          <cell r="BU1278">
            <v>1.2</v>
          </cell>
          <cell r="BV1278">
            <v>1.2</v>
          </cell>
        </row>
        <row r="1279">
          <cell r="A1279" t="str">
            <v>MMA</v>
          </cell>
          <cell r="B1279" t="str">
            <v>CARRIER</v>
          </cell>
          <cell r="D1279" t="str">
            <v>SHIFT B HC  - efficiency</v>
          </cell>
          <cell r="Z1279">
            <v>0.71</v>
          </cell>
          <cell r="AA1279">
            <v>0.71</v>
          </cell>
          <cell r="AB1279">
            <v>0.71</v>
          </cell>
          <cell r="AC1279">
            <v>0.71</v>
          </cell>
          <cell r="AD1279">
            <v>0.71</v>
          </cell>
          <cell r="AE1279">
            <v>0.71</v>
          </cell>
          <cell r="AF1279">
            <v>0.71</v>
          </cell>
          <cell r="AG1279">
            <v>0.71</v>
          </cell>
          <cell r="AH1279">
            <v>0.71</v>
          </cell>
          <cell r="AI1279">
            <v>0.71</v>
          </cell>
          <cell r="AJ1279">
            <v>0.71</v>
          </cell>
          <cell r="AK1279">
            <v>0.71</v>
          </cell>
          <cell r="AL1279">
            <v>0.71</v>
          </cell>
          <cell r="AM1279">
            <v>0.71</v>
          </cell>
          <cell r="AN1279">
            <v>0.71</v>
          </cell>
          <cell r="AO1279">
            <v>0.71</v>
          </cell>
          <cell r="AP1279">
            <v>0.71</v>
          </cell>
          <cell r="AQ1279">
            <v>0.71</v>
          </cell>
          <cell r="AR1279">
            <v>0.71</v>
          </cell>
          <cell r="AS1279">
            <v>0.71</v>
          </cell>
          <cell r="AT1279">
            <v>0.71</v>
          </cell>
          <cell r="AU1279">
            <v>0.71</v>
          </cell>
          <cell r="AV1279">
            <v>0.71</v>
          </cell>
          <cell r="AW1279">
            <v>0.71</v>
          </cell>
          <cell r="AX1279">
            <v>0.71</v>
          </cell>
          <cell r="AY1279">
            <v>0.71</v>
          </cell>
          <cell r="AZ1279">
            <v>0.71</v>
          </cell>
          <cell r="BA1279">
            <v>0.71</v>
          </cell>
          <cell r="BB1279">
            <v>0.71</v>
          </cell>
          <cell r="BC1279">
            <v>0.71</v>
          </cell>
          <cell r="BD1279">
            <v>0.71</v>
          </cell>
          <cell r="BE1279">
            <v>0.71</v>
          </cell>
          <cell r="BF1279">
            <v>0.71</v>
          </cell>
          <cell r="BG1279">
            <v>0.71</v>
          </cell>
          <cell r="BH1279">
            <v>0.71</v>
          </cell>
          <cell r="BI1279">
            <v>0.71</v>
          </cell>
          <cell r="BJ1279">
            <v>0.71</v>
          </cell>
          <cell r="BK1279">
            <v>1</v>
          </cell>
          <cell r="BL1279">
            <v>1</v>
          </cell>
          <cell r="BM1279">
            <v>1</v>
          </cell>
          <cell r="BN1279">
            <v>1</v>
          </cell>
          <cell r="BO1279">
            <v>1</v>
          </cell>
          <cell r="BP1279">
            <v>1</v>
          </cell>
          <cell r="BQ1279">
            <v>1</v>
          </cell>
          <cell r="BR1279">
            <v>1</v>
          </cell>
          <cell r="BS1279">
            <v>1</v>
          </cell>
          <cell r="BT1279">
            <v>1</v>
          </cell>
          <cell r="BU1279">
            <v>1</v>
          </cell>
          <cell r="BV1279">
            <v>1</v>
          </cell>
        </row>
        <row r="1280">
          <cell r="A1280" t="str">
            <v>MMA</v>
          </cell>
          <cell r="B1280" t="str">
            <v>CARRIER</v>
          </cell>
          <cell r="D1280" t="str">
            <v>SHIFT C HC  - efficiency</v>
          </cell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>
            <v>1</v>
          </cell>
          <cell r="BL1280">
            <v>1</v>
          </cell>
          <cell r="BM1280">
            <v>1</v>
          </cell>
          <cell r="BN1280">
            <v>1</v>
          </cell>
          <cell r="BO1280">
            <v>1</v>
          </cell>
          <cell r="BP1280">
            <v>1</v>
          </cell>
          <cell r="BQ1280">
            <v>1</v>
          </cell>
          <cell r="BR1280">
            <v>1</v>
          </cell>
          <cell r="BS1280">
            <v>1</v>
          </cell>
          <cell r="BT1280">
            <v>1</v>
          </cell>
          <cell r="BU1280">
            <v>1</v>
          </cell>
          <cell r="BV1280">
            <v>1</v>
          </cell>
        </row>
        <row r="1281">
          <cell r="A1281" t="str">
            <v>MMA</v>
          </cell>
          <cell r="B1281" t="str">
            <v>CARRIER</v>
          </cell>
          <cell r="D1281" t="str">
            <v>Total efficiency</v>
          </cell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</row>
        <row r="1282">
          <cell r="A1282" t="str">
            <v>MMA</v>
          </cell>
          <cell r="B1282" t="str">
            <v>CARRIER</v>
          </cell>
          <cell r="D1282" t="str">
            <v>SHIFT A - output</v>
          </cell>
          <cell r="Z1282">
            <v>443.75</v>
          </cell>
          <cell r="AA1282">
            <v>443.75</v>
          </cell>
          <cell r="AB1282">
            <v>443.75</v>
          </cell>
          <cell r="AC1282">
            <v>443.75</v>
          </cell>
          <cell r="AD1282">
            <v>554.6875</v>
          </cell>
          <cell r="AE1282">
            <v>554.6875</v>
          </cell>
          <cell r="AF1282">
            <v>554.6875</v>
          </cell>
          <cell r="AG1282">
            <v>554.6875</v>
          </cell>
          <cell r="AH1282">
            <v>554.6875</v>
          </cell>
          <cell r="AI1282">
            <v>554.6875</v>
          </cell>
          <cell r="AJ1282">
            <v>554.6875</v>
          </cell>
          <cell r="AK1282">
            <v>554.6875</v>
          </cell>
          <cell r="AL1282">
            <v>554.6875</v>
          </cell>
          <cell r="AM1282">
            <v>554.6875</v>
          </cell>
          <cell r="AN1282">
            <v>554.6875</v>
          </cell>
          <cell r="AO1282">
            <v>554.6875</v>
          </cell>
          <cell r="AP1282">
            <v>554.6875</v>
          </cell>
          <cell r="AQ1282">
            <v>554.6875</v>
          </cell>
          <cell r="AR1282">
            <v>554.6875</v>
          </cell>
          <cell r="AS1282">
            <v>554.6875</v>
          </cell>
          <cell r="AT1282">
            <v>554.6875</v>
          </cell>
          <cell r="AU1282">
            <v>554.6875</v>
          </cell>
          <cell r="AV1282">
            <v>554.6875</v>
          </cell>
          <cell r="AW1282">
            <v>554.6875</v>
          </cell>
          <cell r="AX1282">
            <v>554.6875</v>
          </cell>
          <cell r="AY1282">
            <v>554.6875</v>
          </cell>
          <cell r="AZ1282">
            <v>554.6875</v>
          </cell>
          <cell r="BA1282">
            <v>554.6875</v>
          </cell>
          <cell r="BB1282">
            <v>554.6875</v>
          </cell>
          <cell r="BC1282">
            <v>554.6875</v>
          </cell>
          <cell r="BD1282">
            <v>554.6875</v>
          </cell>
          <cell r="BE1282">
            <v>554.6875</v>
          </cell>
          <cell r="BF1282">
            <v>554.6875</v>
          </cell>
          <cell r="BG1282">
            <v>554.6875</v>
          </cell>
          <cell r="BH1282">
            <v>554.6875</v>
          </cell>
          <cell r="BI1282">
            <v>554.6875</v>
          </cell>
          <cell r="BJ1282">
            <v>554.6875</v>
          </cell>
          <cell r="BK1282">
            <v>318.27111984282908</v>
          </cell>
          <cell r="BL1282">
            <v>318.27111984282908</v>
          </cell>
          <cell r="BM1282">
            <v>318.27111984282908</v>
          </cell>
          <cell r="BN1282">
            <v>318.27111984282908</v>
          </cell>
          <cell r="BO1282">
            <v>318.27111984282908</v>
          </cell>
          <cell r="BP1282">
            <v>318.27111984282908</v>
          </cell>
          <cell r="BQ1282">
            <v>318.27111984282908</v>
          </cell>
          <cell r="BR1282">
            <v>318.27111984282908</v>
          </cell>
          <cell r="BS1282">
            <v>318.27111984282908</v>
          </cell>
          <cell r="BT1282">
            <v>318.27111984282908</v>
          </cell>
          <cell r="BU1282">
            <v>318.27111984282908</v>
          </cell>
          <cell r="BV1282">
            <v>318.27111984282908</v>
          </cell>
        </row>
        <row r="1283">
          <cell r="A1283" t="str">
            <v>MMA</v>
          </cell>
          <cell r="B1283" t="str">
            <v>CARRIER</v>
          </cell>
          <cell r="D1283" t="str">
            <v>SHIFT B  - output</v>
          </cell>
          <cell r="Z1283">
            <v>443.75</v>
          </cell>
          <cell r="AA1283">
            <v>443.75</v>
          </cell>
          <cell r="AB1283">
            <v>443.75</v>
          </cell>
          <cell r="AC1283">
            <v>443.75</v>
          </cell>
          <cell r="AD1283">
            <v>554.6875</v>
          </cell>
          <cell r="AE1283">
            <v>554.6875</v>
          </cell>
          <cell r="AF1283">
            <v>554.6875</v>
          </cell>
          <cell r="AG1283">
            <v>554.6875</v>
          </cell>
          <cell r="AH1283">
            <v>554.6875</v>
          </cell>
          <cell r="AI1283">
            <v>554.6875</v>
          </cell>
          <cell r="AJ1283">
            <v>554.6875</v>
          </cell>
          <cell r="AK1283">
            <v>554.6875</v>
          </cell>
          <cell r="AL1283">
            <v>554.6875</v>
          </cell>
          <cell r="AM1283">
            <v>554.6875</v>
          </cell>
          <cell r="AN1283">
            <v>554.6875</v>
          </cell>
          <cell r="AO1283">
            <v>554.6875</v>
          </cell>
          <cell r="AP1283">
            <v>554.6875</v>
          </cell>
          <cell r="AQ1283">
            <v>554.6875</v>
          </cell>
          <cell r="AR1283">
            <v>554.6875</v>
          </cell>
          <cell r="AS1283">
            <v>554.6875</v>
          </cell>
          <cell r="AT1283">
            <v>554.6875</v>
          </cell>
          <cell r="AU1283">
            <v>554.6875</v>
          </cell>
          <cell r="AV1283">
            <v>554.6875</v>
          </cell>
          <cell r="AW1283">
            <v>554.6875</v>
          </cell>
          <cell r="AX1283">
            <v>554.6875</v>
          </cell>
          <cell r="AY1283">
            <v>554.6875</v>
          </cell>
          <cell r="AZ1283">
            <v>554.6875</v>
          </cell>
          <cell r="BA1283">
            <v>554.6875</v>
          </cell>
          <cell r="BB1283">
            <v>554.6875</v>
          </cell>
          <cell r="BC1283">
            <v>554.6875</v>
          </cell>
          <cell r="BD1283">
            <v>554.6875</v>
          </cell>
          <cell r="BE1283">
            <v>554.6875</v>
          </cell>
          <cell r="BF1283">
            <v>554.6875</v>
          </cell>
          <cell r="BG1283">
            <v>554.6875</v>
          </cell>
          <cell r="BH1283">
            <v>554.6875</v>
          </cell>
          <cell r="BI1283">
            <v>554.6875</v>
          </cell>
          <cell r="BJ1283">
            <v>554.6875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</row>
        <row r="1284">
          <cell r="A1284" t="str">
            <v>MMA</v>
          </cell>
          <cell r="B1284" t="str">
            <v>CARRIER</v>
          </cell>
          <cell r="D1284" t="str">
            <v>SHIFT C  - output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</row>
        <row r="1285">
          <cell r="A1285" t="str">
            <v>MMA</v>
          </cell>
          <cell r="B1285" t="str">
            <v>CARRIER</v>
          </cell>
          <cell r="D1285" t="str">
            <v>Est. Output (Pcs day)</v>
          </cell>
          <cell r="E1285">
            <v>2.88</v>
          </cell>
          <cell r="Z1285">
            <v>887.5</v>
          </cell>
          <cell r="AA1285">
            <v>887.5</v>
          </cell>
          <cell r="AB1285">
            <v>887.5</v>
          </cell>
          <cell r="AC1285">
            <v>887.5</v>
          </cell>
          <cell r="AD1285">
            <v>1109.375</v>
          </cell>
          <cell r="AE1285">
            <v>1109.375</v>
          </cell>
          <cell r="AF1285">
            <v>1109.375</v>
          </cell>
          <cell r="AG1285">
            <v>1109.375</v>
          </cell>
          <cell r="AH1285">
            <v>1109.375</v>
          </cell>
          <cell r="AI1285">
            <v>1109.375</v>
          </cell>
          <cell r="AJ1285">
            <v>1109.375</v>
          </cell>
          <cell r="AK1285">
            <v>1109.375</v>
          </cell>
          <cell r="AL1285">
            <v>1109.375</v>
          </cell>
          <cell r="AM1285">
            <v>1109.375</v>
          </cell>
          <cell r="AN1285">
            <v>1109.375</v>
          </cell>
          <cell r="AO1285">
            <v>1109.375</v>
          </cell>
          <cell r="AP1285">
            <v>1109.375</v>
          </cell>
          <cell r="AQ1285">
            <v>1109.375</v>
          </cell>
          <cell r="AR1285">
            <v>1109.375</v>
          </cell>
          <cell r="AS1285">
            <v>1109.375</v>
          </cell>
          <cell r="AT1285">
            <v>1109.375</v>
          </cell>
          <cell r="AU1285">
            <v>1109.375</v>
          </cell>
          <cell r="AV1285">
            <v>1109.375</v>
          </cell>
          <cell r="AW1285">
            <v>1109.375</v>
          </cell>
          <cell r="AX1285">
            <v>1109.375</v>
          </cell>
          <cell r="AY1285">
            <v>1109.375</v>
          </cell>
          <cell r="AZ1285">
            <v>1109.375</v>
          </cell>
          <cell r="BA1285">
            <v>1109.375</v>
          </cell>
          <cell r="BB1285">
            <v>1109.375</v>
          </cell>
          <cell r="BC1285">
            <v>1109.375</v>
          </cell>
          <cell r="BD1285">
            <v>1109.375</v>
          </cell>
          <cell r="BE1285">
            <v>1109.375</v>
          </cell>
          <cell r="BF1285">
            <v>1109.375</v>
          </cell>
          <cell r="BG1285">
            <v>1109.375</v>
          </cell>
          <cell r="BH1285">
            <v>1109.375</v>
          </cell>
          <cell r="BI1285">
            <v>1109.375</v>
          </cell>
          <cell r="BJ1285">
            <v>1109.375</v>
          </cell>
          <cell r="BK1285">
            <v>318.27111984282908</v>
          </cell>
          <cell r="BL1285">
            <v>318.27111984282908</v>
          </cell>
          <cell r="BM1285">
            <v>318.27111984282908</v>
          </cell>
          <cell r="BN1285">
            <v>318.27111984282908</v>
          </cell>
          <cell r="BO1285">
            <v>318.27111984282908</v>
          </cell>
          <cell r="BP1285">
            <v>318.27111984282908</v>
          </cell>
          <cell r="BQ1285">
            <v>318.27111984282908</v>
          </cell>
          <cell r="BR1285">
            <v>318.27111984282908</v>
          </cell>
          <cell r="BS1285">
            <v>318.27111984282908</v>
          </cell>
          <cell r="BT1285">
            <v>318.27111984282908</v>
          </cell>
          <cell r="BU1285">
            <v>318.27111984282908</v>
          </cell>
          <cell r="BV1285">
            <v>318.27111984282908</v>
          </cell>
        </row>
        <row r="1286">
          <cell r="A1286" t="str">
            <v>MMA</v>
          </cell>
          <cell r="B1286" t="str">
            <v>CARRIER</v>
          </cell>
          <cell r="D1286" t="str">
            <v>Weekly Output PLAN</v>
          </cell>
          <cell r="E1286" t="str">
            <v>ASSY</v>
          </cell>
          <cell r="Z1286">
            <v>4437.5</v>
          </cell>
          <cell r="AA1286">
            <v>4437.5</v>
          </cell>
          <cell r="AB1286">
            <v>4437.5</v>
          </cell>
          <cell r="AC1286">
            <v>4437.5</v>
          </cell>
          <cell r="AD1286">
            <v>3328.125</v>
          </cell>
          <cell r="AE1286">
            <v>5546.875</v>
          </cell>
          <cell r="AF1286">
            <v>5546.875</v>
          </cell>
          <cell r="AG1286">
            <v>5546.875</v>
          </cell>
          <cell r="AH1286">
            <v>5546.875</v>
          </cell>
          <cell r="AI1286">
            <v>5546.875</v>
          </cell>
          <cell r="AJ1286">
            <v>5546.875</v>
          </cell>
          <cell r="AK1286">
            <v>4437.5</v>
          </cell>
          <cell r="AL1286">
            <v>4437.5</v>
          </cell>
          <cell r="AM1286">
            <v>5546.875</v>
          </cell>
          <cell r="AN1286">
            <v>4437.5</v>
          </cell>
          <cell r="AO1286">
            <v>5546.875</v>
          </cell>
          <cell r="AP1286">
            <v>5546.875</v>
          </cell>
          <cell r="AQ1286">
            <v>5546.875</v>
          </cell>
          <cell r="AR1286">
            <v>5546.875</v>
          </cell>
          <cell r="AS1286">
            <v>5546.875</v>
          </cell>
          <cell r="AT1286">
            <v>5546.875</v>
          </cell>
          <cell r="AU1286">
            <v>5546.875</v>
          </cell>
          <cell r="AV1286">
            <v>5546.875</v>
          </cell>
          <cell r="AW1286">
            <v>5546.875</v>
          </cell>
          <cell r="AX1286">
            <v>5546.875</v>
          </cell>
          <cell r="AY1286">
            <v>5546.875</v>
          </cell>
          <cell r="AZ1286">
            <v>0</v>
          </cell>
          <cell r="BA1286">
            <v>0</v>
          </cell>
          <cell r="BB1286">
            <v>5546.875</v>
          </cell>
          <cell r="BC1286">
            <v>5546.875</v>
          </cell>
          <cell r="BD1286">
            <v>5546.875</v>
          </cell>
          <cell r="BE1286">
            <v>5546.875</v>
          </cell>
          <cell r="BF1286">
            <v>5546.875</v>
          </cell>
          <cell r="BG1286">
            <v>5546.875</v>
          </cell>
          <cell r="BH1286">
            <v>5546.875</v>
          </cell>
          <cell r="BI1286">
            <v>5546.875</v>
          </cell>
          <cell r="BJ1286">
            <v>5546.875</v>
          </cell>
          <cell r="BK1286">
            <v>1591.3555992141455</v>
          </cell>
          <cell r="BL1286">
            <v>954.81335952848724</v>
          </cell>
          <cell r="BM1286">
            <v>954.81335952848724</v>
          </cell>
          <cell r="BN1286">
            <v>954.81335952848724</v>
          </cell>
          <cell r="BO1286">
            <v>954.81335952848724</v>
          </cell>
          <cell r="BP1286">
            <v>954.81335952848724</v>
          </cell>
          <cell r="BQ1286">
            <v>954.81335952848724</v>
          </cell>
          <cell r="BR1286">
            <v>954.81335952848724</v>
          </cell>
          <cell r="BS1286">
            <v>954.81335952848724</v>
          </cell>
          <cell r="BT1286">
            <v>954.81335952848724</v>
          </cell>
          <cell r="BU1286">
            <v>954.81335952848724</v>
          </cell>
          <cell r="BV1286">
            <v>954.81335952848724</v>
          </cell>
        </row>
        <row r="1287">
          <cell r="A1287" t="str">
            <v>MMA</v>
          </cell>
          <cell r="B1287" t="str">
            <v>CARRIER</v>
          </cell>
          <cell r="D1287" t="str">
            <v>Carrier</v>
          </cell>
          <cell r="E1287">
            <v>2.88</v>
          </cell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</row>
        <row r="1288">
          <cell r="A1288" t="str">
            <v>MMA</v>
          </cell>
          <cell r="B1288" t="str">
            <v>CARRIER</v>
          </cell>
          <cell r="D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</row>
        <row r="1289">
          <cell r="A1289" t="str">
            <v>MMA</v>
          </cell>
          <cell r="B1289" t="str">
            <v>CARRIER</v>
          </cell>
          <cell r="D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</row>
        <row r="1290">
          <cell r="A1290" t="str">
            <v>MMA</v>
          </cell>
          <cell r="B1290" t="str">
            <v>CARRIER</v>
          </cell>
          <cell r="D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</row>
        <row r="1291">
          <cell r="A1291" t="str">
            <v>MMA</v>
          </cell>
          <cell r="B1291" t="str">
            <v>CARRIER</v>
          </cell>
          <cell r="D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</row>
        <row r="1292">
          <cell r="A1292" t="str">
            <v>MMA</v>
          </cell>
          <cell r="B1292" t="str">
            <v>CARRIER</v>
          </cell>
          <cell r="D1292" t="str">
            <v>Weekly Output PLAN - SUM of models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</row>
        <row r="1293">
          <cell r="A1293" t="str">
            <v>MMA</v>
          </cell>
          <cell r="B1293" t="str">
            <v>CARRIER</v>
          </cell>
          <cell r="D1293" t="str">
            <v>Weekly Output CHECK with TO time multiple</v>
          </cell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</row>
        <row r="1294">
          <cell r="A1294" t="str">
            <v>MMA</v>
          </cell>
          <cell r="B1294" t="str">
            <v>CARRIER</v>
          </cell>
          <cell r="D1294" t="str">
            <v>Weekly Output ACT</v>
          </cell>
          <cell r="Z1294">
            <v>4437.5</v>
          </cell>
          <cell r="AA1294">
            <v>4437.5</v>
          </cell>
          <cell r="AB1294">
            <v>4437.5</v>
          </cell>
          <cell r="AC1294">
            <v>4437.5</v>
          </cell>
          <cell r="AD1294">
            <v>3328.125</v>
          </cell>
          <cell r="AE1294">
            <v>5546.875</v>
          </cell>
          <cell r="AF1294">
            <v>5546.875</v>
          </cell>
          <cell r="AG1294">
            <v>5546.875</v>
          </cell>
          <cell r="AH1294">
            <v>5546.875</v>
          </cell>
          <cell r="AI1294">
            <v>5546.875</v>
          </cell>
          <cell r="AJ1294">
            <v>5546.875</v>
          </cell>
          <cell r="AK1294">
            <v>4437.5</v>
          </cell>
          <cell r="AL1294">
            <v>4437.5</v>
          </cell>
          <cell r="AM1294">
            <v>5546.875</v>
          </cell>
          <cell r="AN1294">
            <v>4437.5</v>
          </cell>
          <cell r="AO1294">
            <v>5546.875</v>
          </cell>
          <cell r="AP1294">
            <v>5546.875</v>
          </cell>
          <cell r="AQ1294">
            <v>5546.875</v>
          </cell>
          <cell r="AR1294">
            <v>5546.875</v>
          </cell>
          <cell r="AS1294">
            <v>5546.875</v>
          </cell>
          <cell r="AT1294">
            <v>5546.875</v>
          </cell>
          <cell r="AU1294">
            <v>5546.875</v>
          </cell>
          <cell r="AV1294">
            <v>5546.875</v>
          </cell>
          <cell r="AW1294">
            <v>5546.875</v>
          </cell>
          <cell r="AX1294">
            <v>5546.875</v>
          </cell>
          <cell r="AY1294">
            <v>5546.875</v>
          </cell>
          <cell r="AZ1294">
            <v>0</v>
          </cell>
          <cell r="BA1294">
            <v>0</v>
          </cell>
          <cell r="BB1294">
            <v>5546.875</v>
          </cell>
          <cell r="BC1294">
            <v>5546.875</v>
          </cell>
          <cell r="BD1294">
            <v>5546.875</v>
          </cell>
          <cell r="BE1294">
            <v>5546.875</v>
          </cell>
          <cell r="BF1294">
            <v>5546.875</v>
          </cell>
          <cell r="BG1294">
            <v>5546.875</v>
          </cell>
          <cell r="BH1294">
            <v>5546.875</v>
          </cell>
          <cell r="BI1294">
            <v>5546.875</v>
          </cell>
          <cell r="BJ1294">
            <v>5546.875</v>
          </cell>
          <cell r="BK1294">
            <v>1591.3555992141455</v>
          </cell>
          <cell r="BL1294">
            <v>954.81335952848724</v>
          </cell>
          <cell r="BM1294">
            <v>954.81335952848724</v>
          </cell>
          <cell r="BN1294">
            <v>954.81335952848724</v>
          </cell>
          <cell r="BO1294">
            <v>954.81335952848724</v>
          </cell>
          <cell r="BP1294">
            <v>954.81335952848724</v>
          </cell>
          <cell r="BQ1294">
            <v>954.81335952848724</v>
          </cell>
          <cell r="BR1294">
            <v>954.81335952848724</v>
          </cell>
          <cell r="BS1294">
            <v>954.81335952848724</v>
          </cell>
          <cell r="BT1294">
            <v>954.81335952848724</v>
          </cell>
          <cell r="BU1294">
            <v>954.81335952848724</v>
          </cell>
          <cell r="BV1294">
            <v>954.81335952848724</v>
          </cell>
        </row>
        <row r="1295">
          <cell r="A1295" t="str">
            <v>MMA</v>
          </cell>
          <cell r="B1295" t="str">
            <v>CARRIER</v>
          </cell>
          <cell r="D1295" t="str">
            <v>Carrier</v>
          </cell>
          <cell r="Z1295">
            <v>7020</v>
          </cell>
          <cell r="AA1295">
            <v>2700</v>
          </cell>
          <cell r="AB1295">
            <v>6300</v>
          </cell>
          <cell r="AC1295">
            <v>5760</v>
          </cell>
          <cell r="AD1295">
            <v>5114</v>
          </cell>
          <cell r="AE1295">
            <v>5766</v>
          </cell>
          <cell r="AF1295">
            <v>6442</v>
          </cell>
          <cell r="AG1295">
            <v>5392</v>
          </cell>
          <cell r="AH1295">
            <v>8212</v>
          </cell>
          <cell r="AI1295">
            <v>5254</v>
          </cell>
          <cell r="AJ1295">
            <v>2954</v>
          </cell>
          <cell r="AK1295">
            <v>4854</v>
          </cell>
          <cell r="AL1295">
            <v>4406</v>
          </cell>
          <cell r="AM1295">
            <v>4494</v>
          </cell>
          <cell r="AN1295">
            <v>4516</v>
          </cell>
          <cell r="AO1295">
            <v>4371</v>
          </cell>
          <cell r="AP1295">
            <v>4371</v>
          </cell>
          <cell r="AQ1295">
            <v>3829</v>
          </cell>
          <cell r="AR1295">
            <v>19920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18540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</row>
        <row r="1296">
          <cell r="A1296" t="str">
            <v>MMA</v>
          </cell>
          <cell r="B1296" t="str">
            <v>CARRIER</v>
          </cell>
          <cell r="D1296">
            <v>0</v>
          </cell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</row>
        <row r="1297">
          <cell r="A1297" t="str">
            <v>MMA</v>
          </cell>
          <cell r="B1297" t="str">
            <v>CARRIER</v>
          </cell>
          <cell r="D1297">
            <v>0</v>
          </cell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</row>
        <row r="1298">
          <cell r="A1298" t="str">
            <v>MMA</v>
          </cell>
          <cell r="B1298" t="str">
            <v>CARRIER</v>
          </cell>
          <cell r="D1298">
            <v>0</v>
          </cell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</row>
        <row r="1299">
          <cell r="A1299" t="str">
            <v>MMA</v>
          </cell>
          <cell r="B1299" t="str">
            <v>CARRIER</v>
          </cell>
          <cell r="D1299">
            <v>0</v>
          </cell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</row>
        <row r="1300">
          <cell r="A1300" t="str">
            <v>MMA</v>
          </cell>
          <cell r="B1300" t="str">
            <v>CARRIER</v>
          </cell>
          <cell r="D1300" t="str">
            <v>Weekly demand</v>
          </cell>
          <cell r="Z1300">
            <v>7020</v>
          </cell>
          <cell r="AA1300">
            <v>2700</v>
          </cell>
          <cell r="AB1300">
            <v>6300</v>
          </cell>
          <cell r="AC1300">
            <v>5760</v>
          </cell>
          <cell r="AD1300">
            <v>5114</v>
          </cell>
          <cell r="AE1300">
            <v>5766</v>
          </cell>
          <cell r="AF1300">
            <v>6442</v>
          </cell>
          <cell r="AG1300">
            <v>5392</v>
          </cell>
          <cell r="AH1300">
            <v>8212</v>
          </cell>
          <cell r="AI1300">
            <v>5254</v>
          </cell>
          <cell r="AJ1300">
            <v>2954</v>
          </cell>
          <cell r="AK1300">
            <v>4854</v>
          </cell>
          <cell r="AL1300">
            <v>4406</v>
          </cell>
          <cell r="AM1300">
            <v>4494</v>
          </cell>
          <cell r="AN1300">
            <v>4516</v>
          </cell>
          <cell r="AO1300">
            <v>4371</v>
          </cell>
          <cell r="AP1300">
            <v>4371</v>
          </cell>
          <cell r="AQ1300">
            <v>3829</v>
          </cell>
          <cell r="AR1300">
            <v>19920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18540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4058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</row>
        <row r="1301">
          <cell r="A1301" t="str">
            <v>MMA</v>
          </cell>
          <cell r="B1301" t="str">
            <v>CARRIER</v>
          </cell>
          <cell r="D1301" t="str">
            <v>Stock Target</v>
          </cell>
          <cell r="Z1301">
            <v>1800</v>
          </cell>
          <cell r="AA1301">
            <v>1800</v>
          </cell>
          <cell r="AB1301">
            <v>1800</v>
          </cell>
          <cell r="AC1301">
            <v>1800</v>
          </cell>
          <cell r="AD1301">
            <v>1800</v>
          </cell>
          <cell r="AE1301">
            <v>1800</v>
          </cell>
          <cell r="AF1301">
            <v>1800</v>
          </cell>
          <cell r="AG1301">
            <v>1800</v>
          </cell>
          <cell r="AH1301">
            <v>1800</v>
          </cell>
          <cell r="AI1301">
            <v>1800</v>
          </cell>
          <cell r="AJ1301">
            <v>2528</v>
          </cell>
          <cell r="AK1301">
            <v>2529</v>
          </cell>
          <cell r="AL1301">
            <v>2530</v>
          </cell>
          <cell r="AM1301">
            <v>2531</v>
          </cell>
          <cell r="AN1301">
            <v>2532</v>
          </cell>
          <cell r="AO1301">
            <v>2533</v>
          </cell>
          <cell r="AP1301">
            <v>2534</v>
          </cell>
          <cell r="AQ1301">
            <v>2535</v>
          </cell>
          <cell r="AR1301">
            <v>2536</v>
          </cell>
          <cell r="AS1301">
            <v>2537</v>
          </cell>
          <cell r="AT1301">
            <v>2538</v>
          </cell>
          <cell r="AU1301">
            <v>2539</v>
          </cell>
          <cell r="AV1301">
            <v>2540</v>
          </cell>
          <cell r="AW1301">
            <v>2541</v>
          </cell>
          <cell r="AX1301">
            <v>2542</v>
          </cell>
          <cell r="AY1301">
            <v>2543</v>
          </cell>
          <cell r="AZ1301">
            <v>2544</v>
          </cell>
          <cell r="BA1301">
            <v>2545</v>
          </cell>
          <cell r="BB1301">
            <v>2546</v>
          </cell>
          <cell r="BC1301">
            <v>2547</v>
          </cell>
          <cell r="BD1301">
            <v>2548</v>
          </cell>
          <cell r="BE1301">
            <v>2549</v>
          </cell>
          <cell r="BF1301">
            <v>2550</v>
          </cell>
          <cell r="BG1301">
            <v>2551</v>
          </cell>
          <cell r="BH1301">
            <v>2552</v>
          </cell>
          <cell r="BI1301">
            <v>2553</v>
          </cell>
          <cell r="BJ1301">
            <v>2554</v>
          </cell>
          <cell r="BK1301">
            <v>2555</v>
          </cell>
          <cell r="BL1301">
            <v>2556</v>
          </cell>
          <cell r="BM1301">
            <v>2557</v>
          </cell>
          <cell r="BN1301">
            <v>2558</v>
          </cell>
          <cell r="BO1301">
            <v>2559</v>
          </cell>
          <cell r="BP1301">
            <v>2560</v>
          </cell>
          <cell r="BQ1301">
            <v>2561</v>
          </cell>
          <cell r="BR1301">
            <v>2562</v>
          </cell>
          <cell r="BS1301">
            <v>2563</v>
          </cell>
          <cell r="BT1301">
            <v>2564</v>
          </cell>
          <cell r="BU1301">
            <v>2565</v>
          </cell>
          <cell r="BV1301">
            <v>2566</v>
          </cell>
        </row>
        <row r="1302">
          <cell r="A1302" t="str">
            <v>MMA</v>
          </cell>
          <cell r="B1302" t="str">
            <v>CARRIER</v>
          </cell>
          <cell r="D1302" t="str">
            <v>Carrier</v>
          </cell>
          <cell r="Z1302">
            <v>10080</v>
          </cell>
          <cell r="AA1302">
            <v>7380</v>
          </cell>
          <cell r="AB1302">
            <v>1080</v>
          </cell>
          <cell r="AC1302">
            <v>-4680</v>
          </cell>
          <cell r="AD1302">
            <v>-9794</v>
          </cell>
          <cell r="AE1302">
            <v>-15560</v>
          </cell>
          <cell r="AF1302">
            <v>-22002</v>
          </cell>
          <cell r="AG1302">
            <v>-27394</v>
          </cell>
          <cell r="AH1302">
            <v>-35606</v>
          </cell>
          <cell r="AI1302">
            <v>-40860</v>
          </cell>
          <cell r="AJ1302">
            <v>-43814</v>
          </cell>
          <cell r="AK1302">
            <v>-48668</v>
          </cell>
          <cell r="AL1302">
            <v>-53074</v>
          </cell>
          <cell r="AM1302">
            <v>-57568</v>
          </cell>
          <cell r="AN1302">
            <v>-62084</v>
          </cell>
          <cell r="AO1302">
            <v>-66455</v>
          </cell>
          <cell r="AP1302">
            <v>-70826</v>
          </cell>
          <cell r="AQ1302">
            <v>-74655</v>
          </cell>
          <cell r="AR1302">
            <v>-94575</v>
          </cell>
          <cell r="AS1302">
            <v>-94575</v>
          </cell>
          <cell r="AT1302">
            <v>-94575</v>
          </cell>
          <cell r="AU1302">
            <v>-94575</v>
          </cell>
          <cell r="AV1302">
            <v>-94575</v>
          </cell>
          <cell r="AW1302">
            <v>-113115</v>
          </cell>
          <cell r="AX1302">
            <v>-113115</v>
          </cell>
          <cell r="AY1302">
            <v>-113115</v>
          </cell>
          <cell r="AZ1302">
            <v>-113115</v>
          </cell>
          <cell r="BA1302">
            <v>-113115</v>
          </cell>
          <cell r="BB1302">
            <v>-113115</v>
          </cell>
          <cell r="BC1302">
            <v>-113115</v>
          </cell>
          <cell r="BD1302">
            <v>-113115</v>
          </cell>
          <cell r="BE1302">
            <v>-113115</v>
          </cell>
          <cell r="BF1302">
            <v>-113115</v>
          </cell>
          <cell r="BG1302">
            <v>-113115</v>
          </cell>
          <cell r="BH1302">
            <v>-113115</v>
          </cell>
          <cell r="BI1302">
            <v>-113115</v>
          </cell>
          <cell r="BJ1302">
            <v>-113115</v>
          </cell>
          <cell r="BK1302">
            <v>-113115</v>
          </cell>
          <cell r="BL1302">
            <v>-113115</v>
          </cell>
          <cell r="BM1302">
            <v>-113115</v>
          </cell>
          <cell r="BN1302">
            <v>-113115</v>
          </cell>
          <cell r="BO1302">
            <v>-113115</v>
          </cell>
          <cell r="BP1302">
            <v>-113115</v>
          </cell>
          <cell r="BQ1302">
            <v>-113115</v>
          </cell>
          <cell r="BR1302">
            <v>-113115</v>
          </cell>
          <cell r="BS1302">
            <v>-113115</v>
          </cell>
          <cell r="BT1302">
            <v>-113115</v>
          </cell>
          <cell r="BU1302">
            <v>-113115</v>
          </cell>
          <cell r="BV1302">
            <v>-113115</v>
          </cell>
        </row>
        <row r="1303">
          <cell r="A1303" t="str">
            <v>MMA</v>
          </cell>
          <cell r="B1303" t="str">
            <v>CARRIER</v>
          </cell>
          <cell r="D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</row>
        <row r="1304">
          <cell r="A1304" t="str">
            <v>MMA</v>
          </cell>
          <cell r="B1304" t="str">
            <v>CARRIER</v>
          </cell>
          <cell r="D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</row>
        <row r="1305">
          <cell r="A1305" t="str">
            <v>MMA</v>
          </cell>
          <cell r="B1305" t="str">
            <v>CARRIER</v>
          </cell>
          <cell r="D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</row>
        <row r="1306">
          <cell r="A1306" t="str">
            <v>MMA</v>
          </cell>
          <cell r="B1306" t="str">
            <v>CARRIER</v>
          </cell>
          <cell r="D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</row>
        <row r="1307">
          <cell r="A1307" t="str">
            <v>MMA</v>
          </cell>
          <cell r="B1307" t="str">
            <v>CARRIER</v>
          </cell>
          <cell r="D1307" t="str">
            <v>STOCK</v>
          </cell>
          <cell r="Z1307">
            <v>10080</v>
          </cell>
          <cell r="AA1307">
            <v>11817.5</v>
          </cell>
          <cell r="AB1307">
            <v>9955</v>
          </cell>
          <cell r="AC1307">
            <v>8632.5</v>
          </cell>
          <cell r="AD1307">
            <v>6846.625</v>
          </cell>
          <cell r="AE1307">
            <v>6627.5</v>
          </cell>
          <cell r="AF1307">
            <v>5732.375</v>
          </cell>
          <cell r="AG1307">
            <v>5887.25</v>
          </cell>
          <cell r="AH1307">
            <v>3222.125</v>
          </cell>
          <cell r="AI1307">
            <v>3515</v>
          </cell>
          <cell r="AJ1307">
            <v>6107.875</v>
          </cell>
          <cell r="AK1307">
            <v>5691.375</v>
          </cell>
          <cell r="AL1307">
            <v>5722.875</v>
          </cell>
          <cell r="AM1307">
            <v>6775.75</v>
          </cell>
          <cell r="AN1307">
            <v>6697.25</v>
          </cell>
          <cell r="AO1307">
            <v>7873.125</v>
          </cell>
          <cell r="AP1307">
            <v>9049</v>
          </cell>
          <cell r="AQ1307">
            <v>10766.875</v>
          </cell>
          <cell r="AR1307">
            <v>-3606.25</v>
          </cell>
          <cell r="AS1307">
            <v>1940.625</v>
          </cell>
          <cell r="AT1307">
            <v>7487.5</v>
          </cell>
          <cell r="AU1307">
            <v>13034.375</v>
          </cell>
          <cell r="AV1307">
            <v>18581.25</v>
          </cell>
          <cell r="AW1307">
            <v>5588.125</v>
          </cell>
          <cell r="AX1307">
            <v>11135</v>
          </cell>
          <cell r="AY1307">
            <v>16681.875</v>
          </cell>
          <cell r="AZ1307">
            <v>16681.875</v>
          </cell>
          <cell r="BA1307">
            <v>16681.875</v>
          </cell>
          <cell r="BB1307">
            <v>22228.75</v>
          </cell>
          <cell r="BC1307">
            <v>27775.625</v>
          </cell>
          <cell r="BD1307">
            <v>33322.5</v>
          </cell>
          <cell r="BE1307">
            <v>38869.375</v>
          </cell>
          <cell r="BF1307">
            <v>44416.25</v>
          </cell>
          <cell r="BG1307">
            <v>49963.125</v>
          </cell>
          <cell r="BH1307">
            <v>55510</v>
          </cell>
          <cell r="BI1307">
            <v>61056.875</v>
          </cell>
          <cell r="BJ1307">
            <v>66603.75</v>
          </cell>
          <cell r="BK1307">
            <v>68195.105599214148</v>
          </cell>
          <cell r="BL1307">
            <v>65091.918958742637</v>
          </cell>
          <cell r="BM1307">
            <v>66046.732318271126</v>
          </cell>
          <cell r="BN1307">
            <v>67001.545677799615</v>
          </cell>
          <cell r="BO1307">
            <v>67956.359037328104</v>
          </cell>
          <cell r="BP1307">
            <v>68911.172396856593</v>
          </cell>
          <cell r="BQ1307">
            <v>69865.985756385082</v>
          </cell>
          <cell r="BR1307">
            <v>70820.799115913571</v>
          </cell>
          <cell r="BS1307">
            <v>71775.61247544206</v>
          </cell>
          <cell r="BT1307">
            <v>72730.425834970549</v>
          </cell>
          <cell r="BU1307">
            <v>73685.239194499038</v>
          </cell>
          <cell r="BV1307">
            <v>74640.052554027527</v>
          </cell>
        </row>
        <row r="1308">
          <cell r="A1308" t="str">
            <v>Blank</v>
          </cell>
          <cell r="B1308" t="str">
            <v>Blank</v>
          </cell>
          <cell r="D1308" t="str">
            <v>Blank</v>
          </cell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</row>
        <row r="1309">
          <cell r="A1309" t="str">
            <v>MMA</v>
          </cell>
          <cell r="B1309" t="str">
            <v>4WAY</v>
          </cell>
          <cell r="D1309" t="str">
            <v>Work days</v>
          </cell>
          <cell r="Z1309">
            <v>3</v>
          </cell>
          <cell r="AA1309">
            <v>1</v>
          </cell>
          <cell r="AB1309">
            <v>5</v>
          </cell>
          <cell r="AC1309">
            <v>5</v>
          </cell>
          <cell r="AD1309">
            <v>3</v>
          </cell>
          <cell r="AE1309">
            <v>5</v>
          </cell>
          <cell r="AF1309">
            <v>5</v>
          </cell>
          <cell r="AG1309">
            <v>5</v>
          </cell>
          <cell r="AH1309">
            <v>5</v>
          </cell>
          <cell r="AI1309">
            <v>5</v>
          </cell>
          <cell r="AJ1309">
            <v>5</v>
          </cell>
          <cell r="AK1309">
            <v>4</v>
          </cell>
          <cell r="AL1309">
            <v>4</v>
          </cell>
          <cell r="AM1309">
            <v>5</v>
          </cell>
          <cell r="AN1309">
            <v>4</v>
          </cell>
          <cell r="AO1309">
            <v>5</v>
          </cell>
          <cell r="AP1309">
            <v>5</v>
          </cell>
          <cell r="AQ1309">
            <v>5</v>
          </cell>
          <cell r="AR1309">
            <v>5</v>
          </cell>
          <cell r="AS1309">
            <v>5</v>
          </cell>
          <cell r="AT1309">
            <v>5</v>
          </cell>
          <cell r="AU1309">
            <v>5</v>
          </cell>
          <cell r="AV1309">
            <v>5</v>
          </cell>
          <cell r="AW1309">
            <v>5</v>
          </cell>
          <cell r="AX1309">
            <v>5</v>
          </cell>
          <cell r="AY1309">
            <v>5</v>
          </cell>
          <cell r="AZ1309">
            <v>0</v>
          </cell>
          <cell r="BA1309">
            <v>0</v>
          </cell>
          <cell r="BB1309">
            <v>5</v>
          </cell>
          <cell r="BC1309">
            <v>5</v>
          </cell>
          <cell r="BD1309">
            <v>5</v>
          </cell>
          <cell r="BE1309">
            <v>5</v>
          </cell>
          <cell r="BF1309">
            <v>5</v>
          </cell>
          <cell r="BG1309">
            <v>5</v>
          </cell>
          <cell r="BH1309">
            <v>5</v>
          </cell>
          <cell r="BI1309">
            <v>5</v>
          </cell>
          <cell r="BJ1309">
            <v>5</v>
          </cell>
          <cell r="BK1309">
            <v>5</v>
          </cell>
          <cell r="BL1309">
            <v>3</v>
          </cell>
          <cell r="BM1309">
            <v>3</v>
          </cell>
          <cell r="BN1309">
            <v>3</v>
          </cell>
          <cell r="BO1309">
            <v>3</v>
          </cell>
          <cell r="BP1309">
            <v>3</v>
          </cell>
          <cell r="BQ1309">
            <v>3</v>
          </cell>
          <cell r="BR1309">
            <v>3</v>
          </cell>
          <cell r="BS1309">
            <v>3</v>
          </cell>
          <cell r="BT1309">
            <v>3</v>
          </cell>
          <cell r="BU1309">
            <v>3</v>
          </cell>
          <cell r="BV1309">
            <v>3</v>
          </cell>
        </row>
        <row r="1310">
          <cell r="A1310" t="str">
            <v>MMA</v>
          </cell>
          <cell r="B1310" t="str">
            <v>4WAY</v>
          </cell>
          <cell r="D1310" t="str">
            <v>SHIFT A HC - operators</v>
          </cell>
          <cell r="E1310" t="str">
            <v>ELI INCL FROM 01/01/26 (6OP+1ELI per shift)</v>
          </cell>
          <cell r="Z1310">
            <v>7</v>
          </cell>
          <cell r="AA1310">
            <v>7</v>
          </cell>
          <cell r="AB1310">
            <v>7</v>
          </cell>
          <cell r="AC1310">
            <v>7</v>
          </cell>
          <cell r="AD1310">
            <v>7</v>
          </cell>
          <cell r="AE1310">
            <v>7</v>
          </cell>
          <cell r="AF1310">
            <v>7</v>
          </cell>
          <cell r="AG1310">
            <v>7</v>
          </cell>
          <cell r="AH1310">
            <v>7</v>
          </cell>
          <cell r="AI1310">
            <v>7</v>
          </cell>
          <cell r="AJ1310">
            <v>7</v>
          </cell>
          <cell r="AK1310">
            <v>7</v>
          </cell>
          <cell r="AL1310">
            <v>7</v>
          </cell>
          <cell r="AM1310">
            <v>7</v>
          </cell>
          <cell r="AN1310">
            <v>7</v>
          </cell>
          <cell r="AO1310">
            <v>7</v>
          </cell>
          <cell r="AP1310">
            <v>7</v>
          </cell>
          <cell r="AQ1310">
            <v>7</v>
          </cell>
          <cell r="AR1310">
            <v>7</v>
          </cell>
          <cell r="AS1310">
            <v>7</v>
          </cell>
          <cell r="AT1310">
            <v>7</v>
          </cell>
          <cell r="AU1310">
            <v>7</v>
          </cell>
          <cell r="AV1310">
            <v>7</v>
          </cell>
          <cell r="AW1310">
            <v>7</v>
          </cell>
          <cell r="AX1310">
            <v>7</v>
          </cell>
          <cell r="AY1310">
            <v>7</v>
          </cell>
          <cell r="AZ1310">
            <v>7</v>
          </cell>
          <cell r="BA1310">
            <v>7</v>
          </cell>
          <cell r="BB1310">
            <v>7</v>
          </cell>
          <cell r="BC1310">
            <v>7</v>
          </cell>
          <cell r="BD1310">
            <v>7</v>
          </cell>
          <cell r="BE1310">
            <v>7</v>
          </cell>
          <cell r="BF1310">
            <v>7</v>
          </cell>
          <cell r="BG1310">
            <v>7</v>
          </cell>
          <cell r="BH1310">
            <v>7</v>
          </cell>
          <cell r="BI1310">
            <v>7</v>
          </cell>
          <cell r="BJ1310">
            <v>7</v>
          </cell>
          <cell r="BK1310">
            <v>3</v>
          </cell>
          <cell r="BL1310">
            <v>3</v>
          </cell>
          <cell r="BM1310">
            <v>3</v>
          </cell>
          <cell r="BN1310">
            <v>3</v>
          </cell>
          <cell r="BO1310">
            <v>3</v>
          </cell>
          <cell r="BP1310">
            <v>3</v>
          </cell>
          <cell r="BQ1310">
            <v>3</v>
          </cell>
          <cell r="BR1310">
            <v>3</v>
          </cell>
          <cell r="BS1310">
            <v>3</v>
          </cell>
          <cell r="BT1310">
            <v>3</v>
          </cell>
          <cell r="BU1310">
            <v>3</v>
          </cell>
          <cell r="BV1310">
            <v>3</v>
          </cell>
        </row>
        <row r="1311">
          <cell r="A1311" t="str">
            <v>MMA</v>
          </cell>
          <cell r="B1311" t="str">
            <v>4WAY</v>
          </cell>
          <cell r="D1311" t="str">
            <v>SHIFT B HC  - operators</v>
          </cell>
          <cell r="E1311" t="str">
            <v>ELI INCL FROM 01/01/26 (6OP+1ELI per shift)</v>
          </cell>
          <cell r="Z1311"/>
          <cell r="AA1311"/>
          <cell r="AB1311"/>
          <cell r="AC1311"/>
          <cell r="AD1311"/>
          <cell r="AE1311">
            <v>7</v>
          </cell>
          <cell r="AF1311">
            <v>7</v>
          </cell>
          <cell r="AG1311">
            <v>7</v>
          </cell>
          <cell r="AH1311">
            <v>7</v>
          </cell>
          <cell r="AI1311">
            <v>7</v>
          </cell>
          <cell r="AJ1311">
            <v>7</v>
          </cell>
          <cell r="AK1311">
            <v>7</v>
          </cell>
          <cell r="AL1311">
            <v>7</v>
          </cell>
          <cell r="AM1311">
            <v>7</v>
          </cell>
          <cell r="AN1311">
            <v>7</v>
          </cell>
          <cell r="AO1311">
            <v>7</v>
          </cell>
          <cell r="AP1311">
            <v>7</v>
          </cell>
          <cell r="AQ1311">
            <v>7</v>
          </cell>
          <cell r="AR1311">
            <v>7</v>
          </cell>
          <cell r="AS1311">
            <v>7</v>
          </cell>
          <cell r="AT1311">
            <v>7</v>
          </cell>
          <cell r="AU1311">
            <v>7</v>
          </cell>
          <cell r="AV1311">
            <v>7</v>
          </cell>
          <cell r="AW1311">
            <v>7</v>
          </cell>
          <cell r="AX1311">
            <v>7</v>
          </cell>
          <cell r="AY1311">
            <v>7</v>
          </cell>
          <cell r="AZ1311">
            <v>7</v>
          </cell>
          <cell r="BA1311">
            <v>7</v>
          </cell>
          <cell r="BB1311">
            <v>7</v>
          </cell>
          <cell r="BC1311">
            <v>7</v>
          </cell>
          <cell r="BD1311">
            <v>7</v>
          </cell>
          <cell r="BE1311">
            <v>7</v>
          </cell>
          <cell r="BF1311">
            <v>7</v>
          </cell>
          <cell r="BG1311">
            <v>7</v>
          </cell>
          <cell r="BH1311">
            <v>7</v>
          </cell>
          <cell r="BI1311">
            <v>7</v>
          </cell>
          <cell r="BJ1311">
            <v>7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</row>
        <row r="1312">
          <cell r="A1312" t="str">
            <v>MMA</v>
          </cell>
          <cell r="B1312" t="str">
            <v>4WAY</v>
          </cell>
          <cell r="D1312" t="str">
            <v>SHIFT C HC  - operators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/>
          <cell r="AG1312"/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7</v>
          </cell>
          <cell r="AV1312">
            <v>7</v>
          </cell>
          <cell r="AW1312">
            <v>7</v>
          </cell>
          <cell r="AX1312">
            <v>7</v>
          </cell>
          <cell r="AY1312">
            <v>7</v>
          </cell>
          <cell r="AZ1312">
            <v>7</v>
          </cell>
          <cell r="BA1312">
            <v>7</v>
          </cell>
          <cell r="BB1312">
            <v>7</v>
          </cell>
          <cell r="BC1312">
            <v>7</v>
          </cell>
          <cell r="BD1312">
            <v>7</v>
          </cell>
          <cell r="BE1312">
            <v>7</v>
          </cell>
          <cell r="BF1312">
            <v>7</v>
          </cell>
          <cell r="BG1312">
            <v>7</v>
          </cell>
          <cell r="BH1312">
            <v>7</v>
          </cell>
          <cell r="BI1312">
            <v>7</v>
          </cell>
          <cell r="BJ1312">
            <v>7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</row>
        <row r="1313">
          <cell r="A1313" t="str">
            <v>MMA</v>
          </cell>
          <cell r="B1313" t="str">
            <v>4WAY</v>
          </cell>
          <cell r="D1313" t="str">
            <v>Total HC</v>
          </cell>
          <cell r="Z1313">
            <v>7</v>
          </cell>
          <cell r="AA1313">
            <v>7</v>
          </cell>
          <cell r="AB1313">
            <v>7</v>
          </cell>
          <cell r="AC1313">
            <v>7</v>
          </cell>
          <cell r="AD1313">
            <v>7</v>
          </cell>
          <cell r="AE1313">
            <v>14</v>
          </cell>
          <cell r="AF1313">
            <v>14</v>
          </cell>
          <cell r="AG1313">
            <v>14</v>
          </cell>
          <cell r="AH1313">
            <v>14</v>
          </cell>
          <cell r="AI1313">
            <v>14</v>
          </cell>
          <cell r="AJ1313">
            <v>14</v>
          </cell>
          <cell r="AK1313">
            <v>14</v>
          </cell>
          <cell r="AL1313">
            <v>14</v>
          </cell>
          <cell r="AM1313">
            <v>14</v>
          </cell>
          <cell r="AN1313">
            <v>14</v>
          </cell>
          <cell r="AO1313">
            <v>14</v>
          </cell>
          <cell r="AP1313">
            <v>14</v>
          </cell>
          <cell r="AQ1313">
            <v>14</v>
          </cell>
          <cell r="AR1313">
            <v>14</v>
          </cell>
          <cell r="AS1313">
            <v>14</v>
          </cell>
          <cell r="AT1313">
            <v>14</v>
          </cell>
          <cell r="AU1313">
            <v>21</v>
          </cell>
          <cell r="AV1313">
            <v>21</v>
          </cell>
          <cell r="AW1313">
            <v>21</v>
          </cell>
          <cell r="AX1313">
            <v>21</v>
          </cell>
          <cell r="AY1313">
            <v>21</v>
          </cell>
          <cell r="AZ1313">
            <v>21</v>
          </cell>
          <cell r="BA1313">
            <v>21</v>
          </cell>
          <cell r="BB1313">
            <v>21</v>
          </cell>
          <cell r="BC1313">
            <v>21</v>
          </cell>
          <cell r="BD1313">
            <v>21</v>
          </cell>
          <cell r="BE1313">
            <v>21</v>
          </cell>
          <cell r="BF1313">
            <v>21</v>
          </cell>
          <cell r="BG1313">
            <v>21</v>
          </cell>
          <cell r="BH1313">
            <v>21</v>
          </cell>
          <cell r="BI1313">
            <v>21</v>
          </cell>
          <cell r="BJ1313">
            <v>21</v>
          </cell>
          <cell r="BK1313">
            <v>3</v>
          </cell>
          <cell r="BL1313">
            <v>3</v>
          </cell>
          <cell r="BM1313">
            <v>3</v>
          </cell>
          <cell r="BN1313">
            <v>3</v>
          </cell>
          <cell r="BO1313">
            <v>3</v>
          </cell>
          <cell r="BP1313">
            <v>3</v>
          </cell>
          <cell r="BQ1313">
            <v>3</v>
          </cell>
          <cell r="BR1313">
            <v>3</v>
          </cell>
          <cell r="BS1313">
            <v>3</v>
          </cell>
          <cell r="BT1313">
            <v>3</v>
          </cell>
          <cell r="BU1313">
            <v>3</v>
          </cell>
          <cell r="BV1313">
            <v>3</v>
          </cell>
        </row>
        <row r="1314">
          <cell r="A1314" t="str">
            <v>MMA</v>
          </cell>
          <cell r="B1314" t="str">
            <v>4WAY</v>
          </cell>
          <cell r="D1314" t="str">
            <v>SHIFT A HC  - efficiency</v>
          </cell>
          <cell r="Z1314">
            <v>0.8</v>
          </cell>
          <cell r="AA1314">
            <v>0.85000000000000009</v>
          </cell>
          <cell r="AB1314">
            <v>0.90000000000000013</v>
          </cell>
          <cell r="AC1314">
            <v>0.95000000000000018</v>
          </cell>
          <cell r="AD1314">
            <v>0.95</v>
          </cell>
          <cell r="AE1314">
            <v>0.95</v>
          </cell>
          <cell r="AF1314">
            <v>0.95</v>
          </cell>
          <cell r="AG1314">
            <v>0.95</v>
          </cell>
          <cell r="AH1314">
            <v>0.95</v>
          </cell>
          <cell r="AI1314">
            <v>0.95</v>
          </cell>
          <cell r="AJ1314">
            <v>0.95</v>
          </cell>
          <cell r="AK1314">
            <v>0.95</v>
          </cell>
          <cell r="AL1314">
            <v>0.95</v>
          </cell>
          <cell r="AM1314">
            <v>0.95</v>
          </cell>
          <cell r="AN1314">
            <v>0.95</v>
          </cell>
          <cell r="AO1314">
            <v>0.95</v>
          </cell>
          <cell r="AP1314">
            <v>0.95</v>
          </cell>
          <cell r="AQ1314">
            <v>0.95</v>
          </cell>
          <cell r="AR1314">
            <v>0.95</v>
          </cell>
          <cell r="AS1314">
            <v>0.95</v>
          </cell>
          <cell r="AT1314">
            <v>0.95</v>
          </cell>
          <cell r="AU1314">
            <v>0.95</v>
          </cell>
          <cell r="AV1314">
            <v>0.95</v>
          </cell>
          <cell r="AW1314">
            <v>0.95</v>
          </cell>
          <cell r="AX1314">
            <v>0.95</v>
          </cell>
          <cell r="AY1314">
            <v>0.95</v>
          </cell>
          <cell r="AZ1314">
            <v>0.95</v>
          </cell>
          <cell r="BA1314">
            <v>0.95</v>
          </cell>
          <cell r="BB1314">
            <v>0.95</v>
          </cell>
          <cell r="BC1314">
            <v>0.95</v>
          </cell>
          <cell r="BD1314">
            <v>0.95</v>
          </cell>
          <cell r="BE1314">
            <v>0.95</v>
          </cell>
          <cell r="BF1314">
            <v>0.95</v>
          </cell>
          <cell r="BG1314">
            <v>0.95</v>
          </cell>
          <cell r="BH1314">
            <v>0.95</v>
          </cell>
          <cell r="BI1314">
            <v>0.95</v>
          </cell>
          <cell r="BJ1314">
            <v>0.95</v>
          </cell>
          <cell r="BK1314">
            <v>1.2</v>
          </cell>
          <cell r="BL1314">
            <v>1.2</v>
          </cell>
          <cell r="BM1314">
            <v>1.2</v>
          </cell>
          <cell r="BN1314">
            <v>1.2</v>
          </cell>
          <cell r="BO1314">
            <v>1.2</v>
          </cell>
          <cell r="BP1314">
            <v>1.2</v>
          </cell>
          <cell r="BQ1314">
            <v>1.2</v>
          </cell>
          <cell r="BR1314">
            <v>1.2</v>
          </cell>
          <cell r="BS1314">
            <v>1.2</v>
          </cell>
          <cell r="BT1314">
            <v>1.2</v>
          </cell>
          <cell r="BU1314">
            <v>1.2</v>
          </cell>
          <cell r="BV1314">
            <v>1.2</v>
          </cell>
        </row>
        <row r="1315">
          <cell r="A1315" t="str">
            <v>MMA</v>
          </cell>
          <cell r="B1315" t="str">
            <v>4WAY</v>
          </cell>
          <cell r="D1315" t="str">
            <v>SHIFT B HC  - efficiency</v>
          </cell>
          <cell r="Z1315"/>
          <cell r="AA1315"/>
          <cell r="AB1315"/>
          <cell r="AC1315"/>
          <cell r="AD1315">
            <v>0.5</v>
          </cell>
          <cell r="AE1315">
            <v>0.55000000000000004</v>
          </cell>
          <cell r="AF1315">
            <v>0.60000000000000009</v>
          </cell>
          <cell r="AG1315">
            <v>0.5</v>
          </cell>
          <cell r="AH1315">
            <v>0.55000000000000004</v>
          </cell>
          <cell r="AI1315">
            <v>0.60000000000000009</v>
          </cell>
          <cell r="AJ1315">
            <v>0.65000000000000013</v>
          </cell>
          <cell r="AK1315">
            <v>0.70000000000000018</v>
          </cell>
          <cell r="AL1315">
            <v>0.75000000000000022</v>
          </cell>
          <cell r="AM1315">
            <v>0.80000000000000027</v>
          </cell>
          <cell r="AN1315">
            <v>0.85000000000000031</v>
          </cell>
          <cell r="AO1315">
            <v>0.90000000000000036</v>
          </cell>
          <cell r="AP1315">
            <v>0.95</v>
          </cell>
          <cell r="AQ1315">
            <v>0.95</v>
          </cell>
          <cell r="AR1315">
            <v>0.95</v>
          </cell>
          <cell r="AS1315">
            <v>0.95</v>
          </cell>
          <cell r="AT1315">
            <v>0.95</v>
          </cell>
          <cell r="AU1315">
            <v>0.95</v>
          </cell>
          <cell r="AV1315">
            <v>0.95</v>
          </cell>
          <cell r="AW1315">
            <v>0.95</v>
          </cell>
          <cell r="AX1315">
            <v>0.95</v>
          </cell>
          <cell r="AY1315">
            <v>0.95</v>
          </cell>
          <cell r="AZ1315">
            <v>0.95</v>
          </cell>
          <cell r="BA1315">
            <v>0.95</v>
          </cell>
          <cell r="BB1315">
            <v>0.95</v>
          </cell>
          <cell r="BC1315">
            <v>0.95</v>
          </cell>
          <cell r="BD1315">
            <v>0.95</v>
          </cell>
          <cell r="BE1315">
            <v>0.95</v>
          </cell>
          <cell r="BF1315">
            <v>0.95</v>
          </cell>
          <cell r="BG1315">
            <v>0.95</v>
          </cell>
          <cell r="BH1315">
            <v>0.95</v>
          </cell>
          <cell r="BI1315">
            <v>0.95</v>
          </cell>
          <cell r="BJ1315">
            <v>0.95</v>
          </cell>
          <cell r="BK1315">
            <v>1</v>
          </cell>
          <cell r="BL1315">
            <v>1</v>
          </cell>
          <cell r="BM1315">
            <v>1</v>
          </cell>
          <cell r="BN1315">
            <v>1</v>
          </cell>
          <cell r="BO1315">
            <v>1</v>
          </cell>
          <cell r="BP1315">
            <v>1</v>
          </cell>
          <cell r="BQ1315">
            <v>1</v>
          </cell>
          <cell r="BR1315">
            <v>1</v>
          </cell>
          <cell r="BS1315">
            <v>1</v>
          </cell>
          <cell r="BT1315">
            <v>1</v>
          </cell>
          <cell r="BU1315">
            <v>1</v>
          </cell>
          <cell r="BV1315">
            <v>1</v>
          </cell>
        </row>
        <row r="1316">
          <cell r="A1316" t="str">
            <v>MMA</v>
          </cell>
          <cell r="B1316" t="str">
            <v>4WAY</v>
          </cell>
          <cell r="D1316" t="str">
            <v>SHIFT C HC  - efficiency</v>
          </cell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>
            <v>0.5</v>
          </cell>
          <cell r="AU1316">
            <v>0.55000000000000004</v>
          </cell>
          <cell r="AV1316">
            <v>0.60000000000000009</v>
          </cell>
          <cell r="AW1316">
            <v>0.65000000000000013</v>
          </cell>
          <cell r="AX1316">
            <v>0.70000000000000018</v>
          </cell>
          <cell r="AY1316">
            <v>0.75000000000000022</v>
          </cell>
          <cell r="AZ1316">
            <v>0.80000000000000027</v>
          </cell>
          <cell r="BA1316">
            <v>0.85000000000000031</v>
          </cell>
          <cell r="BB1316">
            <v>0.90000000000000036</v>
          </cell>
          <cell r="BC1316">
            <v>0.95</v>
          </cell>
          <cell r="BD1316">
            <v>0.95</v>
          </cell>
          <cell r="BE1316">
            <v>0.95</v>
          </cell>
          <cell r="BF1316">
            <v>0.95</v>
          </cell>
          <cell r="BG1316">
            <v>0.95</v>
          </cell>
          <cell r="BH1316">
            <v>0.95</v>
          </cell>
          <cell r="BI1316">
            <v>0.95</v>
          </cell>
          <cell r="BJ1316">
            <v>0.95</v>
          </cell>
          <cell r="BK1316">
            <v>0.95</v>
          </cell>
          <cell r="BL1316">
            <v>0.95</v>
          </cell>
          <cell r="BM1316">
            <v>0.95</v>
          </cell>
          <cell r="BN1316">
            <v>0.95</v>
          </cell>
          <cell r="BO1316">
            <v>1</v>
          </cell>
          <cell r="BP1316">
            <v>1</v>
          </cell>
          <cell r="BQ1316">
            <v>1</v>
          </cell>
          <cell r="BR1316">
            <v>1</v>
          </cell>
          <cell r="BS1316">
            <v>1</v>
          </cell>
          <cell r="BT1316">
            <v>1</v>
          </cell>
          <cell r="BU1316">
            <v>1</v>
          </cell>
          <cell r="BV1316">
            <v>1</v>
          </cell>
        </row>
        <row r="1317">
          <cell r="A1317" t="str">
            <v>MMA</v>
          </cell>
          <cell r="B1317" t="str">
            <v>4WAY</v>
          </cell>
          <cell r="D1317" t="str">
            <v>Total efficiency</v>
          </cell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</row>
        <row r="1318">
          <cell r="A1318" t="str">
            <v>MMA</v>
          </cell>
          <cell r="B1318" t="str">
            <v>4WAY</v>
          </cell>
          <cell r="D1318" t="str">
            <v>SHIFT A - output</v>
          </cell>
          <cell r="E1318">
            <v>600</v>
          </cell>
          <cell r="Z1318">
            <v>495.08840864440083</v>
          </cell>
          <cell r="AA1318">
            <v>526.03143418467596</v>
          </cell>
          <cell r="AB1318">
            <v>556.97445972495098</v>
          </cell>
          <cell r="AC1318">
            <v>587.91748526522611</v>
          </cell>
          <cell r="AD1318">
            <v>587.91748526522588</v>
          </cell>
          <cell r="AE1318">
            <v>587.91748526522588</v>
          </cell>
          <cell r="AF1318">
            <v>587.91748526522588</v>
          </cell>
          <cell r="AG1318">
            <v>587.91748526522588</v>
          </cell>
          <cell r="AH1318">
            <v>587.91748526522588</v>
          </cell>
          <cell r="AI1318">
            <v>587.91748526522588</v>
          </cell>
          <cell r="AJ1318">
            <v>587.91748526522588</v>
          </cell>
          <cell r="AK1318">
            <v>587.91748526522588</v>
          </cell>
          <cell r="AL1318">
            <v>587.91748526522588</v>
          </cell>
          <cell r="AM1318">
            <v>587.91748526522588</v>
          </cell>
          <cell r="AN1318">
            <v>587.91748526522588</v>
          </cell>
          <cell r="AO1318">
            <v>587.91748526522588</v>
          </cell>
          <cell r="AP1318">
            <v>587.91748526522588</v>
          </cell>
          <cell r="AQ1318">
            <v>587.91748526522588</v>
          </cell>
          <cell r="AR1318">
            <v>587.91748526522588</v>
          </cell>
          <cell r="AS1318">
            <v>587.91748526522588</v>
          </cell>
          <cell r="AT1318">
            <v>587.91748526522588</v>
          </cell>
          <cell r="AU1318">
            <v>587.91748526522588</v>
          </cell>
          <cell r="AV1318">
            <v>587.91748526522588</v>
          </cell>
          <cell r="AW1318">
            <v>587.91748526522588</v>
          </cell>
          <cell r="AX1318">
            <v>587.91748526522588</v>
          </cell>
          <cell r="AY1318">
            <v>587.91748526522588</v>
          </cell>
          <cell r="AZ1318">
            <v>587.91748526522588</v>
          </cell>
          <cell r="BA1318">
            <v>587.91748526522588</v>
          </cell>
          <cell r="BB1318">
            <v>587.91748526522588</v>
          </cell>
          <cell r="BC1318">
            <v>587.91748526522588</v>
          </cell>
          <cell r="BD1318">
            <v>587.91748526522588</v>
          </cell>
          <cell r="BE1318">
            <v>587.91748526522588</v>
          </cell>
          <cell r="BF1318">
            <v>587.91748526522588</v>
          </cell>
          <cell r="BG1318">
            <v>587.91748526522588</v>
          </cell>
          <cell r="BH1318">
            <v>587.91748526522588</v>
          </cell>
          <cell r="BI1318">
            <v>587.91748526522588</v>
          </cell>
          <cell r="BJ1318">
            <v>587.91748526522588</v>
          </cell>
          <cell r="BK1318">
            <v>318.27111984282908</v>
          </cell>
          <cell r="BL1318">
            <v>318.27111984282908</v>
          </cell>
          <cell r="BM1318">
            <v>318.27111984282908</v>
          </cell>
          <cell r="BN1318">
            <v>318.27111984282908</v>
          </cell>
          <cell r="BO1318">
            <v>318.27111984282908</v>
          </cell>
          <cell r="BP1318">
            <v>318.27111984282908</v>
          </cell>
          <cell r="BQ1318">
            <v>318.27111984282908</v>
          </cell>
          <cell r="BR1318">
            <v>318.27111984282908</v>
          </cell>
          <cell r="BS1318">
            <v>318.27111984282908</v>
          </cell>
          <cell r="BT1318">
            <v>318.27111984282908</v>
          </cell>
          <cell r="BU1318">
            <v>318.27111984282908</v>
          </cell>
          <cell r="BV1318">
            <v>318.27111984282908</v>
          </cell>
        </row>
        <row r="1319">
          <cell r="A1319" t="str">
            <v>MMA</v>
          </cell>
          <cell r="B1319" t="str">
            <v>4WAY</v>
          </cell>
          <cell r="D1319" t="str">
            <v>SHIFT B  - output</v>
          </cell>
          <cell r="E1319">
            <v>600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340.37328094302558</v>
          </cell>
          <cell r="AF1319">
            <v>371.31630648330065</v>
          </cell>
          <cell r="AG1319">
            <v>309.4302554027505</v>
          </cell>
          <cell r="AH1319">
            <v>340.37328094302558</v>
          </cell>
          <cell r="AI1319">
            <v>371.31630648330065</v>
          </cell>
          <cell r="AJ1319">
            <v>402.25933202357572</v>
          </cell>
          <cell r="AK1319">
            <v>433.2023575638508</v>
          </cell>
          <cell r="AL1319">
            <v>464.14538310412587</v>
          </cell>
          <cell r="AM1319">
            <v>495.088408644401</v>
          </cell>
          <cell r="AN1319">
            <v>526.03143418467607</v>
          </cell>
          <cell r="AO1319">
            <v>556.97445972495109</v>
          </cell>
          <cell r="AP1319">
            <v>587.91748526522588</v>
          </cell>
          <cell r="AQ1319">
            <v>587.91748526522588</v>
          </cell>
          <cell r="AR1319">
            <v>587.91748526522588</v>
          </cell>
          <cell r="AS1319">
            <v>587.91748526522588</v>
          </cell>
          <cell r="AT1319">
            <v>587.91748526522588</v>
          </cell>
          <cell r="AU1319">
            <v>587.91748526522588</v>
          </cell>
          <cell r="AV1319">
            <v>587.91748526522588</v>
          </cell>
          <cell r="AW1319">
            <v>587.91748526522588</v>
          </cell>
          <cell r="AX1319">
            <v>587.91748526522588</v>
          </cell>
          <cell r="AY1319">
            <v>587.91748526522588</v>
          </cell>
          <cell r="AZ1319">
            <v>587.91748526522588</v>
          </cell>
          <cell r="BA1319">
            <v>587.91748526522588</v>
          </cell>
          <cell r="BB1319">
            <v>587.91748526522588</v>
          </cell>
          <cell r="BC1319">
            <v>587.91748526522588</v>
          </cell>
          <cell r="BD1319">
            <v>587.91748526522588</v>
          </cell>
          <cell r="BE1319">
            <v>587.91748526522588</v>
          </cell>
          <cell r="BF1319">
            <v>587.91748526522588</v>
          </cell>
          <cell r="BG1319">
            <v>587.91748526522588</v>
          </cell>
          <cell r="BH1319">
            <v>587.91748526522588</v>
          </cell>
          <cell r="BI1319">
            <v>587.91748526522588</v>
          </cell>
          <cell r="BJ1319">
            <v>587.91748526522588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</row>
        <row r="1320">
          <cell r="A1320" t="str">
            <v>MMA</v>
          </cell>
          <cell r="B1320" t="str">
            <v>4WAY</v>
          </cell>
          <cell r="D1320" t="str">
            <v>SHIFT C  - output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340.37328094302558</v>
          </cell>
          <cell r="AV1320">
            <v>371.31630648330065</v>
          </cell>
          <cell r="AW1320">
            <v>402.25933202357572</v>
          </cell>
          <cell r="AX1320">
            <v>433.2023575638508</v>
          </cell>
          <cell r="AY1320">
            <v>464.14538310412587</v>
          </cell>
          <cell r="AZ1320">
            <v>495.088408644401</v>
          </cell>
          <cell r="BA1320">
            <v>526.03143418467607</v>
          </cell>
          <cell r="BB1320">
            <v>556.97445972495109</v>
          </cell>
          <cell r="BC1320">
            <v>587.91748526522588</v>
          </cell>
          <cell r="BD1320">
            <v>587.91748526522588</v>
          </cell>
          <cell r="BE1320">
            <v>587.91748526522588</v>
          </cell>
          <cell r="BF1320">
            <v>587.91748526522588</v>
          </cell>
          <cell r="BG1320">
            <v>587.91748526522588</v>
          </cell>
          <cell r="BH1320">
            <v>587.91748526522588</v>
          </cell>
          <cell r="BI1320">
            <v>587.91748526522588</v>
          </cell>
          <cell r="BJ1320">
            <v>587.91748526522588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</row>
        <row r="1321">
          <cell r="A1321" t="str">
            <v>MMA</v>
          </cell>
          <cell r="B1321" t="str">
            <v>4WAY</v>
          </cell>
          <cell r="D1321" t="str">
            <v>Est. Output (Pcs day)</v>
          </cell>
          <cell r="E1321">
            <v>5.09</v>
          </cell>
          <cell r="Z1321">
            <v>495.08840864440083</v>
          </cell>
          <cell r="AA1321">
            <v>526.03143418467596</v>
          </cell>
          <cell r="AB1321">
            <v>556.97445972495098</v>
          </cell>
          <cell r="AC1321">
            <v>587.91748526522611</v>
          </cell>
          <cell r="AD1321">
            <v>587.91748526522588</v>
          </cell>
          <cell r="AE1321">
            <v>928.2907662082514</v>
          </cell>
          <cell r="AF1321">
            <v>959.23379174852653</v>
          </cell>
          <cell r="AG1321">
            <v>897.34774066797638</v>
          </cell>
          <cell r="AH1321">
            <v>928.2907662082514</v>
          </cell>
          <cell r="AI1321">
            <v>959.23379174852653</v>
          </cell>
          <cell r="AJ1321">
            <v>990.17681728880166</v>
          </cell>
          <cell r="AK1321">
            <v>1021.1198428290767</v>
          </cell>
          <cell r="AL1321">
            <v>1052.0628683693517</v>
          </cell>
          <cell r="AM1321">
            <v>1083.0058939096268</v>
          </cell>
          <cell r="AN1321">
            <v>1113.948919449902</v>
          </cell>
          <cell r="AO1321">
            <v>1144.8919449901769</v>
          </cell>
          <cell r="AP1321">
            <v>1175.8349705304518</v>
          </cell>
          <cell r="AQ1321">
            <v>1175.8349705304518</v>
          </cell>
          <cell r="AR1321">
            <v>1175.8349705304518</v>
          </cell>
          <cell r="AS1321">
            <v>1175.8349705304518</v>
          </cell>
          <cell r="AT1321">
            <v>1175.8349705304518</v>
          </cell>
          <cell r="AU1321">
            <v>1516.2082514734773</v>
          </cell>
          <cell r="AV1321">
            <v>1547.1512770137524</v>
          </cell>
          <cell r="AW1321">
            <v>1578.0943025540275</v>
          </cell>
          <cell r="AX1321">
            <v>1609.0373280943027</v>
          </cell>
          <cell r="AY1321">
            <v>1639.9803536345776</v>
          </cell>
          <cell r="AZ1321">
            <v>1670.9233791748527</v>
          </cell>
          <cell r="BA1321">
            <v>1701.8664047151278</v>
          </cell>
          <cell r="BB1321">
            <v>1732.8094302554027</v>
          </cell>
          <cell r="BC1321">
            <v>1763.7524557956776</v>
          </cell>
          <cell r="BD1321">
            <v>1763.7524557956776</v>
          </cell>
          <cell r="BE1321">
            <v>1763.7524557956776</v>
          </cell>
          <cell r="BF1321">
            <v>1763.7524557956776</v>
          </cell>
          <cell r="BG1321">
            <v>1763.7524557956776</v>
          </cell>
          <cell r="BH1321">
            <v>1763.7524557956776</v>
          </cell>
          <cell r="BI1321">
            <v>1763.7524557956776</v>
          </cell>
          <cell r="BJ1321">
            <v>1763.7524557956776</v>
          </cell>
          <cell r="BK1321">
            <v>318.27111984282908</v>
          </cell>
          <cell r="BL1321">
            <v>318.27111984282908</v>
          </cell>
          <cell r="BM1321">
            <v>318.27111984282908</v>
          </cell>
          <cell r="BN1321">
            <v>318.27111984282908</v>
          </cell>
          <cell r="BO1321">
            <v>318.27111984282908</v>
          </cell>
          <cell r="BP1321">
            <v>318.27111984282908</v>
          </cell>
          <cell r="BQ1321">
            <v>318.27111984282908</v>
          </cell>
          <cell r="BR1321">
            <v>318.27111984282908</v>
          </cell>
          <cell r="BS1321">
            <v>318.27111984282908</v>
          </cell>
          <cell r="BT1321">
            <v>318.27111984282908</v>
          </cell>
          <cell r="BU1321">
            <v>318.27111984282908</v>
          </cell>
          <cell r="BV1321">
            <v>318.27111984282908</v>
          </cell>
        </row>
        <row r="1322">
          <cell r="A1322" t="str">
            <v>MMA</v>
          </cell>
          <cell r="B1322" t="str">
            <v>4WAY</v>
          </cell>
          <cell r="D1322" t="str">
            <v>Weekly Output PLAN</v>
          </cell>
          <cell r="E1322" t="str">
            <v>ASSY</v>
          </cell>
          <cell r="Z1322">
            <v>1485.2652259332026</v>
          </cell>
          <cell r="AA1322">
            <v>526.03143418467596</v>
          </cell>
          <cell r="AB1322">
            <v>2784.8722986247549</v>
          </cell>
          <cell r="AC1322">
            <v>2939.5874263261303</v>
          </cell>
          <cell r="AD1322">
            <v>1763.7524557956776</v>
          </cell>
          <cell r="AE1322">
            <v>4641.4538310412572</v>
          </cell>
          <cell r="AF1322">
            <v>4796.1689587426326</v>
          </cell>
          <cell r="AG1322">
            <v>4486.7387033398818</v>
          </cell>
          <cell r="AH1322">
            <v>4641.4538310412572</v>
          </cell>
          <cell r="AI1322">
            <v>4796.1689587426326</v>
          </cell>
          <cell r="AJ1322">
            <v>4950.8840864440081</v>
          </cell>
          <cell r="AK1322">
            <v>4084.4793713163067</v>
          </cell>
          <cell r="AL1322">
            <v>4208.2514734774068</v>
          </cell>
          <cell r="AM1322">
            <v>5415.0294695481343</v>
          </cell>
          <cell r="AN1322">
            <v>4455.7956777996078</v>
          </cell>
          <cell r="AO1322">
            <v>5724.4597249508843</v>
          </cell>
          <cell r="AP1322">
            <v>5879.1748526522588</v>
          </cell>
          <cell r="AQ1322">
            <v>5879.1748526522588</v>
          </cell>
          <cell r="AR1322">
            <v>5879.1748526522588</v>
          </cell>
          <cell r="AS1322">
            <v>5879.1748526522588</v>
          </cell>
          <cell r="AT1322">
            <v>5879.1748526522588</v>
          </cell>
          <cell r="AU1322">
            <v>7581.0412573673866</v>
          </cell>
          <cell r="AV1322">
            <v>7735.756385068762</v>
          </cell>
          <cell r="AW1322">
            <v>7890.4715127701375</v>
          </cell>
          <cell r="AX1322">
            <v>8045.1866404715129</v>
          </cell>
          <cell r="AY1322">
            <v>8199.9017681728874</v>
          </cell>
          <cell r="AZ1322">
            <v>0</v>
          </cell>
          <cell r="BA1322">
            <v>0</v>
          </cell>
          <cell r="BB1322">
            <v>8664.0471512770127</v>
          </cell>
          <cell r="BC1322">
            <v>8818.7622789783891</v>
          </cell>
          <cell r="BD1322">
            <v>8818.7622789783891</v>
          </cell>
          <cell r="BE1322">
            <v>8818.7622789783891</v>
          </cell>
          <cell r="BF1322">
            <v>8818.7622789783891</v>
          </cell>
          <cell r="BG1322">
            <v>8818.7622789783891</v>
          </cell>
          <cell r="BH1322">
            <v>8818.7622789783891</v>
          </cell>
          <cell r="BI1322">
            <v>8818.7622789783891</v>
          </cell>
          <cell r="BJ1322">
            <v>8818.7622789783891</v>
          </cell>
          <cell r="BK1322">
            <v>1591.3555992141455</v>
          </cell>
          <cell r="BL1322">
            <v>954.81335952848724</v>
          </cell>
          <cell r="BM1322">
            <v>954.81335952848724</v>
          </cell>
          <cell r="BN1322">
            <v>954.81335952848724</v>
          </cell>
          <cell r="BO1322">
            <v>954.81335952848724</v>
          </cell>
          <cell r="BP1322">
            <v>954.81335952848724</v>
          </cell>
          <cell r="BQ1322">
            <v>954.81335952848724</v>
          </cell>
          <cell r="BR1322">
            <v>954.81335952848724</v>
          </cell>
          <cell r="BS1322">
            <v>954.81335952848724</v>
          </cell>
          <cell r="BT1322">
            <v>954.81335952848724</v>
          </cell>
          <cell r="BU1322">
            <v>954.81335952848724</v>
          </cell>
          <cell r="BV1322">
            <v>954.81335952848724</v>
          </cell>
        </row>
        <row r="1323">
          <cell r="A1323" t="str">
            <v>MMA</v>
          </cell>
          <cell r="B1323" t="str">
            <v>4WAY</v>
          </cell>
          <cell r="D1323" t="str">
            <v>PVC</v>
          </cell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</row>
        <row r="1324">
          <cell r="A1324" t="str">
            <v>MMA</v>
          </cell>
          <cell r="B1324" t="str">
            <v>4WAY</v>
          </cell>
          <cell r="D1324" t="str">
            <v>LTH</v>
          </cell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</row>
        <row r="1325">
          <cell r="A1325" t="str">
            <v>MMA</v>
          </cell>
          <cell r="B1325" t="str">
            <v>4WAY</v>
          </cell>
          <cell r="D1325" t="str">
            <v>PO</v>
          </cell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</row>
        <row r="1326">
          <cell r="A1326" t="str">
            <v>MMA</v>
          </cell>
          <cell r="B1326" t="str">
            <v>4WAY</v>
          </cell>
          <cell r="D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</row>
        <row r="1327">
          <cell r="A1327" t="str">
            <v>MMA</v>
          </cell>
          <cell r="B1327" t="str">
            <v>4WAY</v>
          </cell>
          <cell r="D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</row>
        <row r="1328">
          <cell r="A1328" t="str">
            <v>MMA</v>
          </cell>
          <cell r="B1328" t="str">
            <v>4WAY</v>
          </cell>
          <cell r="D1328" t="str">
            <v>Weekly Output PLAN - SUM of models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</row>
        <row r="1329">
          <cell r="A1329" t="str">
            <v>MMA</v>
          </cell>
          <cell r="B1329" t="str">
            <v>4WAY</v>
          </cell>
          <cell r="D1329" t="str">
            <v>Weekly Output CHECK with TO time multiple</v>
          </cell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</row>
        <row r="1330">
          <cell r="A1330" t="str">
            <v>MMA</v>
          </cell>
          <cell r="B1330" t="str">
            <v>4WAY</v>
          </cell>
          <cell r="D1330" t="str">
            <v>Weekly Output ACT</v>
          </cell>
          <cell r="Z1330">
            <v>1485.2652259332026</v>
          </cell>
          <cell r="AA1330">
            <v>526.03143418467596</v>
          </cell>
          <cell r="AB1330">
            <v>2784.8722986247549</v>
          </cell>
          <cell r="AC1330">
            <v>2939.5874263261303</v>
          </cell>
          <cell r="AD1330">
            <v>1763.7524557956776</v>
          </cell>
          <cell r="AE1330">
            <v>4641.4538310412572</v>
          </cell>
          <cell r="AF1330">
            <v>4796.1689587426326</v>
          </cell>
          <cell r="AG1330">
            <v>4486.7387033398818</v>
          </cell>
          <cell r="AH1330">
            <v>4641.4538310412572</v>
          </cell>
          <cell r="AI1330">
            <v>4796.1689587426326</v>
          </cell>
          <cell r="AJ1330">
            <v>4950.8840864440081</v>
          </cell>
          <cell r="AK1330">
            <v>4084.4793713163067</v>
          </cell>
          <cell r="AL1330">
            <v>4208.2514734774068</v>
          </cell>
          <cell r="AM1330">
            <v>5415.0294695481343</v>
          </cell>
          <cell r="AN1330">
            <v>4455.7956777996078</v>
          </cell>
          <cell r="AO1330">
            <v>5724.4597249508843</v>
          </cell>
          <cell r="AP1330">
            <v>5879.1748526522588</v>
          </cell>
          <cell r="AQ1330">
            <v>5879.1748526522588</v>
          </cell>
          <cell r="AR1330">
            <v>5879.1748526522588</v>
          </cell>
          <cell r="AS1330">
            <v>5879.1748526522588</v>
          </cell>
          <cell r="AT1330">
            <v>5879.1748526522588</v>
          </cell>
          <cell r="AU1330">
            <v>7581.0412573673866</v>
          </cell>
          <cell r="AV1330">
            <v>7735.756385068762</v>
          </cell>
          <cell r="AW1330">
            <v>7890.4715127701375</v>
          </cell>
          <cell r="AX1330">
            <v>8045.1866404715129</v>
          </cell>
          <cell r="AY1330">
            <v>8199.9017681728874</v>
          </cell>
          <cell r="AZ1330">
            <v>0</v>
          </cell>
          <cell r="BA1330">
            <v>0</v>
          </cell>
          <cell r="BB1330">
            <v>8664.0471512770127</v>
          </cell>
          <cell r="BC1330">
            <v>8818.7622789783891</v>
          </cell>
          <cell r="BD1330">
            <v>8818.7622789783891</v>
          </cell>
          <cell r="BE1330">
            <v>8818.7622789783891</v>
          </cell>
          <cell r="BF1330">
            <v>8818.7622789783891</v>
          </cell>
          <cell r="BG1330">
            <v>8818.7622789783891</v>
          </cell>
          <cell r="BH1330">
            <v>8818.7622789783891</v>
          </cell>
          <cell r="BI1330">
            <v>8818.7622789783891</v>
          </cell>
          <cell r="BJ1330">
            <v>8818.7622789783891</v>
          </cell>
          <cell r="BK1330">
            <v>1591.3555992141455</v>
          </cell>
          <cell r="BL1330">
            <v>954.81335952848724</v>
          </cell>
          <cell r="BM1330">
            <v>954.81335952848724</v>
          </cell>
          <cell r="BN1330">
            <v>954.81335952848724</v>
          </cell>
          <cell r="BO1330">
            <v>954.81335952848724</v>
          </cell>
          <cell r="BP1330">
            <v>954.81335952848724</v>
          </cell>
          <cell r="BQ1330">
            <v>954.81335952848724</v>
          </cell>
          <cell r="BR1330">
            <v>954.81335952848724</v>
          </cell>
          <cell r="BS1330">
            <v>954.81335952848724</v>
          </cell>
          <cell r="BT1330">
            <v>954.81335952848724</v>
          </cell>
          <cell r="BU1330">
            <v>954.81335952848724</v>
          </cell>
          <cell r="BV1330">
            <v>954.81335952848724</v>
          </cell>
        </row>
        <row r="1331">
          <cell r="A1331" t="str">
            <v>MMA</v>
          </cell>
          <cell r="B1331" t="str">
            <v>4WAY</v>
          </cell>
          <cell r="D1331" t="str">
            <v>PVC</v>
          </cell>
          <cell r="Z1331">
            <v>2664</v>
          </cell>
          <cell r="AA1331">
            <v>1188</v>
          </cell>
          <cell r="AB1331">
            <v>2520</v>
          </cell>
          <cell r="AC1331">
            <v>2784</v>
          </cell>
          <cell r="AD1331">
            <v>2388</v>
          </cell>
          <cell r="AE1331">
            <v>3216</v>
          </cell>
          <cell r="AF1331">
            <v>3348</v>
          </cell>
          <cell r="AG1331">
            <v>2460</v>
          </cell>
          <cell r="AH1331">
            <v>5388</v>
          </cell>
          <cell r="AI1331">
            <v>4428</v>
          </cell>
          <cell r="AJ1331">
            <v>3180</v>
          </cell>
          <cell r="AK1331">
            <v>4596</v>
          </cell>
          <cell r="AL1331">
            <v>5136</v>
          </cell>
          <cell r="AM1331">
            <v>4992</v>
          </cell>
          <cell r="AN1331">
            <v>5928</v>
          </cell>
          <cell r="AO1331">
            <v>4068</v>
          </cell>
          <cell r="AP1331">
            <v>4872</v>
          </cell>
          <cell r="AQ1331">
            <v>3864</v>
          </cell>
          <cell r="AR1331">
            <v>19177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13532</v>
          </cell>
          <cell r="AX1331">
            <v>0</v>
          </cell>
          <cell r="AY1331">
            <v>0</v>
          </cell>
          <cell r="AZ1331">
            <v>0</v>
          </cell>
          <cell r="BA1331">
            <v>10013.1715481172</v>
          </cell>
          <cell r="BB1331">
            <v>11385.985355648534</v>
          </cell>
          <cell r="BC1331">
            <v>11385.985355648534</v>
          </cell>
          <cell r="BD1331">
            <v>11385.985355648534</v>
          </cell>
          <cell r="BE1331">
            <v>11385.985355648534</v>
          </cell>
          <cell r="BF1331">
            <v>11382.949325894931</v>
          </cell>
          <cell r="BG1331">
            <v>11382.949325894931</v>
          </cell>
          <cell r="BH1331">
            <v>11382.949325894931</v>
          </cell>
          <cell r="BI1331">
            <v>11382.949325894931</v>
          </cell>
          <cell r="BJ1331">
            <v>5691.4746629474503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</row>
        <row r="1332">
          <cell r="A1332" t="str">
            <v>MMA</v>
          </cell>
          <cell r="B1332" t="str">
            <v>4WAY</v>
          </cell>
          <cell r="D1332" t="str">
            <v>LTH</v>
          </cell>
          <cell r="Z1332">
            <v>120</v>
          </cell>
          <cell r="AA1332">
            <v>60</v>
          </cell>
          <cell r="AB1332">
            <v>60</v>
          </cell>
          <cell r="AC1332">
            <v>72</v>
          </cell>
          <cell r="AD1332">
            <v>36</v>
          </cell>
          <cell r="AE1332">
            <v>120</v>
          </cell>
          <cell r="AF1332">
            <v>180</v>
          </cell>
          <cell r="AG1332">
            <v>120</v>
          </cell>
          <cell r="AH1332">
            <v>288</v>
          </cell>
          <cell r="AI1332">
            <v>324</v>
          </cell>
          <cell r="AJ1332">
            <v>120</v>
          </cell>
          <cell r="AK1332">
            <v>228</v>
          </cell>
          <cell r="AL1332">
            <v>372</v>
          </cell>
          <cell r="AM1332">
            <v>264</v>
          </cell>
          <cell r="AN1332">
            <v>300</v>
          </cell>
          <cell r="AO1332">
            <v>276</v>
          </cell>
          <cell r="AP1332">
            <v>300</v>
          </cell>
          <cell r="AQ1332">
            <v>228</v>
          </cell>
          <cell r="AR1332">
            <v>1535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1104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</row>
        <row r="1333">
          <cell r="A1333" t="str">
            <v>MMA</v>
          </cell>
          <cell r="B1333" t="str">
            <v>4WAY</v>
          </cell>
          <cell r="D1333" t="str">
            <v>PO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</row>
        <row r="1334">
          <cell r="A1334" t="str">
            <v>MMA</v>
          </cell>
          <cell r="B1334" t="str">
            <v>4WAY</v>
          </cell>
          <cell r="D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</row>
        <row r="1335">
          <cell r="A1335" t="str">
            <v>MMA</v>
          </cell>
          <cell r="B1335" t="str">
            <v>4WAY</v>
          </cell>
          <cell r="D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</row>
        <row r="1336">
          <cell r="A1336" t="str">
            <v>MMA</v>
          </cell>
          <cell r="B1336" t="str">
            <v>4WAY</v>
          </cell>
          <cell r="D1336" t="str">
            <v>Weekly demand</v>
          </cell>
          <cell r="Z1336">
            <v>2784</v>
          </cell>
          <cell r="AA1336">
            <v>1248</v>
          </cell>
          <cell r="AB1336">
            <v>2580</v>
          </cell>
          <cell r="AC1336">
            <v>2856</v>
          </cell>
          <cell r="AD1336">
            <v>2424</v>
          </cell>
          <cell r="AE1336">
            <v>3336</v>
          </cell>
          <cell r="AF1336">
            <v>3528</v>
          </cell>
          <cell r="AG1336">
            <v>2580</v>
          </cell>
          <cell r="AH1336">
            <v>5676</v>
          </cell>
          <cell r="AI1336">
            <v>4752</v>
          </cell>
          <cell r="AJ1336">
            <v>3300</v>
          </cell>
          <cell r="AK1336">
            <v>4824</v>
          </cell>
          <cell r="AL1336">
            <v>5508</v>
          </cell>
          <cell r="AM1336">
            <v>5256</v>
          </cell>
          <cell r="AN1336">
            <v>6228</v>
          </cell>
          <cell r="AO1336">
            <v>4344</v>
          </cell>
          <cell r="AP1336">
            <v>5172</v>
          </cell>
          <cell r="AQ1336">
            <v>4092</v>
          </cell>
          <cell r="AR1336">
            <v>20712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14636</v>
          </cell>
          <cell r="AX1336">
            <v>0</v>
          </cell>
          <cell r="AY1336">
            <v>0</v>
          </cell>
          <cell r="AZ1336">
            <v>0</v>
          </cell>
          <cell r="BA1336">
            <v>10013.1715481172</v>
          </cell>
          <cell r="BB1336">
            <v>11385.985355648534</v>
          </cell>
          <cell r="BC1336">
            <v>11385.985355648534</v>
          </cell>
          <cell r="BD1336">
            <v>11385.985355648534</v>
          </cell>
          <cell r="BE1336">
            <v>11385.985355648534</v>
          </cell>
          <cell r="BF1336">
            <v>11382.949325894931</v>
          </cell>
          <cell r="BG1336">
            <v>11382.949325894931</v>
          </cell>
          <cell r="BH1336">
            <v>11382.949325894931</v>
          </cell>
          <cell r="BI1336">
            <v>11382.949325894931</v>
          </cell>
          <cell r="BJ1336">
            <v>5691.4746629474503</v>
          </cell>
          <cell r="BK1336">
            <v>0</v>
          </cell>
          <cell r="BL1336">
            <v>215064.38493723853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</row>
        <row r="1337">
          <cell r="A1337" t="str">
            <v>MMA</v>
          </cell>
          <cell r="B1337" t="str">
            <v>4WAY</v>
          </cell>
          <cell r="D1337" t="str">
            <v>Stock Target</v>
          </cell>
          <cell r="Z1337">
            <v>1800</v>
          </cell>
          <cell r="AA1337">
            <v>1800</v>
          </cell>
          <cell r="AB1337">
            <v>1800</v>
          </cell>
          <cell r="AC1337">
            <v>1800</v>
          </cell>
          <cell r="AD1337">
            <v>1800</v>
          </cell>
          <cell r="AE1337">
            <v>1800</v>
          </cell>
          <cell r="AF1337">
            <v>1800</v>
          </cell>
          <cell r="AG1337">
            <v>1800</v>
          </cell>
          <cell r="AH1337">
            <v>1800</v>
          </cell>
          <cell r="AI1337">
            <v>1800</v>
          </cell>
          <cell r="AJ1337">
            <v>2528</v>
          </cell>
          <cell r="AK1337">
            <v>2529</v>
          </cell>
          <cell r="AL1337">
            <v>2530</v>
          </cell>
          <cell r="AM1337">
            <v>2531</v>
          </cell>
          <cell r="AN1337">
            <v>2532</v>
          </cell>
          <cell r="AO1337">
            <v>2533</v>
          </cell>
          <cell r="AP1337">
            <v>2534</v>
          </cell>
          <cell r="AQ1337">
            <v>2535</v>
          </cell>
          <cell r="AR1337">
            <v>2536</v>
          </cell>
          <cell r="AS1337">
            <v>2537</v>
          </cell>
          <cell r="AT1337">
            <v>2538</v>
          </cell>
          <cell r="AU1337">
            <v>2539</v>
          </cell>
          <cell r="AV1337">
            <v>2540</v>
          </cell>
          <cell r="AW1337">
            <v>2541</v>
          </cell>
          <cell r="AX1337">
            <v>2542</v>
          </cell>
          <cell r="AY1337">
            <v>2543</v>
          </cell>
          <cell r="AZ1337">
            <v>2544</v>
          </cell>
          <cell r="BA1337">
            <v>2545</v>
          </cell>
          <cell r="BB1337">
            <v>2546</v>
          </cell>
          <cell r="BC1337">
            <v>2547</v>
          </cell>
          <cell r="BD1337">
            <v>2548</v>
          </cell>
          <cell r="BE1337">
            <v>2549</v>
          </cell>
          <cell r="BF1337">
            <v>2550</v>
          </cell>
          <cell r="BG1337">
            <v>2551</v>
          </cell>
          <cell r="BH1337">
            <v>2552</v>
          </cell>
          <cell r="BI1337">
            <v>2553</v>
          </cell>
          <cell r="BJ1337">
            <v>2554</v>
          </cell>
          <cell r="BK1337">
            <v>2555</v>
          </cell>
          <cell r="BL1337">
            <v>2556</v>
          </cell>
          <cell r="BM1337">
            <v>2557</v>
          </cell>
          <cell r="BN1337">
            <v>2558</v>
          </cell>
          <cell r="BO1337">
            <v>2559</v>
          </cell>
          <cell r="BP1337">
            <v>2560</v>
          </cell>
          <cell r="BQ1337">
            <v>2561</v>
          </cell>
          <cell r="BR1337">
            <v>2562</v>
          </cell>
          <cell r="BS1337">
            <v>2563</v>
          </cell>
          <cell r="BT1337">
            <v>2564</v>
          </cell>
          <cell r="BU1337">
            <v>2565</v>
          </cell>
          <cell r="BV1337">
            <v>2566</v>
          </cell>
        </row>
        <row r="1338">
          <cell r="A1338" t="str">
            <v>MMA</v>
          </cell>
          <cell r="B1338" t="str">
            <v>4WAY</v>
          </cell>
          <cell r="D1338" t="str">
            <v>PVC</v>
          </cell>
          <cell r="Z1338">
            <v>2391</v>
          </cell>
          <cell r="AA1338">
            <v>1203</v>
          </cell>
          <cell r="AB1338">
            <v>-1317</v>
          </cell>
          <cell r="AC1338">
            <v>-4101</v>
          </cell>
          <cell r="AD1338">
            <v>-6489</v>
          </cell>
          <cell r="AE1338">
            <v>-9705</v>
          </cell>
          <cell r="AF1338">
            <v>-13053</v>
          </cell>
          <cell r="AG1338">
            <v>-15513</v>
          </cell>
          <cell r="AH1338">
            <v>-20901</v>
          </cell>
          <cell r="AI1338">
            <v>-25329</v>
          </cell>
          <cell r="AJ1338">
            <v>-28509</v>
          </cell>
          <cell r="AK1338">
            <v>-33105</v>
          </cell>
          <cell r="AL1338">
            <v>-38241</v>
          </cell>
          <cell r="AM1338">
            <v>-43233</v>
          </cell>
          <cell r="AN1338">
            <v>-49161</v>
          </cell>
          <cell r="AO1338">
            <v>-53229</v>
          </cell>
          <cell r="AP1338">
            <v>-58101</v>
          </cell>
          <cell r="AQ1338">
            <v>-61965</v>
          </cell>
          <cell r="AR1338">
            <v>-81142</v>
          </cell>
          <cell r="AS1338">
            <v>-81142</v>
          </cell>
          <cell r="AT1338">
            <v>-81142</v>
          </cell>
          <cell r="AU1338">
            <v>-81142</v>
          </cell>
          <cell r="AV1338">
            <v>-81142</v>
          </cell>
          <cell r="AW1338">
            <v>-94674</v>
          </cell>
          <cell r="AX1338">
            <v>-94674</v>
          </cell>
          <cell r="AY1338">
            <v>-94674</v>
          </cell>
          <cell r="AZ1338">
            <v>-94674</v>
          </cell>
          <cell r="BA1338">
            <v>-104687.1715481172</v>
          </cell>
          <cell r="BB1338">
            <v>-116073.15690376573</v>
          </cell>
          <cell r="BC1338">
            <v>-127459.14225941426</v>
          </cell>
          <cell r="BD1338">
            <v>-138845.12761506281</v>
          </cell>
          <cell r="BE1338">
            <v>-150231.11297071134</v>
          </cell>
          <cell r="BF1338">
            <v>-161614.06229660628</v>
          </cell>
          <cell r="BG1338">
            <v>-172997.01162250122</v>
          </cell>
          <cell r="BH1338">
            <v>-184379.96094839615</v>
          </cell>
          <cell r="BI1338">
            <v>-195762.91027429109</v>
          </cell>
          <cell r="BJ1338">
            <v>-201454.38493723853</v>
          </cell>
          <cell r="BK1338">
            <v>-201454.38493723853</v>
          </cell>
          <cell r="BL1338">
            <v>-201454.38493723853</v>
          </cell>
          <cell r="BM1338">
            <v>-201454.38493723853</v>
          </cell>
          <cell r="BN1338">
            <v>-201454.38493723853</v>
          </cell>
          <cell r="BO1338">
            <v>-201454.38493723853</v>
          </cell>
          <cell r="BP1338">
            <v>-201454.38493723853</v>
          </cell>
          <cell r="BQ1338">
            <v>-201454.38493723853</v>
          </cell>
          <cell r="BR1338">
            <v>-201454.38493723853</v>
          </cell>
          <cell r="BS1338">
            <v>-201454.38493723853</v>
          </cell>
          <cell r="BT1338">
            <v>-201454.38493723853</v>
          </cell>
          <cell r="BU1338">
            <v>-201454.38493723853</v>
          </cell>
          <cell r="BV1338">
            <v>-201454.38493723853</v>
          </cell>
        </row>
        <row r="1339">
          <cell r="A1339" t="str">
            <v>MMA</v>
          </cell>
          <cell r="B1339" t="str">
            <v>4WAY</v>
          </cell>
          <cell r="D1339" t="str">
            <v>LTH</v>
          </cell>
          <cell r="Z1339">
            <v>3</v>
          </cell>
          <cell r="AA1339">
            <v>-57</v>
          </cell>
          <cell r="AB1339">
            <v>-117</v>
          </cell>
          <cell r="AC1339">
            <v>-189</v>
          </cell>
          <cell r="AD1339">
            <v>-225</v>
          </cell>
          <cell r="AE1339">
            <v>-345</v>
          </cell>
          <cell r="AF1339">
            <v>-525</v>
          </cell>
          <cell r="AG1339">
            <v>-645</v>
          </cell>
          <cell r="AH1339">
            <v>-933</v>
          </cell>
          <cell r="AI1339">
            <v>-1257</v>
          </cell>
          <cell r="AJ1339">
            <v>-1377</v>
          </cell>
          <cell r="AK1339">
            <v>-1605</v>
          </cell>
          <cell r="AL1339">
            <v>-1977</v>
          </cell>
          <cell r="AM1339">
            <v>-2241</v>
          </cell>
          <cell r="AN1339">
            <v>-2541</v>
          </cell>
          <cell r="AO1339">
            <v>-2817</v>
          </cell>
          <cell r="AP1339">
            <v>-3117</v>
          </cell>
          <cell r="AQ1339">
            <v>-3345</v>
          </cell>
          <cell r="AR1339">
            <v>-4880</v>
          </cell>
          <cell r="AS1339">
            <v>-4880</v>
          </cell>
          <cell r="AT1339">
            <v>-4880</v>
          </cell>
          <cell r="AU1339">
            <v>-4880</v>
          </cell>
          <cell r="AV1339">
            <v>-4880</v>
          </cell>
          <cell r="AW1339">
            <v>-5984</v>
          </cell>
          <cell r="AX1339">
            <v>-5984</v>
          </cell>
          <cell r="AY1339">
            <v>-5984</v>
          </cell>
          <cell r="AZ1339">
            <v>-5984</v>
          </cell>
          <cell r="BA1339">
            <v>-5984</v>
          </cell>
          <cell r="BB1339">
            <v>-5984</v>
          </cell>
          <cell r="BC1339">
            <v>-5984</v>
          </cell>
          <cell r="BD1339">
            <v>-5984</v>
          </cell>
          <cell r="BE1339">
            <v>-5984</v>
          </cell>
          <cell r="BF1339">
            <v>-5984</v>
          </cell>
          <cell r="BG1339">
            <v>-5984</v>
          </cell>
          <cell r="BH1339">
            <v>-5984</v>
          </cell>
          <cell r="BI1339">
            <v>-5984</v>
          </cell>
          <cell r="BJ1339">
            <v>-5984</v>
          </cell>
          <cell r="BK1339">
            <v>-5984</v>
          </cell>
          <cell r="BL1339">
            <v>-5984</v>
          </cell>
          <cell r="BM1339">
            <v>-5984</v>
          </cell>
          <cell r="BN1339">
            <v>-5984</v>
          </cell>
          <cell r="BO1339">
            <v>-5984</v>
          </cell>
          <cell r="BP1339">
            <v>-5984</v>
          </cell>
          <cell r="BQ1339">
            <v>-5984</v>
          </cell>
          <cell r="BR1339">
            <v>-5984</v>
          </cell>
          <cell r="BS1339">
            <v>-5984</v>
          </cell>
          <cell r="BT1339">
            <v>-5984</v>
          </cell>
          <cell r="BU1339">
            <v>-5984</v>
          </cell>
          <cell r="BV1339">
            <v>-5984</v>
          </cell>
        </row>
        <row r="1340">
          <cell r="A1340" t="str">
            <v>MMA</v>
          </cell>
          <cell r="B1340" t="str">
            <v>4WAY</v>
          </cell>
          <cell r="D1340" t="str">
            <v>PO</v>
          </cell>
          <cell r="Z1340">
            <v>20</v>
          </cell>
          <cell r="AA1340">
            <v>20</v>
          </cell>
          <cell r="AB1340">
            <v>20</v>
          </cell>
          <cell r="AC1340">
            <v>20</v>
          </cell>
          <cell r="AD1340">
            <v>20</v>
          </cell>
          <cell r="AE1340">
            <v>20</v>
          </cell>
          <cell r="AF1340">
            <v>20</v>
          </cell>
          <cell r="AG1340">
            <v>20</v>
          </cell>
          <cell r="AH1340">
            <v>20</v>
          </cell>
          <cell r="AI1340">
            <v>20</v>
          </cell>
          <cell r="AJ1340">
            <v>20</v>
          </cell>
          <cell r="AK1340">
            <v>20</v>
          </cell>
          <cell r="AL1340">
            <v>20</v>
          </cell>
          <cell r="AM1340">
            <v>20</v>
          </cell>
          <cell r="AN1340">
            <v>20</v>
          </cell>
          <cell r="AO1340">
            <v>20</v>
          </cell>
          <cell r="AP1340">
            <v>20</v>
          </cell>
          <cell r="AQ1340">
            <v>20</v>
          </cell>
          <cell r="AR1340">
            <v>20</v>
          </cell>
          <cell r="AS1340">
            <v>20</v>
          </cell>
          <cell r="AT1340">
            <v>20</v>
          </cell>
          <cell r="AU1340">
            <v>20</v>
          </cell>
          <cell r="AV1340">
            <v>20</v>
          </cell>
          <cell r="AW1340">
            <v>20</v>
          </cell>
          <cell r="AX1340">
            <v>20</v>
          </cell>
          <cell r="AY1340">
            <v>20</v>
          </cell>
          <cell r="AZ1340">
            <v>20</v>
          </cell>
          <cell r="BA1340">
            <v>20</v>
          </cell>
          <cell r="BB1340">
            <v>20</v>
          </cell>
          <cell r="BC1340">
            <v>20</v>
          </cell>
          <cell r="BD1340">
            <v>20</v>
          </cell>
          <cell r="BE1340">
            <v>20</v>
          </cell>
          <cell r="BF1340">
            <v>20</v>
          </cell>
          <cell r="BG1340">
            <v>20</v>
          </cell>
          <cell r="BH1340">
            <v>20</v>
          </cell>
          <cell r="BI1340">
            <v>20</v>
          </cell>
          <cell r="BJ1340">
            <v>20</v>
          </cell>
          <cell r="BK1340">
            <v>20</v>
          </cell>
          <cell r="BL1340">
            <v>20</v>
          </cell>
          <cell r="BM1340">
            <v>20</v>
          </cell>
          <cell r="BN1340">
            <v>20</v>
          </cell>
          <cell r="BO1340">
            <v>20</v>
          </cell>
          <cell r="BP1340">
            <v>20</v>
          </cell>
          <cell r="BQ1340">
            <v>20</v>
          </cell>
          <cell r="BR1340">
            <v>20</v>
          </cell>
          <cell r="BS1340">
            <v>20</v>
          </cell>
          <cell r="BT1340">
            <v>20</v>
          </cell>
          <cell r="BU1340">
            <v>20</v>
          </cell>
          <cell r="BV1340">
            <v>20</v>
          </cell>
        </row>
        <row r="1341">
          <cell r="A1341" t="str">
            <v>MMA</v>
          </cell>
          <cell r="B1341" t="str">
            <v>4WAY</v>
          </cell>
          <cell r="D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</row>
        <row r="1342">
          <cell r="A1342" t="str">
            <v>MMA</v>
          </cell>
          <cell r="B1342" t="str">
            <v>4WAY</v>
          </cell>
          <cell r="D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</row>
        <row r="1343">
          <cell r="A1343" t="str">
            <v>MMA</v>
          </cell>
          <cell r="B1343" t="str">
            <v>4WAY</v>
          </cell>
          <cell r="D1343" t="str">
            <v>STOCK</v>
          </cell>
          <cell r="Z1343">
            <v>2414</v>
          </cell>
          <cell r="AA1343">
            <v>1692.0314341846761</v>
          </cell>
          <cell r="AB1343">
            <v>1896.9037328094309</v>
          </cell>
          <cell r="AC1343">
            <v>1980.4911591355612</v>
          </cell>
          <cell r="AD1343">
            <v>1320.2436149312389</v>
          </cell>
          <cell r="AE1343">
            <v>2625.6974459724961</v>
          </cell>
          <cell r="AF1343">
            <v>3893.8664047151287</v>
          </cell>
          <cell r="AG1343">
            <v>5800.6051080550105</v>
          </cell>
          <cell r="AH1343">
            <v>4766.0589390962677</v>
          </cell>
          <cell r="AI1343">
            <v>4810.2278978389004</v>
          </cell>
          <cell r="AJ1343">
            <v>6461.1119842829085</v>
          </cell>
          <cell r="AK1343">
            <v>5721.5913555992156</v>
          </cell>
          <cell r="AL1343">
            <v>4421.8428290766224</v>
          </cell>
          <cell r="AM1343">
            <v>4580.8722986247567</v>
          </cell>
          <cell r="AN1343">
            <v>2808.6679764243645</v>
          </cell>
          <cell r="AO1343">
            <v>4189.1277013752488</v>
          </cell>
          <cell r="AP1343">
            <v>4896.3025540275075</v>
          </cell>
          <cell r="AQ1343">
            <v>6683.4774066797663</v>
          </cell>
          <cell r="AR1343">
            <v>-8149.3477406679758</v>
          </cell>
          <cell r="AS1343">
            <v>-2270.172888015717</v>
          </cell>
          <cell r="AT1343">
            <v>3609.0019646365417</v>
          </cell>
          <cell r="AU1343">
            <v>11190.043222003929</v>
          </cell>
          <cell r="AV1343">
            <v>18925.799607072691</v>
          </cell>
          <cell r="AW1343">
            <v>12180.27111984283</v>
          </cell>
          <cell r="AX1343">
            <v>20225.457760314341</v>
          </cell>
          <cell r="AY1343">
            <v>28425.359528487228</v>
          </cell>
          <cell r="AZ1343">
            <v>28425.359528487228</v>
          </cell>
          <cell r="BA1343">
            <v>18412.187980370029</v>
          </cell>
          <cell r="BB1343">
            <v>15690.249775998507</v>
          </cell>
          <cell r="BC1343">
            <v>13123.026699328362</v>
          </cell>
          <cell r="BD1343">
            <v>10555.803622658217</v>
          </cell>
          <cell r="BE1343">
            <v>7988.5805459880721</v>
          </cell>
          <cell r="BF1343">
            <v>5424.3934990715297</v>
          </cell>
          <cell r="BG1343">
            <v>2860.2064521549873</v>
          </cell>
          <cell r="BH1343">
            <v>296.01940523844496</v>
          </cell>
          <cell r="BI1343">
            <v>-2268.1676416780974</v>
          </cell>
          <cell r="BJ1343">
            <v>859.11997435284138</v>
          </cell>
          <cell r="BK1343">
            <v>2450.4755735669869</v>
          </cell>
          <cell r="BL1343">
            <v>-211659.09600414307</v>
          </cell>
          <cell r="BM1343">
            <v>-210704.28264461458</v>
          </cell>
          <cell r="BN1343">
            <v>-209749.46928508609</v>
          </cell>
          <cell r="BO1343">
            <v>-208794.6559255576</v>
          </cell>
          <cell r="BP1343">
            <v>-207839.84256602911</v>
          </cell>
          <cell r="BQ1343">
            <v>-206885.02920650062</v>
          </cell>
          <cell r="BR1343">
            <v>-205930.21584697213</v>
          </cell>
          <cell r="BS1343">
            <v>-204975.40248744364</v>
          </cell>
          <cell r="BT1343">
            <v>-204020.58912791515</v>
          </cell>
          <cell r="BU1343">
            <v>-203065.77576838667</v>
          </cell>
          <cell r="BV1343">
            <v>-202110.96240885818</v>
          </cell>
        </row>
        <row r="1344">
          <cell r="A1344" t="str">
            <v>Blank</v>
          </cell>
          <cell r="B1344" t="str">
            <v>Blank</v>
          </cell>
          <cell r="D1344" t="str">
            <v>Blank</v>
          </cell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</row>
        <row r="1345">
          <cell r="A1345" t="str">
            <v>MMA</v>
          </cell>
          <cell r="B1345" t="str">
            <v>4WAY</v>
          </cell>
          <cell r="D1345" t="str">
            <v>Work days</v>
          </cell>
          <cell r="Z1345">
            <v>5</v>
          </cell>
          <cell r="AA1345">
            <v>5</v>
          </cell>
          <cell r="AB1345">
            <v>5</v>
          </cell>
          <cell r="AC1345">
            <v>5</v>
          </cell>
          <cell r="AD1345">
            <v>3</v>
          </cell>
          <cell r="AE1345">
            <v>5</v>
          </cell>
          <cell r="AF1345">
            <v>5</v>
          </cell>
          <cell r="AG1345">
            <v>5</v>
          </cell>
          <cell r="AH1345">
            <v>5</v>
          </cell>
          <cell r="AI1345">
            <v>5</v>
          </cell>
          <cell r="AJ1345">
            <v>5</v>
          </cell>
          <cell r="AK1345">
            <v>4</v>
          </cell>
          <cell r="AL1345">
            <v>4</v>
          </cell>
          <cell r="AM1345">
            <v>5</v>
          </cell>
          <cell r="AN1345">
            <v>4</v>
          </cell>
          <cell r="AO1345">
            <v>5</v>
          </cell>
          <cell r="AP1345">
            <v>5</v>
          </cell>
          <cell r="AQ1345">
            <v>5</v>
          </cell>
          <cell r="AR1345">
            <v>5</v>
          </cell>
          <cell r="AS1345">
            <v>5</v>
          </cell>
          <cell r="AT1345">
            <v>5</v>
          </cell>
          <cell r="AU1345">
            <v>5</v>
          </cell>
          <cell r="AV1345">
            <v>5</v>
          </cell>
          <cell r="AW1345">
            <v>5</v>
          </cell>
          <cell r="AX1345">
            <v>5</v>
          </cell>
          <cell r="AY1345">
            <v>5</v>
          </cell>
          <cell r="AZ1345">
            <v>0</v>
          </cell>
          <cell r="BA1345">
            <v>0</v>
          </cell>
          <cell r="BB1345">
            <v>5</v>
          </cell>
          <cell r="BC1345">
            <v>5</v>
          </cell>
          <cell r="BD1345">
            <v>5</v>
          </cell>
          <cell r="BE1345">
            <v>5</v>
          </cell>
          <cell r="BF1345">
            <v>5</v>
          </cell>
          <cell r="BG1345">
            <v>5</v>
          </cell>
          <cell r="BH1345">
            <v>5</v>
          </cell>
          <cell r="BI1345">
            <v>5</v>
          </cell>
          <cell r="BJ1345">
            <v>5</v>
          </cell>
          <cell r="BK1345">
            <v>5</v>
          </cell>
          <cell r="BL1345">
            <v>5</v>
          </cell>
          <cell r="BM1345">
            <v>5</v>
          </cell>
          <cell r="BN1345">
            <v>5</v>
          </cell>
          <cell r="BO1345">
            <v>5</v>
          </cell>
          <cell r="BP1345">
            <v>5</v>
          </cell>
          <cell r="BQ1345">
            <v>5</v>
          </cell>
          <cell r="BR1345">
            <v>5</v>
          </cell>
          <cell r="BS1345">
            <v>3</v>
          </cell>
          <cell r="BT1345">
            <v>3</v>
          </cell>
          <cell r="BU1345">
            <v>3</v>
          </cell>
          <cell r="BV1345">
            <v>3</v>
          </cell>
        </row>
        <row r="1346">
          <cell r="A1346" t="str">
            <v>MMA</v>
          </cell>
          <cell r="B1346" t="str">
            <v>4WAY</v>
          </cell>
          <cell r="D1346" t="str">
            <v>SHIFT A HC - operators</v>
          </cell>
          <cell r="Z1346">
            <v>6</v>
          </cell>
          <cell r="AA1346">
            <v>6</v>
          </cell>
          <cell r="AB1346">
            <v>10</v>
          </cell>
          <cell r="AC1346">
            <v>10</v>
          </cell>
          <cell r="AD1346">
            <v>10</v>
          </cell>
          <cell r="AE1346">
            <v>10</v>
          </cell>
          <cell r="AF1346">
            <v>10</v>
          </cell>
          <cell r="AG1346">
            <v>10</v>
          </cell>
          <cell r="AH1346">
            <v>10</v>
          </cell>
          <cell r="AI1346">
            <v>10</v>
          </cell>
          <cell r="AJ1346">
            <v>10</v>
          </cell>
          <cell r="AK1346">
            <v>10</v>
          </cell>
          <cell r="AL1346">
            <v>10</v>
          </cell>
          <cell r="AM1346">
            <v>10</v>
          </cell>
          <cell r="AN1346">
            <v>10</v>
          </cell>
          <cell r="AO1346">
            <v>10</v>
          </cell>
          <cell r="AP1346">
            <v>10</v>
          </cell>
          <cell r="AQ1346">
            <v>10</v>
          </cell>
          <cell r="AR1346">
            <v>10</v>
          </cell>
          <cell r="AS1346">
            <v>10</v>
          </cell>
          <cell r="AT1346">
            <v>10</v>
          </cell>
          <cell r="AU1346">
            <v>10</v>
          </cell>
          <cell r="AV1346">
            <v>10</v>
          </cell>
          <cell r="AW1346">
            <v>10</v>
          </cell>
          <cell r="AX1346">
            <v>10</v>
          </cell>
          <cell r="AY1346">
            <v>10</v>
          </cell>
          <cell r="AZ1346">
            <v>10</v>
          </cell>
          <cell r="BA1346">
            <v>10</v>
          </cell>
          <cell r="BB1346">
            <v>10</v>
          </cell>
          <cell r="BC1346">
            <v>10</v>
          </cell>
          <cell r="BD1346">
            <v>10</v>
          </cell>
          <cell r="BE1346">
            <v>10</v>
          </cell>
          <cell r="BF1346">
            <v>10</v>
          </cell>
          <cell r="BG1346">
            <v>10</v>
          </cell>
          <cell r="BH1346">
            <v>10</v>
          </cell>
          <cell r="BI1346">
            <v>10</v>
          </cell>
          <cell r="BJ1346">
            <v>10</v>
          </cell>
          <cell r="BK1346">
            <v>3</v>
          </cell>
          <cell r="BL1346">
            <v>3</v>
          </cell>
          <cell r="BM1346">
            <v>3</v>
          </cell>
          <cell r="BN1346">
            <v>3</v>
          </cell>
          <cell r="BO1346">
            <v>3</v>
          </cell>
          <cell r="BP1346">
            <v>3</v>
          </cell>
          <cell r="BQ1346">
            <v>3</v>
          </cell>
          <cell r="BR1346">
            <v>3</v>
          </cell>
          <cell r="BS1346">
            <v>3</v>
          </cell>
          <cell r="BT1346">
            <v>3</v>
          </cell>
          <cell r="BU1346">
            <v>3</v>
          </cell>
          <cell r="BV1346">
            <v>3</v>
          </cell>
        </row>
        <row r="1347">
          <cell r="A1347" t="str">
            <v>MMA</v>
          </cell>
          <cell r="B1347" t="str">
            <v>4WAY</v>
          </cell>
          <cell r="D1347" t="str">
            <v>SHIFT B HC  - operators</v>
          </cell>
          <cell r="Z1347"/>
          <cell r="AA1347"/>
          <cell r="AB1347">
            <v>10</v>
          </cell>
          <cell r="AC1347">
            <v>10</v>
          </cell>
          <cell r="AD1347">
            <v>10</v>
          </cell>
          <cell r="AE1347">
            <v>10</v>
          </cell>
          <cell r="AF1347">
            <v>10</v>
          </cell>
          <cell r="AG1347">
            <v>10</v>
          </cell>
          <cell r="AH1347">
            <v>10</v>
          </cell>
          <cell r="AI1347">
            <v>10</v>
          </cell>
          <cell r="AJ1347">
            <v>10</v>
          </cell>
          <cell r="AK1347">
            <v>10</v>
          </cell>
          <cell r="AL1347">
            <v>10</v>
          </cell>
          <cell r="AM1347">
            <v>10</v>
          </cell>
          <cell r="AN1347">
            <v>10</v>
          </cell>
          <cell r="AO1347">
            <v>10</v>
          </cell>
          <cell r="AP1347">
            <v>10</v>
          </cell>
          <cell r="AQ1347">
            <v>10</v>
          </cell>
          <cell r="AR1347">
            <v>10</v>
          </cell>
          <cell r="AS1347">
            <v>10</v>
          </cell>
          <cell r="AT1347">
            <v>10</v>
          </cell>
          <cell r="AU1347">
            <v>10</v>
          </cell>
          <cell r="AV1347">
            <v>10</v>
          </cell>
          <cell r="AW1347">
            <v>10</v>
          </cell>
          <cell r="AX1347">
            <v>10</v>
          </cell>
          <cell r="AY1347">
            <v>10</v>
          </cell>
          <cell r="AZ1347">
            <v>10</v>
          </cell>
          <cell r="BA1347">
            <v>10</v>
          </cell>
          <cell r="BB1347">
            <v>10</v>
          </cell>
          <cell r="BC1347">
            <v>10</v>
          </cell>
          <cell r="BD1347">
            <v>10</v>
          </cell>
          <cell r="BE1347">
            <v>10</v>
          </cell>
          <cell r="BF1347">
            <v>10</v>
          </cell>
          <cell r="BG1347">
            <v>10</v>
          </cell>
          <cell r="BH1347">
            <v>10</v>
          </cell>
          <cell r="BI1347">
            <v>10</v>
          </cell>
          <cell r="BJ1347">
            <v>10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</row>
        <row r="1348">
          <cell r="A1348" t="str">
            <v>MMA</v>
          </cell>
          <cell r="B1348" t="str">
            <v>4WAY</v>
          </cell>
          <cell r="D1348" t="str">
            <v>SHIFT C HC  - operators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10</v>
          </cell>
          <cell r="AI1348">
            <v>10</v>
          </cell>
          <cell r="AJ1348">
            <v>10</v>
          </cell>
          <cell r="AK1348">
            <v>10</v>
          </cell>
          <cell r="AL1348">
            <v>10</v>
          </cell>
          <cell r="AM1348">
            <v>10</v>
          </cell>
          <cell r="AN1348">
            <v>10</v>
          </cell>
          <cell r="AO1348">
            <v>10</v>
          </cell>
          <cell r="AP1348">
            <v>10</v>
          </cell>
          <cell r="AQ1348">
            <v>10</v>
          </cell>
          <cell r="AR1348">
            <v>10</v>
          </cell>
          <cell r="AS1348">
            <v>10</v>
          </cell>
          <cell r="AT1348">
            <v>10</v>
          </cell>
          <cell r="AU1348">
            <v>10</v>
          </cell>
          <cell r="AV1348">
            <v>10</v>
          </cell>
          <cell r="AW1348">
            <v>10</v>
          </cell>
          <cell r="AX1348">
            <v>10</v>
          </cell>
          <cell r="AY1348">
            <v>10</v>
          </cell>
          <cell r="AZ1348">
            <v>10</v>
          </cell>
          <cell r="BA1348">
            <v>10</v>
          </cell>
          <cell r="BB1348">
            <v>10</v>
          </cell>
          <cell r="BC1348">
            <v>10</v>
          </cell>
          <cell r="BD1348">
            <v>10</v>
          </cell>
          <cell r="BE1348">
            <v>10</v>
          </cell>
          <cell r="BF1348">
            <v>10</v>
          </cell>
          <cell r="BG1348">
            <v>10</v>
          </cell>
          <cell r="BH1348">
            <v>10</v>
          </cell>
          <cell r="BI1348">
            <v>10</v>
          </cell>
          <cell r="BJ1348">
            <v>10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</row>
        <row r="1349">
          <cell r="A1349" t="str">
            <v>MMA</v>
          </cell>
          <cell r="B1349" t="str">
            <v>4WAY</v>
          </cell>
          <cell r="D1349" t="str">
            <v>Total HC</v>
          </cell>
          <cell r="Z1349">
            <v>6</v>
          </cell>
          <cell r="AA1349">
            <v>6</v>
          </cell>
          <cell r="AB1349">
            <v>20</v>
          </cell>
          <cell r="AC1349">
            <v>20</v>
          </cell>
          <cell r="AD1349">
            <v>20</v>
          </cell>
          <cell r="AE1349">
            <v>20</v>
          </cell>
          <cell r="AF1349">
            <v>20</v>
          </cell>
          <cell r="AG1349">
            <v>20</v>
          </cell>
          <cell r="AH1349">
            <v>30</v>
          </cell>
          <cell r="AI1349">
            <v>30</v>
          </cell>
          <cell r="AJ1349">
            <v>30</v>
          </cell>
          <cell r="AK1349">
            <v>30</v>
          </cell>
          <cell r="AL1349">
            <v>30</v>
          </cell>
          <cell r="AM1349">
            <v>30</v>
          </cell>
          <cell r="AN1349">
            <v>30</v>
          </cell>
          <cell r="AO1349">
            <v>30</v>
          </cell>
          <cell r="AP1349">
            <v>30</v>
          </cell>
          <cell r="AQ1349">
            <v>30</v>
          </cell>
          <cell r="AR1349">
            <v>30</v>
          </cell>
          <cell r="AS1349">
            <v>30</v>
          </cell>
          <cell r="AT1349">
            <v>30</v>
          </cell>
          <cell r="AU1349">
            <v>30</v>
          </cell>
          <cell r="AV1349">
            <v>30</v>
          </cell>
          <cell r="AW1349">
            <v>30</v>
          </cell>
          <cell r="AX1349">
            <v>30</v>
          </cell>
          <cell r="AY1349">
            <v>30</v>
          </cell>
          <cell r="AZ1349">
            <v>30</v>
          </cell>
          <cell r="BA1349">
            <v>30</v>
          </cell>
          <cell r="BB1349">
            <v>30</v>
          </cell>
          <cell r="BC1349">
            <v>30</v>
          </cell>
          <cell r="BD1349">
            <v>30</v>
          </cell>
          <cell r="BE1349">
            <v>30</v>
          </cell>
          <cell r="BF1349">
            <v>30</v>
          </cell>
          <cell r="BG1349">
            <v>30</v>
          </cell>
          <cell r="BH1349">
            <v>30</v>
          </cell>
          <cell r="BI1349">
            <v>30</v>
          </cell>
          <cell r="BJ1349">
            <v>30</v>
          </cell>
          <cell r="BK1349">
            <v>3</v>
          </cell>
          <cell r="BL1349">
            <v>3</v>
          </cell>
          <cell r="BM1349">
            <v>3</v>
          </cell>
          <cell r="BN1349">
            <v>3</v>
          </cell>
          <cell r="BO1349">
            <v>3</v>
          </cell>
          <cell r="BP1349">
            <v>3</v>
          </cell>
          <cell r="BQ1349">
            <v>3</v>
          </cell>
          <cell r="BR1349">
            <v>3</v>
          </cell>
          <cell r="BS1349">
            <v>3</v>
          </cell>
          <cell r="BT1349">
            <v>3</v>
          </cell>
          <cell r="BU1349">
            <v>3</v>
          </cell>
          <cell r="BV1349">
            <v>3</v>
          </cell>
        </row>
        <row r="1350">
          <cell r="A1350" t="str">
            <v>MMA</v>
          </cell>
          <cell r="B1350" t="str">
            <v>4WAY</v>
          </cell>
          <cell r="D1350" t="str">
            <v>SHIFT A HC  - efficiency</v>
          </cell>
          <cell r="Z1350">
            <v>1</v>
          </cell>
          <cell r="AA1350">
            <v>1</v>
          </cell>
          <cell r="AB1350">
            <v>1</v>
          </cell>
          <cell r="AC1350">
            <v>1</v>
          </cell>
          <cell r="AD1350">
            <v>1</v>
          </cell>
          <cell r="AE1350">
            <v>1</v>
          </cell>
          <cell r="AF1350">
            <v>1</v>
          </cell>
          <cell r="AG1350">
            <v>1</v>
          </cell>
          <cell r="AH1350">
            <v>1</v>
          </cell>
          <cell r="AI1350">
            <v>1</v>
          </cell>
          <cell r="AJ1350">
            <v>1</v>
          </cell>
          <cell r="AK1350">
            <v>1</v>
          </cell>
          <cell r="AL1350">
            <v>1</v>
          </cell>
          <cell r="AM1350">
            <v>1</v>
          </cell>
          <cell r="AN1350">
            <v>1</v>
          </cell>
          <cell r="AO1350">
            <v>1</v>
          </cell>
          <cell r="AP1350">
            <v>1</v>
          </cell>
          <cell r="AQ1350">
            <v>1</v>
          </cell>
          <cell r="AR1350">
            <v>1</v>
          </cell>
          <cell r="AS1350">
            <v>1</v>
          </cell>
          <cell r="AT1350">
            <v>1</v>
          </cell>
          <cell r="AU1350">
            <v>1</v>
          </cell>
          <cell r="AV1350">
            <v>1</v>
          </cell>
          <cell r="AW1350">
            <v>1</v>
          </cell>
          <cell r="AX1350">
            <v>1</v>
          </cell>
          <cell r="AY1350">
            <v>1</v>
          </cell>
          <cell r="AZ1350">
            <v>1</v>
          </cell>
          <cell r="BA1350">
            <v>1</v>
          </cell>
          <cell r="BB1350">
            <v>1</v>
          </cell>
          <cell r="BC1350">
            <v>1</v>
          </cell>
          <cell r="BD1350">
            <v>1</v>
          </cell>
          <cell r="BE1350">
            <v>1</v>
          </cell>
          <cell r="BF1350">
            <v>1</v>
          </cell>
          <cell r="BG1350">
            <v>1</v>
          </cell>
          <cell r="BH1350">
            <v>1</v>
          </cell>
          <cell r="BI1350">
            <v>1</v>
          </cell>
          <cell r="BJ1350">
            <v>1</v>
          </cell>
          <cell r="BK1350">
            <v>1.2</v>
          </cell>
          <cell r="BL1350">
            <v>1.2</v>
          </cell>
          <cell r="BM1350">
            <v>1.2</v>
          </cell>
          <cell r="BN1350">
            <v>1.2</v>
          </cell>
          <cell r="BO1350">
            <v>1.2</v>
          </cell>
          <cell r="BP1350">
            <v>1.2</v>
          </cell>
          <cell r="BQ1350">
            <v>1.2</v>
          </cell>
          <cell r="BR1350">
            <v>1.2</v>
          </cell>
          <cell r="BS1350">
            <v>1.2</v>
          </cell>
          <cell r="BT1350">
            <v>1.2</v>
          </cell>
          <cell r="BU1350">
            <v>1.2</v>
          </cell>
          <cell r="BV1350">
            <v>1.2</v>
          </cell>
        </row>
        <row r="1351">
          <cell r="A1351" t="str">
            <v>MMA</v>
          </cell>
          <cell r="B1351" t="str">
            <v>4WAY</v>
          </cell>
          <cell r="D1351" t="str">
            <v>SHIFT B HC  - efficiency</v>
          </cell>
          <cell r="Z1351"/>
          <cell r="AA1351"/>
          <cell r="AB1351">
            <v>0.51</v>
          </cell>
          <cell r="AC1351">
            <v>0.51</v>
          </cell>
          <cell r="AD1351">
            <v>0.53999999999999992</v>
          </cell>
          <cell r="AE1351">
            <v>0.56999999999999995</v>
          </cell>
          <cell r="AF1351">
            <v>0.6</v>
          </cell>
          <cell r="AG1351">
            <v>0.62</v>
          </cell>
          <cell r="AH1351">
            <v>0.64</v>
          </cell>
          <cell r="AI1351">
            <v>0.66</v>
          </cell>
          <cell r="AJ1351">
            <v>0.68</v>
          </cell>
          <cell r="AK1351">
            <v>0.70000000000000007</v>
          </cell>
          <cell r="AL1351">
            <v>0.72000000000000008</v>
          </cell>
          <cell r="AM1351">
            <v>0.7400000000000001</v>
          </cell>
          <cell r="AN1351">
            <v>0.76000000000000012</v>
          </cell>
          <cell r="AO1351">
            <v>0.78000000000000014</v>
          </cell>
          <cell r="AP1351">
            <v>0.80000000000000016</v>
          </cell>
          <cell r="AQ1351">
            <v>0.82000000000000017</v>
          </cell>
          <cell r="AR1351">
            <v>0.84000000000000019</v>
          </cell>
          <cell r="AS1351">
            <v>0.86000000000000021</v>
          </cell>
          <cell r="AT1351">
            <v>0.88000000000000023</v>
          </cell>
          <cell r="AU1351">
            <v>0.90000000000000024</v>
          </cell>
          <cell r="AV1351">
            <v>0.92000000000000026</v>
          </cell>
          <cell r="AW1351">
            <v>0.94000000000000028</v>
          </cell>
          <cell r="AX1351">
            <v>0.9600000000000003</v>
          </cell>
          <cell r="AY1351">
            <v>0.98000000000000032</v>
          </cell>
          <cell r="AZ1351">
            <v>1</v>
          </cell>
          <cell r="BA1351">
            <v>1.02</v>
          </cell>
          <cell r="BB1351">
            <v>1.04</v>
          </cell>
          <cell r="BC1351">
            <v>1.06</v>
          </cell>
          <cell r="BD1351">
            <v>1.08</v>
          </cell>
          <cell r="BE1351">
            <v>1</v>
          </cell>
          <cell r="BF1351">
            <v>1</v>
          </cell>
          <cell r="BG1351">
            <v>1</v>
          </cell>
          <cell r="BH1351">
            <v>1</v>
          </cell>
          <cell r="BI1351">
            <v>1</v>
          </cell>
          <cell r="BJ1351">
            <v>1</v>
          </cell>
          <cell r="BK1351">
            <v>1</v>
          </cell>
          <cell r="BL1351">
            <v>1</v>
          </cell>
          <cell r="BM1351">
            <v>1</v>
          </cell>
          <cell r="BN1351">
            <v>1</v>
          </cell>
          <cell r="BO1351">
            <v>1</v>
          </cell>
          <cell r="BP1351">
            <v>1</v>
          </cell>
          <cell r="BQ1351">
            <v>1</v>
          </cell>
          <cell r="BR1351">
            <v>1</v>
          </cell>
          <cell r="BS1351">
            <v>1</v>
          </cell>
          <cell r="BT1351">
            <v>1</v>
          </cell>
          <cell r="BU1351">
            <v>1</v>
          </cell>
          <cell r="BV1351">
            <v>1</v>
          </cell>
        </row>
        <row r="1352">
          <cell r="A1352" t="str">
            <v>MMA</v>
          </cell>
          <cell r="B1352" t="str">
            <v>4WAY</v>
          </cell>
          <cell r="D1352" t="str">
            <v>SHIFT C HC  - efficiency</v>
          </cell>
          <cell r="Z1352"/>
          <cell r="AA1352"/>
          <cell r="AB1352"/>
          <cell r="AC1352"/>
          <cell r="AD1352"/>
          <cell r="AE1352"/>
          <cell r="AF1352"/>
          <cell r="AG1352"/>
          <cell r="AH1352">
            <v>0.51</v>
          </cell>
          <cell r="AI1352">
            <v>0.51</v>
          </cell>
          <cell r="AJ1352">
            <v>0.53999999999999992</v>
          </cell>
          <cell r="AK1352">
            <v>0.56999999999999995</v>
          </cell>
          <cell r="AL1352">
            <v>0.6</v>
          </cell>
          <cell r="AM1352">
            <v>0.62</v>
          </cell>
          <cell r="AN1352">
            <v>0.64</v>
          </cell>
          <cell r="AO1352">
            <v>0.66</v>
          </cell>
          <cell r="AP1352">
            <v>0.68</v>
          </cell>
          <cell r="AQ1352">
            <v>0.70000000000000007</v>
          </cell>
          <cell r="AR1352">
            <v>0.72000000000000008</v>
          </cell>
          <cell r="AS1352">
            <v>0.7400000000000001</v>
          </cell>
          <cell r="AT1352">
            <v>0.76000000000000012</v>
          </cell>
          <cell r="AU1352">
            <v>0.78000000000000014</v>
          </cell>
          <cell r="AV1352">
            <v>0.80000000000000016</v>
          </cell>
          <cell r="AW1352">
            <v>0.82000000000000017</v>
          </cell>
          <cell r="AX1352">
            <v>0.84000000000000019</v>
          </cell>
          <cell r="AY1352">
            <v>0.86000000000000021</v>
          </cell>
          <cell r="AZ1352">
            <v>0.88000000000000023</v>
          </cell>
          <cell r="BA1352">
            <v>0.90000000000000024</v>
          </cell>
          <cell r="BB1352">
            <v>0.92000000000000026</v>
          </cell>
          <cell r="BC1352">
            <v>0.94000000000000028</v>
          </cell>
          <cell r="BD1352">
            <v>0.9600000000000003</v>
          </cell>
          <cell r="BE1352">
            <v>0.98000000000000032</v>
          </cell>
          <cell r="BF1352">
            <v>1</v>
          </cell>
          <cell r="BG1352">
            <v>1.02</v>
          </cell>
          <cell r="BH1352">
            <v>1.04</v>
          </cell>
          <cell r="BI1352">
            <v>1.06</v>
          </cell>
          <cell r="BJ1352">
            <v>1.08</v>
          </cell>
          <cell r="BK1352">
            <v>1</v>
          </cell>
          <cell r="BL1352">
            <v>1</v>
          </cell>
          <cell r="BM1352">
            <v>1</v>
          </cell>
          <cell r="BN1352">
            <v>1</v>
          </cell>
          <cell r="BO1352">
            <v>1</v>
          </cell>
          <cell r="BP1352">
            <v>1</v>
          </cell>
          <cell r="BQ1352">
            <v>1</v>
          </cell>
          <cell r="BR1352">
            <v>1</v>
          </cell>
          <cell r="BS1352">
            <v>1</v>
          </cell>
          <cell r="BT1352">
            <v>1</v>
          </cell>
          <cell r="BU1352">
            <v>1</v>
          </cell>
          <cell r="BV1352">
            <v>1</v>
          </cell>
        </row>
        <row r="1353">
          <cell r="A1353" t="str">
            <v>MMA</v>
          </cell>
          <cell r="B1353" t="str">
            <v>4WAY</v>
          </cell>
          <cell r="D1353" t="str">
            <v>Total efficiency</v>
          </cell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</row>
        <row r="1354">
          <cell r="A1354" t="str">
            <v>MMA</v>
          </cell>
          <cell r="B1354" t="str">
            <v>4WAY</v>
          </cell>
          <cell r="D1354" t="str">
            <v>SHIFT A - output</v>
          </cell>
          <cell r="Z1354">
            <v>293.79760609358004</v>
          </cell>
          <cell r="AA1354">
            <v>293.79760609358004</v>
          </cell>
          <cell r="AB1354">
            <v>489.66267682263333</v>
          </cell>
          <cell r="AC1354">
            <v>489.66267682263333</v>
          </cell>
          <cell r="AD1354">
            <v>489.66267682263333</v>
          </cell>
          <cell r="AE1354">
            <v>489.66267682263333</v>
          </cell>
          <cell r="AF1354">
            <v>489.66267682263333</v>
          </cell>
          <cell r="AG1354">
            <v>489.66267682263333</v>
          </cell>
          <cell r="AH1354">
            <v>489.66267682263333</v>
          </cell>
          <cell r="AI1354">
            <v>489.66267682263333</v>
          </cell>
          <cell r="AJ1354">
            <v>489.66267682263333</v>
          </cell>
          <cell r="AK1354">
            <v>489.66267682263333</v>
          </cell>
          <cell r="AL1354">
            <v>489.66267682263333</v>
          </cell>
          <cell r="AM1354">
            <v>489.66267682263333</v>
          </cell>
          <cell r="AN1354">
            <v>489.66267682263333</v>
          </cell>
          <cell r="AO1354">
            <v>489.66267682263333</v>
          </cell>
          <cell r="AP1354">
            <v>489.66267682263333</v>
          </cell>
          <cell r="AQ1354">
            <v>489.66267682263333</v>
          </cell>
          <cell r="AR1354">
            <v>489.66267682263333</v>
          </cell>
          <cell r="AS1354">
            <v>489.66267682263333</v>
          </cell>
          <cell r="AT1354">
            <v>489.66267682263333</v>
          </cell>
          <cell r="AU1354">
            <v>489.66267682263333</v>
          </cell>
          <cell r="AV1354">
            <v>489.66267682263333</v>
          </cell>
          <cell r="AW1354">
            <v>489.66267682263333</v>
          </cell>
          <cell r="AX1354">
            <v>489.66267682263333</v>
          </cell>
          <cell r="AY1354">
            <v>489.66267682263333</v>
          </cell>
          <cell r="AZ1354">
            <v>489.66267682263333</v>
          </cell>
          <cell r="BA1354">
            <v>489.66267682263333</v>
          </cell>
          <cell r="BB1354">
            <v>489.66267682263333</v>
          </cell>
          <cell r="BC1354">
            <v>489.66267682263333</v>
          </cell>
          <cell r="BD1354">
            <v>489.66267682263333</v>
          </cell>
          <cell r="BE1354">
            <v>489.66267682263333</v>
          </cell>
          <cell r="BF1354">
            <v>489.66267682263333</v>
          </cell>
          <cell r="BG1354">
            <v>489.66267682263333</v>
          </cell>
          <cell r="BH1354">
            <v>489.66267682263333</v>
          </cell>
          <cell r="BI1354">
            <v>489.66267682263333</v>
          </cell>
          <cell r="BJ1354">
            <v>489.66267682263333</v>
          </cell>
          <cell r="BK1354">
            <v>176.27856365614801</v>
          </cell>
          <cell r="BL1354">
            <v>176.27856365614801</v>
          </cell>
          <cell r="BM1354">
            <v>176.27856365614801</v>
          </cell>
          <cell r="BN1354">
            <v>176.27856365614801</v>
          </cell>
          <cell r="BO1354">
            <v>176.27856365614801</v>
          </cell>
          <cell r="BP1354">
            <v>176.27856365614801</v>
          </cell>
          <cell r="BQ1354">
            <v>176.27856365614801</v>
          </cell>
          <cell r="BR1354">
            <v>176.27856365614801</v>
          </cell>
          <cell r="BS1354">
            <v>176.27856365614801</v>
          </cell>
          <cell r="BT1354">
            <v>176.27856365614801</v>
          </cell>
          <cell r="BU1354">
            <v>176.27856365614801</v>
          </cell>
          <cell r="BV1354">
            <v>176.27856365614801</v>
          </cell>
        </row>
        <row r="1355">
          <cell r="A1355" t="str">
            <v>MMA</v>
          </cell>
          <cell r="B1355" t="str">
            <v>4WAY</v>
          </cell>
          <cell r="D1355" t="str">
            <v>SHIFT B  - output</v>
          </cell>
          <cell r="Z1355">
            <v>0</v>
          </cell>
          <cell r="AA1355">
            <v>0</v>
          </cell>
          <cell r="AB1355">
            <v>249.72796517954299</v>
          </cell>
          <cell r="AC1355">
            <v>249.72796517954299</v>
          </cell>
          <cell r="AD1355">
            <v>264.41784548422197</v>
          </cell>
          <cell r="AE1355">
            <v>279.10772578890095</v>
          </cell>
          <cell r="AF1355">
            <v>293.79760609357999</v>
          </cell>
          <cell r="AG1355">
            <v>303.59085963003264</v>
          </cell>
          <cell r="AH1355">
            <v>313.38411316648535</v>
          </cell>
          <cell r="AI1355">
            <v>323.177366702938</v>
          </cell>
          <cell r="AJ1355">
            <v>332.97062023939071</v>
          </cell>
          <cell r="AK1355">
            <v>342.76387377584336</v>
          </cell>
          <cell r="AL1355">
            <v>352.55712731229602</v>
          </cell>
          <cell r="AM1355">
            <v>362.35038084874873</v>
          </cell>
          <cell r="AN1355">
            <v>372.14363438520138</v>
          </cell>
          <cell r="AO1355">
            <v>381.93688792165409</v>
          </cell>
          <cell r="AP1355">
            <v>391.73014145810674</v>
          </cell>
          <cell r="AQ1355">
            <v>401.5233949945594</v>
          </cell>
          <cell r="AR1355">
            <v>411.31664853101211</v>
          </cell>
          <cell r="AS1355">
            <v>421.10990206746476</v>
          </cell>
          <cell r="AT1355">
            <v>430.90315560391747</v>
          </cell>
          <cell r="AU1355">
            <v>440.69640914037012</v>
          </cell>
          <cell r="AV1355">
            <v>450.48966267682277</v>
          </cell>
          <cell r="AW1355">
            <v>460.28291621327548</v>
          </cell>
          <cell r="AX1355">
            <v>470.07616974972814</v>
          </cell>
          <cell r="AY1355">
            <v>479.86942328618079</v>
          </cell>
          <cell r="AZ1355">
            <v>489.66267682263333</v>
          </cell>
          <cell r="BA1355">
            <v>499.45593035908598</v>
          </cell>
          <cell r="BB1355">
            <v>509.24918389553869</v>
          </cell>
          <cell r="BC1355">
            <v>519.0424374319914</v>
          </cell>
          <cell r="BD1355">
            <v>528.83569096844406</v>
          </cell>
          <cell r="BE1355">
            <v>489.66267682263333</v>
          </cell>
          <cell r="BF1355">
            <v>489.66267682263333</v>
          </cell>
          <cell r="BG1355">
            <v>489.66267682263333</v>
          </cell>
          <cell r="BH1355">
            <v>489.66267682263333</v>
          </cell>
          <cell r="BI1355">
            <v>489.66267682263333</v>
          </cell>
          <cell r="BJ1355">
            <v>489.66267682263333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</row>
        <row r="1356">
          <cell r="A1356" t="str">
            <v>MMA</v>
          </cell>
          <cell r="B1356" t="str">
            <v>4WAY</v>
          </cell>
          <cell r="D1356" t="str">
            <v>SHIFT C  - output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249.72796517954299</v>
          </cell>
          <cell r="AI1356">
            <v>249.72796517954299</v>
          </cell>
          <cell r="AJ1356">
            <v>264.41784548422197</v>
          </cell>
          <cell r="AK1356">
            <v>279.10772578890095</v>
          </cell>
          <cell r="AL1356">
            <v>293.79760609357999</v>
          </cell>
          <cell r="AM1356">
            <v>303.59085963003264</v>
          </cell>
          <cell r="AN1356">
            <v>313.38411316648535</v>
          </cell>
          <cell r="AO1356">
            <v>323.177366702938</v>
          </cell>
          <cell r="AP1356">
            <v>332.97062023939071</v>
          </cell>
          <cell r="AQ1356">
            <v>342.76387377584336</v>
          </cell>
          <cell r="AR1356">
            <v>352.55712731229602</v>
          </cell>
          <cell r="AS1356">
            <v>362.35038084874873</v>
          </cell>
          <cell r="AT1356">
            <v>372.14363438520138</v>
          </cell>
          <cell r="AU1356">
            <v>381.93688792165409</v>
          </cell>
          <cell r="AV1356">
            <v>391.73014145810674</v>
          </cell>
          <cell r="AW1356">
            <v>401.5233949945594</v>
          </cell>
          <cell r="AX1356">
            <v>411.31664853101211</v>
          </cell>
          <cell r="AY1356">
            <v>421.10990206746476</v>
          </cell>
          <cell r="AZ1356">
            <v>430.90315560391747</v>
          </cell>
          <cell r="BA1356">
            <v>440.69640914037012</v>
          </cell>
          <cell r="BB1356">
            <v>450.48966267682277</v>
          </cell>
          <cell r="BC1356">
            <v>460.28291621327548</v>
          </cell>
          <cell r="BD1356">
            <v>470.07616974972814</v>
          </cell>
          <cell r="BE1356">
            <v>479.86942328618079</v>
          </cell>
          <cell r="BF1356">
            <v>489.66267682263333</v>
          </cell>
          <cell r="BG1356">
            <v>499.45593035908598</v>
          </cell>
          <cell r="BH1356">
            <v>509.24918389553869</v>
          </cell>
          <cell r="BI1356">
            <v>519.0424374319914</v>
          </cell>
          <cell r="BJ1356">
            <v>528.83569096844406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</row>
        <row r="1357">
          <cell r="A1357" t="str">
            <v>MMA</v>
          </cell>
          <cell r="B1357" t="str">
            <v>4WAY</v>
          </cell>
          <cell r="D1357" t="str">
            <v>Est. Output (Pcs day)</v>
          </cell>
          <cell r="E1357">
            <v>9.19</v>
          </cell>
          <cell r="Z1357">
            <v>293.79760609358004</v>
          </cell>
          <cell r="AA1357">
            <v>293.79760609358004</v>
          </cell>
          <cell r="AB1357">
            <v>739.39064200217626</v>
          </cell>
          <cell r="AC1357">
            <v>739.39064200217626</v>
          </cell>
          <cell r="AD1357">
            <v>754.0805223068553</v>
          </cell>
          <cell r="AE1357">
            <v>768.77040261153434</v>
          </cell>
          <cell r="AF1357">
            <v>783.46028291621337</v>
          </cell>
          <cell r="AG1357">
            <v>793.25353645266591</v>
          </cell>
          <cell r="AH1357">
            <v>1052.7747551686616</v>
          </cell>
          <cell r="AI1357">
            <v>1062.5680087051144</v>
          </cell>
          <cell r="AJ1357">
            <v>1087.051142546246</v>
          </cell>
          <cell r="AK1357">
            <v>1111.5342763873778</v>
          </cell>
          <cell r="AL1357">
            <v>1136.0174102285093</v>
          </cell>
          <cell r="AM1357">
            <v>1155.6039173014146</v>
          </cell>
          <cell r="AN1357">
            <v>1175.1904243743202</v>
          </cell>
          <cell r="AO1357">
            <v>1194.7769314472253</v>
          </cell>
          <cell r="AP1357">
            <v>1214.3634385201308</v>
          </cell>
          <cell r="AQ1357">
            <v>1233.9499455930361</v>
          </cell>
          <cell r="AR1357">
            <v>1253.5364526659414</v>
          </cell>
          <cell r="AS1357">
            <v>1273.1229597388469</v>
          </cell>
          <cell r="AT1357">
            <v>1292.709466811752</v>
          </cell>
          <cell r="AU1357">
            <v>1312.2959738846575</v>
          </cell>
          <cell r="AV1357">
            <v>1331.8824809575628</v>
          </cell>
          <cell r="AW1357">
            <v>1351.4689880304682</v>
          </cell>
          <cell r="AX1357">
            <v>1371.0554951033737</v>
          </cell>
          <cell r="AY1357">
            <v>1390.6420021762788</v>
          </cell>
          <cell r="AZ1357">
            <v>1410.2285092491841</v>
          </cell>
          <cell r="BA1357">
            <v>1429.8150163220894</v>
          </cell>
          <cell r="BB1357">
            <v>1449.4015233949947</v>
          </cell>
          <cell r="BC1357">
            <v>1468.9880304679002</v>
          </cell>
          <cell r="BD1357">
            <v>1488.5745375408055</v>
          </cell>
          <cell r="BE1357">
            <v>1459.1947769314474</v>
          </cell>
          <cell r="BF1357">
            <v>1468.9880304679</v>
          </cell>
          <cell r="BG1357">
            <v>1478.7812840043525</v>
          </cell>
          <cell r="BH1357">
            <v>1488.5745375408053</v>
          </cell>
          <cell r="BI1357">
            <v>1498.3677910772581</v>
          </cell>
          <cell r="BJ1357">
            <v>1508.1610446137106</v>
          </cell>
          <cell r="BK1357">
            <v>281.73913043478262</v>
          </cell>
          <cell r="BL1357">
            <v>281.73913043478262</v>
          </cell>
          <cell r="BM1357">
            <v>281.73913043478262</v>
          </cell>
          <cell r="BN1357">
            <v>281.73913043478262</v>
          </cell>
          <cell r="BO1357">
            <v>281.73913043478262</v>
          </cell>
          <cell r="BP1357">
            <v>281.73913043478262</v>
          </cell>
          <cell r="BQ1357">
            <v>281.73913043478262</v>
          </cell>
          <cell r="BR1357">
            <v>281.73913043478262</v>
          </cell>
          <cell r="BS1357">
            <v>281.73913043478262</v>
          </cell>
          <cell r="BT1357">
            <v>281.73913043478262</v>
          </cell>
          <cell r="BU1357">
            <v>281.73913043478262</v>
          </cell>
          <cell r="BV1357">
            <v>281.73913043478262</v>
          </cell>
        </row>
        <row r="1358">
          <cell r="A1358" t="str">
            <v>MMA</v>
          </cell>
          <cell r="B1358" t="str">
            <v>4WAY</v>
          </cell>
          <cell r="D1358" t="str">
            <v>Weekly Output PLAN</v>
          </cell>
          <cell r="E1358" t="str">
            <v>SEW</v>
          </cell>
          <cell r="Z1358">
            <v>1468.9880304679002</v>
          </cell>
          <cell r="AA1358">
            <v>1468.9880304679002</v>
          </cell>
          <cell r="AB1358">
            <v>3696.9532100108813</v>
          </cell>
          <cell r="AC1358">
            <v>3696.9532100108813</v>
          </cell>
          <cell r="AD1358">
            <v>2262.2415669205657</v>
          </cell>
          <cell r="AE1358">
            <v>3843.8520130576717</v>
          </cell>
          <cell r="AF1358">
            <v>3917.3014145810666</v>
          </cell>
          <cell r="AG1358">
            <v>3966.2676822633293</v>
          </cell>
          <cell r="AH1358">
            <v>5263.8737758433081</v>
          </cell>
          <cell r="AI1358">
            <v>5312.8400435255717</v>
          </cell>
          <cell r="AJ1358">
            <v>5435.2557127312302</v>
          </cell>
          <cell r="AK1358">
            <v>4446.137105549511</v>
          </cell>
          <cell r="AL1358">
            <v>4544.0696409140373</v>
          </cell>
          <cell r="AM1358">
            <v>5778.0195865070727</v>
          </cell>
          <cell r="AN1358">
            <v>4700.7616974972807</v>
          </cell>
          <cell r="AO1358">
            <v>5973.8846572361263</v>
          </cell>
          <cell r="AP1358">
            <v>6071.8171926006544</v>
          </cell>
          <cell r="AQ1358">
            <v>6169.7497279651807</v>
          </cell>
          <cell r="AR1358">
            <v>6267.682263329707</v>
          </cell>
          <cell r="AS1358">
            <v>6365.6147986942342</v>
          </cell>
          <cell r="AT1358">
            <v>6463.5473340587596</v>
          </cell>
          <cell r="AU1358">
            <v>6561.4798694232877</v>
          </cell>
          <cell r="AV1358">
            <v>6659.412404787814</v>
          </cell>
          <cell r="AW1358">
            <v>6757.3449401523412</v>
          </cell>
          <cell r="AX1358">
            <v>6855.2774755168684</v>
          </cell>
          <cell r="AY1358">
            <v>6953.2100108813938</v>
          </cell>
          <cell r="AZ1358">
            <v>0</v>
          </cell>
          <cell r="BA1358">
            <v>0</v>
          </cell>
          <cell r="BB1358">
            <v>7247.0076169749736</v>
          </cell>
          <cell r="BC1358">
            <v>7344.9401523395009</v>
          </cell>
          <cell r="BD1358">
            <v>7442.8726877040281</v>
          </cell>
          <cell r="BE1358">
            <v>7295.9738846572372</v>
          </cell>
          <cell r="BF1358">
            <v>7344.9401523394999</v>
          </cell>
          <cell r="BG1358">
            <v>7393.9064200217626</v>
          </cell>
          <cell r="BH1358">
            <v>7442.8726877040262</v>
          </cell>
          <cell r="BI1358">
            <v>7491.8389553862908</v>
          </cell>
          <cell r="BJ1358">
            <v>7540.8052230685535</v>
          </cell>
          <cell r="BK1358">
            <v>1408.695652173913</v>
          </cell>
          <cell r="BL1358">
            <v>1408.695652173913</v>
          </cell>
          <cell r="BM1358">
            <v>1408.695652173913</v>
          </cell>
          <cell r="BN1358">
            <v>1408.695652173913</v>
          </cell>
          <cell r="BO1358">
            <v>1408.695652173913</v>
          </cell>
          <cell r="BP1358">
            <v>1408.695652173913</v>
          </cell>
          <cell r="BQ1358">
            <v>1408.695652173913</v>
          </cell>
          <cell r="BR1358">
            <v>1408.695652173913</v>
          </cell>
          <cell r="BS1358">
            <v>845.21739130434787</v>
          </cell>
          <cell r="BT1358">
            <v>845.21739130434787</v>
          </cell>
          <cell r="BU1358">
            <v>845.21739130434787</v>
          </cell>
          <cell r="BV1358">
            <v>845.21739130434787</v>
          </cell>
        </row>
        <row r="1359">
          <cell r="A1359" t="str">
            <v>MMA</v>
          </cell>
          <cell r="B1359" t="str">
            <v>4WAY</v>
          </cell>
          <cell r="D1359" t="str">
            <v>PVC</v>
          </cell>
          <cell r="E1359">
            <v>8.9046000000000003</v>
          </cell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</row>
        <row r="1360">
          <cell r="A1360" t="str">
            <v>MMA</v>
          </cell>
          <cell r="B1360" t="str">
            <v>4WAY</v>
          </cell>
          <cell r="D1360" t="str">
            <v>LTH</v>
          </cell>
          <cell r="E1360">
            <v>9.4715999999999987</v>
          </cell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</row>
        <row r="1361">
          <cell r="A1361" t="str">
            <v>MMA</v>
          </cell>
          <cell r="B1361" t="str">
            <v>4WAY</v>
          </cell>
          <cell r="D1361" t="str">
            <v>PO</v>
          </cell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</row>
        <row r="1362">
          <cell r="A1362" t="str">
            <v>MMA</v>
          </cell>
          <cell r="B1362" t="str">
            <v>4WAY</v>
          </cell>
          <cell r="D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</row>
        <row r="1363">
          <cell r="A1363" t="str">
            <v>MMA</v>
          </cell>
          <cell r="B1363" t="str">
            <v>4WAY</v>
          </cell>
          <cell r="D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</row>
        <row r="1364">
          <cell r="A1364" t="str">
            <v>MMA</v>
          </cell>
          <cell r="B1364" t="str">
            <v>4WAY</v>
          </cell>
          <cell r="D1364" t="str">
            <v>Weekly Output PLAN - SUM of models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</row>
        <row r="1365">
          <cell r="A1365" t="str">
            <v>MMA</v>
          </cell>
          <cell r="B1365" t="str">
            <v>4WAY</v>
          </cell>
          <cell r="D1365" t="str">
            <v>Weekly Output CHECK with TO time multiple</v>
          </cell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</row>
        <row r="1366">
          <cell r="A1366" t="str">
            <v>MMA</v>
          </cell>
          <cell r="B1366" t="str">
            <v>4WAY</v>
          </cell>
          <cell r="D1366" t="str">
            <v>Weekly Output ACT</v>
          </cell>
          <cell r="Z1366">
            <v>1468.9880304679002</v>
          </cell>
          <cell r="AA1366">
            <v>1468.9880304679002</v>
          </cell>
          <cell r="AB1366">
            <v>3696.9532100108813</v>
          </cell>
          <cell r="AC1366">
            <v>3696.9532100108813</v>
          </cell>
          <cell r="AD1366">
            <v>2262.2415669205657</v>
          </cell>
          <cell r="AE1366">
            <v>3843.8520130576717</v>
          </cell>
          <cell r="AF1366">
            <v>3917.3014145810666</v>
          </cell>
          <cell r="AG1366">
            <v>3966.2676822633293</v>
          </cell>
          <cell r="AH1366">
            <v>5263.8737758433081</v>
          </cell>
          <cell r="AI1366">
            <v>5312.8400435255717</v>
          </cell>
          <cell r="AJ1366">
            <v>5435.2557127312302</v>
          </cell>
          <cell r="AK1366">
            <v>4446.137105549511</v>
          </cell>
          <cell r="AL1366">
            <v>4544.0696409140373</v>
          </cell>
          <cell r="AM1366">
            <v>5778.0195865070727</v>
          </cell>
          <cell r="AN1366">
            <v>4700.7616974972807</v>
          </cell>
          <cell r="AO1366">
            <v>5973.8846572361263</v>
          </cell>
          <cell r="AP1366">
            <v>6071.8171926006544</v>
          </cell>
          <cell r="AQ1366">
            <v>6169.7497279651807</v>
          </cell>
          <cell r="AR1366">
            <v>6267.682263329707</v>
          </cell>
          <cell r="AS1366">
            <v>6365.6147986942342</v>
          </cell>
          <cell r="AT1366">
            <v>6463.5473340587596</v>
          </cell>
          <cell r="AU1366">
            <v>6561.4798694232877</v>
          </cell>
          <cell r="AV1366">
            <v>6659.412404787814</v>
          </cell>
          <cell r="AW1366">
            <v>6757.3449401523412</v>
          </cell>
          <cell r="AX1366">
            <v>6855.2774755168684</v>
          </cell>
          <cell r="AY1366">
            <v>6953.2100108813938</v>
          </cell>
          <cell r="AZ1366">
            <v>0</v>
          </cell>
          <cell r="BA1366">
            <v>0</v>
          </cell>
          <cell r="BB1366">
            <v>7247.0076169749736</v>
          </cell>
          <cell r="BC1366">
            <v>7344.9401523395009</v>
          </cell>
          <cell r="BD1366">
            <v>7442.8726877040281</v>
          </cell>
          <cell r="BE1366">
            <v>7295.9738846572372</v>
          </cell>
          <cell r="BF1366">
            <v>7344.9401523394999</v>
          </cell>
          <cell r="BG1366">
            <v>7393.9064200217626</v>
          </cell>
          <cell r="BH1366">
            <v>7442.8726877040262</v>
          </cell>
          <cell r="BI1366">
            <v>7491.8389553862908</v>
          </cell>
          <cell r="BJ1366">
            <v>7540.8052230685535</v>
          </cell>
          <cell r="BK1366">
            <v>1408.695652173913</v>
          </cell>
          <cell r="BL1366">
            <v>1408.695652173913</v>
          </cell>
          <cell r="BM1366">
            <v>1408.695652173913</v>
          </cell>
          <cell r="BN1366">
            <v>1408.695652173913</v>
          </cell>
          <cell r="BO1366">
            <v>1408.695652173913</v>
          </cell>
          <cell r="BP1366">
            <v>1408.695652173913</v>
          </cell>
          <cell r="BQ1366">
            <v>1408.695652173913</v>
          </cell>
          <cell r="BR1366">
            <v>1408.695652173913</v>
          </cell>
          <cell r="BS1366">
            <v>845.21739130434787</v>
          </cell>
          <cell r="BT1366">
            <v>845.21739130434787</v>
          </cell>
          <cell r="BU1366">
            <v>845.21739130434787</v>
          </cell>
          <cell r="BV1366">
            <v>845.21739130434787</v>
          </cell>
        </row>
        <row r="1367">
          <cell r="A1367" t="str">
            <v>MMA</v>
          </cell>
          <cell r="B1367" t="str">
            <v>4WAY</v>
          </cell>
          <cell r="D1367" t="str">
            <v>PVC</v>
          </cell>
          <cell r="Z1367">
            <v>1485.2652259332026</v>
          </cell>
          <cell r="AA1367">
            <v>526.03143418467596</v>
          </cell>
          <cell r="AB1367">
            <v>2784.8722986247549</v>
          </cell>
          <cell r="AC1367">
            <v>2939.5874263261303</v>
          </cell>
          <cell r="AD1367">
            <v>1763.7524557956776</v>
          </cell>
          <cell r="AE1367">
            <v>4641.4538310412572</v>
          </cell>
          <cell r="AF1367">
            <v>4796.1689587426326</v>
          </cell>
          <cell r="AG1367">
            <v>4486.7387033398818</v>
          </cell>
          <cell r="AH1367">
            <v>4641.4538310412572</v>
          </cell>
          <cell r="AI1367">
            <v>4796.1689587426326</v>
          </cell>
          <cell r="AJ1367">
            <v>4950.8840864440081</v>
          </cell>
          <cell r="AK1367">
            <v>4084.4793713163067</v>
          </cell>
          <cell r="AL1367">
            <v>4208.2514734774068</v>
          </cell>
          <cell r="AM1367">
            <v>5415.0294695481343</v>
          </cell>
          <cell r="AN1367">
            <v>4455.7956777996078</v>
          </cell>
          <cell r="AO1367">
            <v>5724.4597249508843</v>
          </cell>
          <cell r="AP1367">
            <v>5879.1748526522588</v>
          </cell>
          <cell r="AQ1367">
            <v>5879.1748526522588</v>
          </cell>
          <cell r="AR1367">
            <v>5879.1748526522588</v>
          </cell>
          <cell r="AS1367">
            <v>5879.1748526522588</v>
          </cell>
          <cell r="AT1367">
            <v>5879.1748526522588</v>
          </cell>
          <cell r="AU1367">
            <v>7581.0412573673866</v>
          </cell>
          <cell r="AV1367">
            <v>7735.756385068762</v>
          </cell>
          <cell r="AW1367">
            <v>7890.4715127701375</v>
          </cell>
          <cell r="AX1367">
            <v>8045.1866404715129</v>
          </cell>
          <cell r="AY1367">
            <v>8199.9017681728874</v>
          </cell>
          <cell r="AZ1367">
            <v>0</v>
          </cell>
          <cell r="BA1367">
            <v>0</v>
          </cell>
          <cell r="BB1367">
            <v>8664.0471512770127</v>
          </cell>
          <cell r="BC1367">
            <v>8818.7622789783891</v>
          </cell>
          <cell r="BD1367">
            <v>8818.7622789783891</v>
          </cell>
          <cell r="BE1367">
            <v>8818.7622789783891</v>
          </cell>
          <cell r="BF1367">
            <v>8818.7622789783891</v>
          </cell>
          <cell r="BG1367">
            <v>8818.7622789783891</v>
          </cell>
          <cell r="BH1367">
            <v>8818.7622789783891</v>
          </cell>
          <cell r="BI1367">
            <v>8818.7622789783891</v>
          </cell>
          <cell r="BJ1367">
            <v>8818.7622789783891</v>
          </cell>
          <cell r="BK1367">
            <v>1591.3555992141455</v>
          </cell>
          <cell r="BL1367">
            <v>954.81335952848724</v>
          </cell>
          <cell r="BM1367">
            <v>954.81335952848724</v>
          </cell>
          <cell r="BN1367">
            <v>954.81335952848724</v>
          </cell>
          <cell r="BO1367">
            <v>954.81335952848724</v>
          </cell>
          <cell r="BP1367">
            <v>954.81335952848724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</row>
        <row r="1368">
          <cell r="A1368" t="str">
            <v>MMA</v>
          </cell>
          <cell r="B1368" t="str">
            <v>4WAY</v>
          </cell>
          <cell r="D1368" t="str">
            <v>LTH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</row>
        <row r="1369">
          <cell r="A1369" t="str">
            <v>MMA</v>
          </cell>
          <cell r="B1369" t="str">
            <v>4WAY</v>
          </cell>
          <cell r="D1369" t="str">
            <v>PO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</row>
        <row r="1370">
          <cell r="A1370" t="str">
            <v>MMA</v>
          </cell>
          <cell r="B1370" t="str">
            <v>4WAY</v>
          </cell>
          <cell r="D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</row>
        <row r="1371">
          <cell r="A1371" t="str">
            <v>MMA</v>
          </cell>
          <cell r="B1371" t="str">
            <v>4WAY</v>
          </cell>
          <cell r="D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</row>
        <row r="1372">
          <cell r="A1372" t="str">
            <v>MMA</v>
          </cell>
          <cell r="B1372" t="str">
            <v>4WAY</v>
          </cell>
          <cell r="D1372" t="str">
            <v>Weekly demand</v>
          </cell>
          <cell r="Z1372">
            <v>1485.2652259332026</v>
          </cell>
          <cell r="AA1372">
            <v>526.03143418467596</v>
          </cell>
          <cell r="AB1372">
            <v>2784.8722986247549</v>
          </cell>
          <cell r="AC1372">
            <v>2939.5874263261303</v>
          </cell>
          <cell r="AD1372">
            <v>1763.7524557956776</v>
          </cell>
          <cell r="AE1372">
            <v>4641.4538310412572</v>
          </cell>
          <cell r="AF1372">
            <v>4796.1689587426326</v>
          </cell>
          <cell r="AG1372">
            <v>4486.7387033398818</v>
          </cell>
          <cell r="AH1372">
            <v>4641.4538310412572</v>
          </cell>
          <cell r="AI1372">
            <v>4796.1689587426326</v>
          </cell>
          <cell r="AJ1372">
            <v>4950.8840864440081</v>
          </cell>
          <cell r="AK1372">
            <v>4084.4793713163067</v>
          </cell>
          <cell r="AL1372">
            <v>4208.2514734774068</v>
          </cell>
          <cell r="AM1372">
            <v>5415.0294695481343</v>
          </cell>
          <cell r="AN1372">
            <v>4455.7956777996078</v>
          </cell>
          <cell r="AO1372">
            <v>5724.4597249508843</v>
          </cell>
          <cell r="AP1372">
            <v>5879.1748526522588</v>
          </cell>
          <cell r="AQ1372">
            <v>5879.1748526522588</v>
          </cell>
          <cell r="AR1372">
            <v>5879.1748526522588</v>
          </cell>
          <cell r="AS1372">
            <v>5879.1748526522588</v>
          </cell>
          <cell r="AT1372">
            <v>5879.1748526522588</v>
          </cell>
          <cell r="AU1372">
            <v>7581.0412573673866</v>
          </cell>
          <cell r="AV1372">
            <v>7735.756385068762</v>
          </cell>
          <cell r="AW1372">
            <v>7890.4715127701375</v>
          </cell>
          <cell r="AX1372">
            <v>8045.1866404715129</v>
          </cell>
          <cell r="AY1372">
            <v>8199.9017681728874</v>
          </cell>
          <cell r="AZ1372">
            <v>0</v>
          </cell>
          <cell r="BA1372">
            <v>0</v>
          </cell>
          <cell r="BB1372">
            <v>8664.0471512770127</v>
          </cell>
          <cell r="BC1372">
            <v>8818.7622789783891</v>
          </cell>
          <cell r="BD1372">
            <v>8818.7622789783891</v>
          </cell>
          <cell r="BE1372">
            <v>8818.7622789783891</v>
          </cell>
          <cell r="BF1372">
            <v>8818.7622789783891</v>
          </cell>
          <cell r="BG1372">
            <v>8818.7622789783891</v>
          </cell>
          <cell r="BH1372">
            <v>8818.7622789783891</v>
          </cell>
          <cell r="BI1372">
            <v>8818.7622789783891</v>
          </cell>
          <cell r="BJ1372">
            <v>8818.7622789783891</v>
          </cell>
          <cell r="BK1372">
            <v>1591.3555992141455</v>
          </cell>
          <cell r="BL1372">
            <v>954.81335952848724</v>
          </cell>
          <cell r="BM1372">
            <v>954.81335952848724</v>
          </cell>
          <cell r="BN1372">
            <v>954.81335952848724</v>
          </cell>
          <cell r="BO1372">
            <v>954.81335952848724</v>
          </cell>
          <cell r="BP1372">
            <v>954.81335952848724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</row>
        <row r="1373">
          <cell r="A1373" t="str">
            <v>MMA</v>
          </cell>
          <cell r="B1373" t="str">
            <v>4WAY</v>
          </cell>
          <cell r="D1373" t="str">
            <v>Stock Target</v>
          </cell>
          <cell r="Z1373">
            <v>2518</v>
          </cell>
          <cell r="AA1373">
            <v>2519</v>
          </cell>
          <cell r="AB1373">
            <v>2520</v>
          </cell>
          <cell r="AC1373">
            <v>2521</v>
          </cell>
          <cell r="AD1373">
            <v>2522</v>
          </cell>
          <cell r="AE1373">
            <v>2523</v>
          </cell>
          <cell r="AF1373">
            <v>2524</v>
          </cell>
          <cell r="AG1373">
            <v>2525</v>
          </cell>
          <cell r="AH1373">
            <v>2526</v>
          </cell>
          <cell r="AI1373">
            <v>2527</v>
          </cell>
          <cell r="AJ1373">
            <v>2528</v>
          </cell>
          <cell r="AK1373">
            <v>2529</v>
          </cell>
          <cell r="AL1373">
            <v>2530</v>
          </cell>
          <cell r="AM1373">
            <v>2531</v>
          </cell>
          <cell r="AN1373">
            <v>2532</v>
          </cell>
          <cell r="AO1373">
            <v>2533</v>
          </cell>
          <cell r="AP1373">
            <v>2534</v>
          </cell>
          <cell r="AQ1373">
            <v>2535</v>
          </cell>
          <cell r="AR1373">
            <v>2536</v>
          </cell>
          <cell r="AS1373">
            <v>2537</v>
          </cell>
          <cell r="AT1373">
            <v>2538</v>
          </cell>
          <cell r="AU1373">
            <v>2539</v>
          </cell>
          <cell r="AV1373">
            <v>2540</v>
          </cell>
          <cell r="AW1373">
            <v>2541</v>
          </cell>
          <cell r="AX1373">
            <v>2542</v>
          </cell>
          <cell r="AY1373">
            <v>2543</v>
          </cell>
          <cell r="AZ1373">
            <v>2544</v>
          </cell>
          <cell r="BA1373">
            <v>2545</v>
          </cell>
          <cell r="BB1373">
            <v>2546</v>
          </cell>
          <cell r="BC1373">
            <v>2547</v>
          </cell>
          <cell r="BD1373">
            <v>2548</v>
          </cell>
          <cell r="BE1373">
            <v>2549</v>
          </cell>
          <cell r="BF1373">
            <v>2550</v>
          </cell>
          <cell r="BG1373">
            <v>2551</v>
          </cell>
          <cell r="BH1373">
            <v>2552</v>
          </cell>
          <cell r="BI1373">
            <v>2553</v>
          </cell>
          <cell r="BJ1373">
            <v>2554</v>
          </cell>
          <cell r="BK1373">
            <v>2555</v>
          </cell>
          <cell r="BL1373">
            <v>2556</v>
          </cell>
          <cell r="BM1373">
            <v>2557</v>
          </cell>
          <cell r="BN1373">
            <v>2558</v>
          </cell>
          <cell r="BO1373">
            <v>2559</v>
          </cell>
          <cell r="BP1373">
            <v>2560</v>
          </cell>
          <cell r="BQ1373">
            <v>2561</v>
          </cell>
          <cell r="BR1373">
            <v>2562</v>
          </cell>
          <cell r="BS1373">
            <v>2563</v>
          </cell>
          <cell r="BT1373">
            <v>2564</v>
          </cell>
          <cell r="BU1373">
            <v>2565</v>
          </cell>
          <cell r="BV1373">
            <v>2566</v>
          </cell>
        </row>
        <row r="1374">
          <cell r="A1374" t="str">
            <v>MMA</v>
          </cell>
          <cell r="B1374" t="str">
            <v>4WAY</v>
          </cell>
          <cell r="D1374" t="str">
            <v>PVC</v>
          </cell>
          <cell r="Z1374">
            <v>1020</v>
          </cell>
          <cell r="AA1374">
            <v>493.96856581532404</v>
          </cell>
          <cell r="AB1374">
            <v>-2290.9037328094309</v>
          </cell>
          <cell r="AC1374">
            <v>-5230.4911591355612</v>
          </cell>
          <cell r="AD1374">
            <v>-6994.2436149312389</v>
          </cell>
          <cell r="AE1374">
            <v>-11635.697445972495</v>
          </cell>
          <cell r="AF1374">
            <v>-16431.866404715129</v>
          </cell>
          <cell r="AG1374">
            <v>-20918.60510805501</v>
          </cell>
          <cell r="AH1374">
            <v>-25560.058939096267</v>
          </cell>
          <cell r="AI1374">
            <v>-30356.2278978389</v>
          </cell>
          <cell r="AJ1374">
            <v>-35307.111984282907</v>
          </cell>
          <cell r="AK1374">
            <v>-39391.591355599216</v>
          </cell>
          <cell r="AL1374">
            <v>-43599.842829076624</v>
          </cell>
          <cell r="AM1374">
            <v>-49014.872298624759</v>
          </cell>
          <cell r="AN1374">
            <v>-53470.667976424367</v>
          </cell>
          <cell r="AO1374">
            <v>-59195.127701375255</v>
          </cell>
          <cell r="AP1374">
            <v>-65074.302554027512</v>
          </cell>
          <cell r="AQ1374">
            <v>-70953.477406679769</v>
          </cell>
          <cell r="AR1374">
            <v>-76832.652259332026</v>
          </cell>
          <cell r="AS1374">
            <v>-82711.827111984283</v>
          </cell>
          <cell r="AT1374">
            <v>-88591.00196463654</v>
          </cell>
          <cell r="AU1374">
            <v>-96172.043222003922</v>
          </cell>
          <cell r="AV1374">
            <v>-103907.79960707268</v>
          </cell>
          <cell r="AW1374">
            <v>-111798.27111984282</v>
          </cell>
          <cell r="AX1374">
            <v>-119843.45776031433</v>
          </cell>
          <cell r="AY1374">
            <v>-128043.35952848721</v>
          </cell>
          <cell r="AZ1374">
            <v>-128043.35952848721</v>
          </cell>
          <cell r="BA1374">
            <v>-128043.35952848721</v>
          </cell>
          <cell r="BB1374">
            <v>-136707.40667976422</v>
          </cell>
          <cell r="BC1374">
            <v>-145526.16895874261</v>
          </cell>
          <cell r="BD1374">
            <v>-154344.931237721</v>
          </cell>
          <cell r="BE1374">
            <v>-163163.69351669939</v>
          </cell>
          <cell r="BF1374">
            <v>-171982.45579567779</v>
          </cell>
          <cell r="BG1374">
            <v>-180801.21807465618</v>
          </cell>
          <cell r="BH1374">
            <v>-189619.98035363457</v>
          </cell>
          <cell r="BI1374">
            <v>-198438.74263261296</v>
          </cell>
          <cell r="BJ1374">
            <v>-207257.50491159136</v>
          </cell>
          <cell r="BK1374">
            <v>-208848.86051080551</v>
          </cell>
          <cell r="BL1374">
            <v>-209803.67387033399</v>
          </cell>
          <cell r="BM1374">
            <v>-210758.48722986248</v>
          </cell>
          <cell r="BN1374">
            <v>-211713.30058939097</v>
          </cell>
          <cell r="BO1374">
            <v>-212668.11394891946</v>
          </cell>
          <cell r="BP1374">
            <v>-213622.92730844795</v>
          </cell>
          <cell r="BQ1374">
            <v>-213622.92730844795</v>
          </cell>
          <cell r="BR1374">
            <v>-213622.92730844795</v>
          </cell>
          <cell r="BS1374">
            <v>-213622.92730844795</v>
          </cell>
          <cell r="BT1374">
            <v>-213622.92730844795</v>
          </cell>
          <cell r="BU1374">
            <v>-213622.92730844795</v>
          </cell>
          <cell r="BV1374">
            <v>-213622.92730844795</v>
          </cell>
        </row>
        <row r="1375">
          <cell r="A1375" t="str">
            <v>MMA</v>
          </cell>
          <cell r="B1375" t="str">
            <v>4WAY</v>
          </cell>
          <cell r="D1375" t="str">
            <v>LTH</v>
          </cell>
          <cell r="Z1375">
            <v>360</v>
          </cell>
          <cell r="AA1375">
            <v>360</v>
          </cell>
          <cell r="AB1375">
            <v>360</v>
          </cell>
          <cell r="AC1375">
            <v>360</v>
          </cell>
          <cell r="AD1375">
            <v>360</v>
          </cell>
          <cell r="AE1375">
            <v>360</v>
          </cell>
          <cell r="AF1375">
            <v>360</v>
          </cell>
          <cell r="AG1375">
            <v>360</v>
          </cell>
          <cell r="AH1375">
            <v>360</v>
          </cell>
          <cell r="AI1375">
            <v>360</v>
          </cell>
          <cell r="AJ1375">
            <v>360</v>
          </cell>
          <cell r="AK1375">
            <v>360</v>
          </cell>
          <cell r="AL1375">
            <v>360</v>
          </cell>
          <cell r="AM1375">
            <v>360</v>
          </cell>
          <cell r="AN1375">
            <v>360</v>
          </cell>
          <cell r="AO1375">
            <v>360</v>
          </cell>
          <cell r="AP1375">
            <v>360</v>
          </cell>
          <cell r="AQ1375">
            <v>360</v>
          </cell>
          <cell r="AR1375">
            <v>360</v>
          </cell>
          <cell r="AS1375">
            <v>360</v>
          </cell>
          <cell r="AT1375">
            <v>360</v>
          </cell>
          <cell r="AU1375">
            <v>360</v>
          </cell>
          <cell r="AV1375">
            <v>360</v>
          </cell>
          <cell r="AW1375">
            <v>360</v>
          </cell>
          <cell r="AX1375">
            <v>360</v>
          </cell>
          <cell r="AY1375">
            <v>360</v>
          </cell>
          <cell r="AZ1375">
            <v>360</v>
          </cell>
          <cell r="BA1375">
            <v>360</v>
          </cell>
          <cell r="BB1375">
            <v>360</v>
          </cell>
          <cell r="BC1375">
            <v>360</v>
          </cell>
          <cell r="BD1375">
            <v>360</v>
          </cell>
          <cell r="BE1375">
            <v>360</v>
          </cell>
          <cell r="BF1375">
            <v>360</v>
          </cell>
          <cell r="BG1375">
            <v>360</v>
          </cell>
          <cell r="BH1375">
            <v>360</v>
          </cell>
          <cell r="BI1375">
            <v>360</v>
          </cell>
          <cell r="BJ1375">
            <v>360</v>
          </cell>
          <cell r="BK1375">
            <v>360</v>
          </cell>
          <cell r="BL1375">
            <v>360</v>
          </cell>
          <cell r="BM1375">
            <v>360</v>
          </cell>
          <cell r="BN1375">
            <v>360</v>
          </cell>
          <cell r="BO1375">
            <v>360</v>
          </cell>
          <cell r="BP1375">
            <v>360</v>
          </cell>
          <cell r="BQ1375">
            <v>360</v>
          </cell>
          <cell r="BR1375">
            <v>360</v>
          </cell>
          <cell r="BS1375">
            <v>360</v>
          </cell>
          <cell r="BT1375">
            <v>360</v>
          </cell>
          <cell r="BU1375">
            <v>360</v>
          </cell>
          <cell r="BV1375">
            <v>360</v>
          </cell>
        </row>
        <row r="1376">
          <cell r="A1376" t="str">
            <v>MMA</v>
          </cell>
          <cell r="B1376" t="str">
            <v>4WAY</v>
          </cell>
          <cell r="D1376" t="str">
            <v>PO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</row>
        <row r="1377">
          <cell r="A1377" t="str">
            <v>MMA</v>
          </cell>
          <cell r="B1377" t="str">
            <v>4WAY</v>
          </cell>
          <cell r="D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</row>
        <row r="1378">
          <cell r="A1378" t="str">
            <v>MMA</v>
          </cell>
          <cell r="B1378" t="str">
            <v>4WAY</v>
          </cell>
          <cell r="D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</row>
        <row r="1379">
          <cell r="A1379" t="str">
            <v>MMA</v>
          </cell>
          <cell r="B1379" t="str">
            <v>4WAY</v>
          </cell>
          <cell r="D1379" t="str">
            <v>STOCK</v>
          </cell>
          <cell r="Z1379">
            <v>1380</v>
          </cell>
          <cell r="AA1379">
            <v>2322.9565962832244</v>
          </cell>
          <cell r="AB1379">
            <v>3235.0375076693508</v>
          </cell>
          <cell r="AC1379">
            <v>3992.4032913541018</v>
          </cell>
          <cell r="AD1379">
            <v>4490.8924024789903</v>
          </cell>
          <cell r="AE1379">
            <v>3693.2905844954048</v>
          </cell>
          <cell r="AF1379">
            <v>2814.4230403338388</v>
          </cell>
          <cell r="AG1379">
            <v>2293.9520192572863</v>
          </cell>
          <cell r="AH1379">
            <v>2916.3719640593372</v>
          </cell>
          <cell r="AI1379">
            <v>3433.0430488422762</v>
          </cell>
          <cell r="AJ1379">
            <v>3917.4146751294984</v>
          </cell>
          <cell r="AK1379">
            <v>4279.0724093627032</v>
          </cell>
          <cell r="AL1379">
            <v>4614.8905767993338</v>
          </cell>
          <cell r="AM1379">
            <v>4977.8806937582722</v>
          </cell>
          <cell r="AN1379">
            <v>5222.8467134559451</v>
          </cell>
          <cell r="AO1379">
            <v>5472.2716457411871</v>
          </cell>
          <cell r="AP1379">
            <v>5664.9139856895827</v>
          </cell>
          <cell r="AQ1379">
            <v>5955.4888610025046</v>
          </cell>
          <cell r="AR1379">
            <v>6343.9962716799528</v>
          </cell>
          <cell r="AS1379">
            <v>6830.4362177219282</v>
          </cell>
          <cell r="AT1379">
            <v>7414.808699128429</v>
          </cell>
          <cell r="AU1379">
            <v>6395.2473111843301</v>
          </cell>
          <cell r="AV1379">
            <v>5318.9033309033821</v>
          </cell>
          <cell r="AW1379">
            <v>4185.7767582855859</v>
          </cell>
          <cell r="AX1379">
            <v>2995.8675933309414</v>
          </cell>
          <cell r="AY1379">
            <v>1749.1758360394479</v>
          </cell>
          <cell r="AZ1379">
            <v>1749.1758360394479</v>
          </cell>
          <cell r="BA1379">
            <v>1749.1758360394479</v>
          </cell>
          <cell r="BB1379">
            <v>332.13630173740876</v>
          </cell>
          <cell r="BC1379">
            <v>-1141.6858249014786</v>
          </cell>
          <cell r="BD1379">
            <v>-2517.5754161758396</v>
          </cell>
          <cell r="BE1379">
            <v>-4040.3638104969914</v>
          </cell>
          <cell r="BF1379">
            <v>-5514.1859371358796</v>
          </cell>
          <cell r="BG1379">
            <v>-6939.041796092507</v>
          </cell>
          <cell r="BH1379">
            <v>-8314.9313873668707</v>
          </cell>
          <cell r="BI1379">
            <v>-9641.8547109589672</v>
          </cell>
          <cell r="BJ1379">
            <v>-10919.811766868803</v>
          </cell>
          <cell r="BK1379">
            <v>-11102.471713909035</v>
          </cell>
          <cell r="BL1379">
            <v>-10648.589421263609</v>
          </cell>
          <cell r="BM1379">
            <v>-10194.707128618182</v>
          </cell>
          <cell r="BN1379">
            <v>-9740.824835972755</v>
          </cell>
          <cell r="BO1379">
            <v>-9286.9425433273282</v>
          </cell>
          <cell r="BP1379">
            <v>-8833.0602506819014</v>
          </cell>
          <cell r="BQ1379">
            <v>-7424.3645985079884</v>
          </cell>
          <cell r="BR1379">
            <v>-6015.6689463340754</v>
          </cell>
          <cell r="BS1379">
            <v>-5170.4515550297274</v>
          </cell>
          <cell r="BT1379">
            <v>-4325.2341637253794</v>
          </cell>
          <cell r="BU1379">
            <v>-3480.0167724210314</v>
          </cell>
          <cell r="BV1379">
            <v>-2634.7993811166834</v>
          </cell>
        </row>
        <row r="1380">
          <cell r="A1380" t="str">
            <v>Blank</v>
          </cell>
          <cell r="B1380" t="str">
            <v>Blank</v>
          </cell>
          <cell r="D1380" t="str">
            <v>Blank</v>
          </cell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</row>
        <row r="1381">
          <cell r="A1381" t="str">
            <v>MMA</v>
          </cell>
          <cell r="B1381" t="str">
            <v>ROHR</v>
          </cell>
          <cell r="D1381" t="str">
            <v>Work days</v>
          </cell>
          <cell r="Z1381">
            <v>2.8</v>
          </cell>
          <cell r="AA1381">
            <v>5</v>
          </cell>
          <cell r="AB1381">
            <v>5</v>
          </cell>
          <cell r="AC1381">
            <v>5</v>
          </cell>
          <cell r="AD1381">
            <v>3</v>
          </cell>
          <cell r="AE1381">
            <v>5</v>
          </cell>
          <cell r="AF1381">
            <v>5</v>
          </cell>
          <cell r="AG1381">
            <v>5</v>
          </cell>
          <cell r="AH1381">
            <v>5</v>
          </cell>
          <cell r="AI1381">
            <v>5</v>
          </cell>
          <cell r="AJ1381">
            <v>5</v>
          </cell>
          <cell r="AK1381">
            <v>4</v>
          </cell>
          <cell r="AL1381">
            <v>4</v>
          </cell>
          <cell r="AM1381">
            <v>5</v>
          </cell>
          <cell r="AN1381">
            <v>4</v>
          </cell>
          <cell r="AO1381">
            <v>5</v>
          </cell>
          <cell r="AP1381">
            <v>5</v>
          </cell>
          <cell r="AQ1381">
            <v>5</v>
          </cell>
          <cell r="AR1381">
            <v>5</v>
          </cell>
          <cell r="AS1381">
            <v>5</v>
          </cell>
          <cell r="AT1381">
            <v>5</v>
          </cell>
          <cell r="AU1381">
            <v>5</v>
          </cell>
          <cell r="AV1381">
            <v>5</v>
          </cell>
          <cell r="AW1381">
            <v>5</v>
          </cell>
          <cell r="AX1381">
            <v>5</v>
          </cell>
          <cell r="AY1381">
            <v>5</v>
          </cell>
          <cell r="AZ1381">
            <v>0</v>
          </cell>
          <cell r="BA1381">
            <v>0</v>
          </cell>
          <cell r="BB1381">
            <v>5</v>
          </cell>
          <cell r="BC1381">
            <v>5</v>
          </cell>
          <cell r="BD1381">
            <v>5</v>
          </cell>
          <cell r="BE1381">
            <v>5</v>
          </cell>
          <cell r="BF1381">
            <v>5</v>
          </cell>
          <cell r="BG1381">
            <v>5</v>
          </cell>
          <cell r="BH1381">
            <v>5</v>
          </cell>
          <cell r="BI1381">
            <v>5</v>
          </cell>
          <cell r="BJ1381">
            <v>5</v>
          </cell>
          <cell r="BK1381">
            <v>5</v>
          </cell>
          <cell r="BL1381">
            <v>14</v>
          </cell>
          <cell r="BM1381">
            <v>3</v>
          </cell>
          <cell r="BN1381">
            <v>3</v>
          </cell>
          <cell r="BO1381">
            <v>3</v>
          </cell>
          <cell r="BP1381">
            <v>3</v>
          </cell>
          <cell r="BQ1381">
            <v>3</v>
          </cell>
          <cell r="BR1381">
            <v>3</v>
          </cell>
          <cell r="BS1381">
            <v>3</v>
          </cell>
          <cell r="BT1381">
            <v>3</v>
          </cell>
          <cell r="BU1381">
            <v>3</v>
          </cell>
          <cell r="BV1381">
            <v>3</v>
          </cell>
        </row>
        <row r="1382">
          <cell r="A1382" t="str">
            <v>MMA</v>
          </cell>
          <cell r="B1382" t="str">
            <v>ROHR</v>
          </cell>
          <cell r="D1382" t="str">
            <v>SHIFT A HC - operators</v>
          </cell>
          <cell r="E1382" t="str">
            <v>ELI INCL FROM 01/01/26 (4OP+2ELI per shift)</v>
          </cell>
          <cell r="Z1382">
            <v>6</v>
          </cell>
          <cell r="AA1382">
            <v>6</v>
          </cell>
          <cell r="AB1382">
            <v>6</v>
          </cell>
          <cell r="AC1382">
            <v>6</v>
          </cell>
          <cell r="AD1382">
            <v>6</v>
          </cell>
          <cell r="AE1382">
            <v>6</v>
          </cell>
          <cell r="AF1382">
            <v>6</v>
          </cell>
          <cell r="AG1382">
            <v>6</v>
          </cell>
          <cell r="AH1382">
            <v>6</v>
          </cell>
          <cell r="AI1382">
            <v>6</v>
          </cell>
          <cell r="AJ1382">
            <v>6</v>
          </cell>
          <cell r="AK1382">
            <v>6</v>
          </cell>
          <cell r="AL1382">
            <v>6</v>
          </cell>
          <cell r="AM1382">
            <v>6</v>
          </cell>
          <cell r="AN1382">
            <v>6</v>
          </cell>
          <cell r="AO1382">
            <v>6</v>
          </cell>
          <cell r="AP1382">
            <v>6</v>
          </cell>
          <cell r="AQ1382">
            <v>6</v>
          </cell>
          <cell r="AR1382">
            <v>6</v>
          </cell>
          <cell r="AS1382">
            <v>6</v>
          </cell>
          <cell r="AT1382">
            <v>6</v>
          </cell>
          <cell r="AU1382">
            <v>6</v>
          </cell>
          <cell r="AV1382">
            <v>6</v>
          </cell>
          <cell r="AW1382">
            <v>6</v>
          </cell>
          <cell r="AX1382">
            <v>6</v>
          </cell>
          <cell r="AY1382">
            <v>6</v>
          </cell>
          <cell r="AZ1382">
            <v>6</v>
          </cell>
          <cell r="BA1382">
            <v>6</v>
          </cell>
          <cell r="BB1382">
            <v>6</v>
          </cell>
          <cell r="BC1382">
            <v>6</v>
          </cell>
          <cell r="BD1382">
            <v>6</v>
          </cell>
          <cell r="BE1382">
            <v>6</v>
          </cell>
          <cell r="BF1382">
            <v>6</v>
          </cell>
          <cell r="BG1382">
            <v>6</v>
          </cell>
          <cell r="BH1382">
            <v>6</v>
          </cell>
          <cell r="BI1382">
            <v>6</v>
          </cell>
          <cell r="BJ1382">
            <v>6</v>
          </cell>
          <cell r="BK1382">
            <v>7</v>
          </cell>
          <cell r="BL1382">
            <v>7</v>
          </cell>
          <cell r="BM1382">
            <v>3</v>
          </cell>
          <cell r="BN1382">
            <v>3</v>
          </cell>
          <cell r="BO1382">
            <v>3</v>
          </cell>
          <cell r="BP1382">
            <v>3</v>
          </cell>
          <cell r="BQ1382">
            <v>3</v>
          </cell>
          <cell r="BR1382">
            <v>3</v>
          </cell>
          <cell r="BS1382">
            <v>3</v>
          </cell>
          <cell r="BT1382">
            <v>3</v>
          </cell>
          <cell r="BU1382">
            <v>3</v>
          </cell>
          <cell r="BV1382">
            <v>3</v>
          </cell>
        </row>
        <row r="1383">
          <cell r="A1383" t="str">
            <v>MMA</v>
          </cell>
          <cell r="B1383" t="str">
            <v>ROHR</v>
          </cell>
          <cell r="D1383" t="str">
            <v>SHIFT B HC  - operators</v>
          </cell>
          <cell r="E1383" t="str">
            <v>ELI INCL FROM 01/01/26 (4OP+2ELI per shift)</v>
          </cell>
          <cell r="Z1383">
            <v>6</v>
          </cell>
          <cell r="AA1383">
            <v>6</v>
          </cell>
          <cell r="AB1383">
            <v>6</v>
          </cell>
          <cell r="AC1383">
            <v>6</v>
          </cell>
          <cell r="AD1383">
            <v>6</v>
          </cell>
          <cell r="AE1383">
            <v>6</v>
          </cell>
          <cell r="AF1383">
            <v>6</v>
          </cell>
          <cell r="AG1383">
            <v>6</v>
          </cell>
          <cell r="AH1383">
            <v>6</v>
          </cell>
          <cell r="AI1383">
            <v>6</v>
          </cell>
          <cell r="AJ1383">
            <v>6</v>
          </cell>
          <cell r="AK1383">
            <v>6</v>
          </cell>
          <cell r="AL1383">
            <v>6</v>
          </cell>
          <cell r="AM1383">
            <v>6</v>
          </cell>
          <cell r="AN1383">
            <v>6</v>
          </cell>
          <cell r="AO1383">
            <v>6</v>
          </cell>
          <cell r="AP1383">
            <v>6</v>
          </cell>
          <cell r="AQ1383">
            <v>6</v>
          </cell>
          <cell r="AR1383">
            <v>6</v>
          </cell>
          <cell r="AS1383">
            <v>6</v>
          </cell>
          <cell r="AT1383">
            <v>6</v>
          </cell>
          <cell r="AU1383">
            <v>6</v>
          </cell>
          <cell r="AV1383">
            <v>6</v>
          </cell>
          <cell r="AW1383">
            <v>6</v>
          </cell>
          <cell r="AX1383">
            <v>6</v>
          </cell>
          <cell r="AY1383">
            <v>6</v>
          </cell>
          <cell r="AZ1383">
            <v>6</v>
          </cell>
          <cell r="BA1383">
            <v>6</v>
          </cell>
          <cell r="BB1383">
            <v>6</v>
          </cell>
          <cell r="BC1383">
            <v>6</v>
          </cell>
          <cell r="BD1383">
            <v>6</v>
          </cell>
          <cell r="BE1383">
            <v>6</v>
          </cell>
          <cell r="BF1383">
            <v>6</v>
          </cell>
          <cell r="BG1383">
            <v>6</v>
          </cell>
          <cell r="BH1383">
            <v>6</v>
          </cell>
          <cell r="BI1383">
            <v>6</v>
          </cell>
          <cell r="BJ1383">
            <v>6</v>
          </cell>
          <cell r="BK1383">
            <v>7</v>
          </cell>
          <cell r="BL1383">
            <v>7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A1384" t="str">
            <v>MMA</v>
          </cell>
          <cell r="B1384" t="str">
            <v>ROHR</v>
          </cell>
          <cell r="D1384" t="str">
            <v>SHIFT C HC  - operators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3</v>
          </cell>
          <cell r="AE1384">
            <v>3</v>
          </cell>
          <cell r="AF1384">
            <v>3</v>
          </cell>
          <cell r="AG1384">
            <v>3</v>
          </cell>
          <cell r="AH1384">
            <v>3</v>
          </cell>
          <cell r="AI1384">
            <v>3</v>
          </cell>
          <cell r="AJ1384">
            <v>3</v>
          </cell>
          <cell r="AK1384">
            <v>3</v>
          </cell>
          <cell r="AL1384">
            <v>3</v>
          </cell>
          <cell r="AM1384">
            <v>3</v>
          </cell>
          <cell r="AN1384">
            <v>3</v>
          </cell>
          <cell r="AO1384">
            <v>3</v>
          </cell>
          <cell r="AP1384">
            <v>3</v>
          </cell>
          <cell r="AQ1384">
            <v>3</v>
          </cell>
          <cell r="AR1384">
            <v>3</v>
          </cell>
          <cell r="AS1384">
            <v>3</v>
          </cell>
          <cell r="AT1384">
            <v>3</v>
          </cell>
          <cell r="AU1384">
            <v>3</v>
          </cell>
          <cell r="AV1384">
            <v>3</v>
          </cell>
          <cell r="AW1384">
            <v>3</v>
          </cell>
          <cell r="AX1384">
            <v>3</v>
          </cell>
          <cell r="AY1384">
            <v>3</v>
          </cell>
          <cell r="AZ1384">
            <v>3</v>
          </cell>
          <cell r="BA1384">
            <v>3</v>
          </cell>
          <cell r="BB1384">
            <v>3</v>
          </cell>
          <cell r="BC1384">
            <v>3</v>
          </cell>
          <cell r="BD1384">
            <v>3</v>
          </cell>
          <cell r="BE1384">
            <v>3</v>
          </cell>
          <cell r="BF1384">
            <v>3</v>
          </cell>
          <cell r="BG1384">
            <v>3</v>
          </cell>
          <cell r="BH1384">
            <v>3</v>
          </cell>
          <cell r="BI1384">
            <v>3</v>
          </cell>
          <cell r="BJ1384">
            <v>3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A1385" t="str">
            <v>MMA</v>
          </cell>
          <cell r="B1385" t="str">
            <v>ROHR</v>
          </cell>
          <cell r="D1385" t="str">
            <v>Total HC</v>
          </cell>
          <cell r="Z1385">
            <v>12</v>
          </cell>
          <cell r="AA1385">
            <v>12</v>
          </cell>
          <cell r="AB1385">
            <v>12</v>
          </cell>
          <cell r="AC1385">
            <v>12</v>
          </cell>
          <cell r="AD1385">
            <v>15</v>
          </cell>
          <cell r="AE1385">
            <v>15</v>
          </cell>
          <cell r="AF1385">
            <v>15</v>
          </cell>
          <cell r="AG1385">
            <v>15</v>
          </cell>
          <cell r="AH1385">
            <v>15</v>
          </cell>
          <cell r="AI1385">
            <v>15</v>
          </cell>
          <cell r="AJ1385">
            <v>15</v>
          </cell>
          <cell r="AK1385">
            <v>15</v>
          </cell>
          <cell r="AL1385">
            <v>15</v>
          </cell>
          <cell r="AM1385">
            <v>15</v>
          </cell>
          <cell r="AN1385">
            <v>15</v>
          </cell>
          <cell r="AO1385">
            <v>15</v>
          </cell>
          <cell r="AP1385">
            <v>15</v>
          </cell>
          <cell r="AQ1385">
            <v>15</v>
          </cell>
          <cell r="AR1385">
            <v>15</v>
          </cell>
          <cell r="AS1385">
            <v>15</v>
          </cell>
          <cell r="AT1385">
            <v>15</v>
          </cell>
          <cell r="AU1385">
            <v>15</v>
          </cell>
          <cell r="AV1385">
            <v>15</v>
          </cell>
          <cell r="AW1385">
            <v>15</v>
          </cell>
          <cell r="AX1385">
            <v>15</v>
          </cell>
          <cell r="AY1385">
            <v>15</v>
          </cell>
          <cell r="AZ1385">
            <v>15</v>
          </cell>
          <cell r="BA1385">
            <v>15</v>
          </cell>
          <cell r="BB1385">
            <v>15</v>
          </cell>
          <cell r="BC1385">
            <v>15</v>
          </cell>
          <cell r="BD1385">
            <v>15</v>
          </cell>
          <cell r="BE1385">
            <v>15</v>
          </cell>
          <cell r="BF1385">
            <v>15</v>
          </cell>
          <cell r="BG1385">
            <v>15</v>
          </cell>
          <cell r="BH1385">
            <v>15</v>
          </cell>
          <cell r="BI1385">
            <v>15</v>
          </cell>
          <cell r="BJ1385">
            <v>15</v>
          </cell>
          <cell r="BK1385">
            <v>14</v>
          </cell>
          <cell r="BL1385">
            <v>14</v>
          </cell>
          <cell r="BM1385">
            <v>3</v>
          </cell>
          <cell r="BN1385">
            <v>3</v>
          </cell>
          <cell r="BO1385">
            <v>3</v>
          </cell>
          <cell r="BP1385">
            <v>3</v>
          </cell>
          <cell r="BQ1385">
            <v>3</v>
          </cell>
          <cell r="BR1385">
            <v>3</v>
          </cell>
          <cell r="BS1385">
            <v>3</v>
          </cell>
          <cell r="BT1385">
            <v>3</v>
          </cell>
          <cell r="BU1385">
            <v>3</v>
          </cell>
          <cell r="BV1385">
            <v>3</v>
          </cell>
        </row>
        <row r="1386">
          <cell r="A1386" t="str">
            <v>MMA</v>
          </cell>
          <cell r="B1386" t="str">
            <v>ROHR</v>
          </cell>
          <cell r="D1386" t="str">
            <v>SHIFT A HC  - efficiency</v>
          </cell>
          <cell r="Z1386">
            <v>0.9</v>
          </cell>
          <cell r="AA1386">
            <v>0.9</v>
          </cell>
          <cell r="AB1386">
            <v>0.9</v>
          </cell>
          <cell r="AC1386">
            <v>0.9</v>
          </cell>
          <cell r="AD1386">
            <v>0.9</v>
          </cell>
          <cell r="AE1386">
            <v>0.9</v>
          </cell>
          <cell r="AF1386">
            <v>0.9</v>
          </cell>
          <cell r="AG1386">
            <v>0.9</v>
          </cell>
          <cell r="AH1386">
            <v>0.9</v>
          </cell>
          <cell r="AI1386">
            <v>0.9</v>
          </cell>
          <cell r="AJ1386">
            <v>0.9</v>
          </cell>
          <cell r="AK1386">
            <v>0.9</v>
          </cell>
          <cell r="AL1386">
            <v>0.9</v>
          </cell>
          <cell r="AM1386">
            <v>0.9</v>
          </cell>
          <cell r="AN1386">
            <v>0.9</v>
          </cell>
          <cell r="AO1386">
            <v>0.9</v>
          </cell>
          <cell r="AP1386">
            <v>0.9</v>
          </cell>
          <cell r="AQ1386">
            <v>0.9</v>
          </cell>
          <cell r="AR1386">
            <v>0.9</v>
          </cell>
          <cell r="AS1386">
            <v>0.9</v>
          </cell>
          <cell r="AT1386">
            <v>0.9</v>
          </cell>
          <cell r="AU1386">
            <v>0.9</v>
          </cell>
          <cell r="AV1386">
            <v>0.9</v>
          </cell>
          <cell r="AW1386">
            <v>0.9</v>
          </cell>
          <cell r="AX1386">
            <v>0.9</v>
          </cell>
          <cell r="AY1386">
            <v>0.9</v>
          </cell>
          <cell r="AZ1386">
            <v>0.9</v>
          </cell>
          <cell r="BA1386">
            <v>0.9</v>
          </cell>
          <cell r="BB1386">
            <v>0.9</v>
          </cell>
          <cell r="BC1386">
            <v>0.9</v>
          </cell>
          <cell r="BD1386">
            <v>0.9</v>
          </cell>
          <cell r="BE1386">
            <v>0.9</v>
          </cell>
          <cell r="BF1386">
            <v>0.9</v>
          </cell>
          <cell r="BG1386">
            <v>0.9</v>
          </cell>
          <cell r="BH1386">
            <v>0.9</v>
          </cell>
          <cell r="BI1386">
            <v>0.9</v>
          </cell>
          <cell r="BJ1386">
            <v>0.9</v>
          </cell>
          <cell r="BK1386">
            <v>1.2</v>
          </cell>
          <cell r="BL1386">
            <v>1.2</v>
          </cell>
          <cell r="BM1386">
            <v>1.2</v>
          </cell>
          <cell r="BN1386">
            <v>1.2</v>
          </cell>
          <cell r="BO1386">
            <v>1.2</v>
          </cell>
          <cell r="BP1386">
            <v>1.2</v>
          </cell>
          <cell r="BQ1386">
            <v>1.2</v>
          </cell>
          <cell r="BR1386">
            <v>1.2</v>
          </cell>
          <cell r="BS1386">
            <v>1.2</v>
          </cell>
          <cell r="BT1386">
            <v>1.2</v>
          </cell>
          <cell r="BU1386">
            <v>1.2</v>
          </cell>
          <cell r="BV1386">
            <v>1.2</v>
          </cell>
        </row>
        <row r="1387">
          <cell r="A1387" t="str">
            <v>MMA</v>
          </cell>
          <cell r="B1387" t="str">
            <v>ROHR</v>
          </cell>
          <cell r="D1387" t="str">
            <v>SHIFT B HC  - efficiency</v>
          </cell>
          <cell r="Z1387">
            <v>0.9</v>
          </cell>
          <cell r="AA1387">
            <v>0.9</v>
          </cell>
          <cell r="AB1387">
            <v>0.9</v>
          </cell>
          <cell r="AC1387">
            <v>0.9</v>
          </cell>
          <cell r="AD1387">
            <v>0.9</v>
          </cell>
          <cell r="AE1387">
            <v>0.9</v>
          </cell>
          <cell r="AF1387">
            <v>0.9</v>
          </cell>
          <cell r="AG1387">
            <v>0.9</v>
          </cell>
          <cell r="AH1387">
            <v>0.9</v>
          </cell>
          <cell r="AI1387">
            <v>0.9</v>
          </cell>
          <cell r="AJ1387">
            <v>0.9</v>
          </cell>
          <cell r="AK1387">
            <v>0.9</v>
          </cell>
          <cell r="AL1387">
            <v>0.9</v>
          </cell>
          <cell r="AM1387">
            <v>0.9</v>
          </cell>
          <cell r="AN1387">
            <v>0.9</v>
          </cell>
          <cell r="AO1387">
            <v>0.9</v>
          </cell>
          <cell r="AP1387">
            <v>0.9</v>
          </cell>
          <cell r="AQ1387">
            <v>0.9</v>
          </cell>
          <cell r="AR1387">
            <v>0.9</v>
          </cell>
          <cell r="AS1387">
            <v>0.9</v>
          </cell>
          <cell r="AT1387">
            <v>0.9</v>
          </cell>
          <cell r="AU1387">
            <v>0.9</v>
          </cell>
          <cell r="AV1387">
            <v>0.9</v>
          </cell>
          <cell r="AW1387">
            <v>0.9</v>
          </cell>
          <cell r="AX1387">
            <v>0.9</v>
          </cell>
          <cell r="AY1387">
            <v>0.9</v>
          </cell>
          <cell r="AZ1387">
            <v>0.9</v>
          </cell>
          <cell r="BA1387">
            <v>0.9</v>
          </cell>
          <cell r="BB1387">
            <v>0.9</v>
          </cell>
          <cell r="BC1387">
            <v>0.9</v>
          </cell>
          <cell r="BD1387">
            <v>0.9</v>
          </cell>
          <cell r="BE1387">
            <v>0.9</v>
          </cell>
          <cell r="BF1387">
            <v>0.9</v>
          </cell>
          <cell r="BG1387">
            <v>0.9</v>
          </cell>
          <cell r="BH1387">
            <v>0.9</v>
          </cell>
          <cell r="BI1387">
            <v>0.9</v>
          </cell>
          <cell r="BJ1387">
            <v>0.9</v>
          </cell>
          <cell r="BK1387">
            <v>1</v>
          </cell>
          <cell r="BL1387">
            <v>1</v>
          </cell>
          <cell r="BM1387">
            <v>1</v>
          </cell>
          <cell r="BN1387">
            <v>1</v>
          </cell>
          <cell r="BO1387">
            <v>1</v>
          </cell>
          <cell r="BP1387">
            <v>1</v>
          </cell>
          <cell r="BQ1387">
            <v>1</v>
          </cell>
          <cell r="BR1387">
            <v>1</v>
          </cell>
          <cell r="BS1387">
            <v>1</v>
          </cell>
          <cell r="BT1387">
            <v>1</v>
          </cell>
          <cell r="BU1387">
            <v>1</v>
          </cell>
          <cell r="BV1387">
            <v>1</v>
          </cell>
        </row>
        <row r="1388">
          <cell r="A1388" t="str">
            <v>MMA</v>
          </cell>
          <cell r="B1388" t="str">
            <v>ROHR</v>
          </cell>
          <cell r="D1388" t="str">
            <v>SHIFT C HC  - efficiency</v>
          </cell>
          <cell r="Z1388"/>
          <cell r="AA1388"/>
          <cell r="AB1388"/>
          <cell r="AC1388"/>
          <cell r="AD1388">
            <v>0.5</v>
          </cell>
          <cell r="AE1388">
            <v>0.55000000000000004</v>
          </cell>
          <cell r="AF1388">
            <v>0.60000000000000009</v>
          </cell>
          <cell r="AG1388">
            <v>0.65000000000000013</v>
          </cell>
          <cell r="AH1388">
            <v>0.70000000000000018</v>
          </cell>
          <cell r="AI1388">
            <v>0.75000000000000022</v>
          </cell>
          <cell r="AJ1388">
            <v>0.80000000000000027</v>
          </cell>
          <cell r="AK1388">
            <v>0.85000000000000031</v>
          </cell>
          <cell r="AL1388">
            <v>0.90000000000000036</v>
          </cell>
          <cell r="AM1388">
            <v>0.9500000000000004</v>
          </cell>
          <cell r="AN1388">
            <v>1.0000000000000004</v>
          </cell>
          <cell r="AO1388">
            <v>1.0500000000000005</v>
          </cell>
          <cell r="AP1388">
            <v>1.1000000000000005</v>
          </cell>
          <cell r="AQ1388">
            <v>1.1500000000000006</v>
          </cell>
          <cell r="AR1388">
            <v>1.2000000000000006</v>
          </cell>
          <cell r="AS1388">
            <v>1.2500000000000007</v>
          </cell>
          <cell r="AT1388">
            <v>0.9</v>
          </cell>
          <cell r="AU1388">
            <v>0.9</v>
          </cell>
          <cell r="AV1388">
            <v>0.9</v>
          </cell>
          <cell r="AW1388">
            <v>0.9</v>
          </cell>
          <cell r="AX1388">
            <v>0.9</v>
          </cell>
          <cell r="AY1388">
            <v>0.9</v>
          </cell>
          <cell r="AZ1388">
            <v>0.9</v>
          </cell>
          <cell r="BA1388">
            <v>0.9</v>
          </cell>
          <cell r="BB1388">
            <v>0.9</v>
          </cell>
          <cell r="BC1388">
            <v>0.9</v>
          </cell>
          <cell r="BD1388">
            <v>0.9</v>
          </cell>
          <cell r="BE1388">
            <v>0.9</v>
          </cell>
          <cell r="BF1388">
            <v>0.9</v>
          </cell>
          <cell r="BG1388">
            <v>0.9</v>
          </cell>
          <cell r="BH1388">
            <v>0.9</v>
          </cell>
          <cell r="BI1388">
            <v>0.9</v>
          </cell>
          <cell r="BJ1388">
            <v>0.9</v>
          </cell>
          <cell r="BK1388">
            <v>1</v>
          </cell>
          <cell r="BL1388">
            <v>1</v>
          </cell>
          <cell r="BM1388">
            <v>1</v>
          </cell>
          <cell r="BN1388">
            <v>1</v>
          </cell>
          <cell r="BO1388">
            <v>1</v>
          </cell>
          <cell r="BP1388">
            <v>1</v>
          </cell>
          <cell r="BQ1388">
            <v>1</v>
          </cell>
          <cell r="BR1388">
            <v>1</v>
          </cell>
          <cell r="BS1388">
            <v>1</v>
          </cell>
          <cell r="BT1388">
            <v>1</v>
          </cell>
          <cell r="BU1388">
            <v>1</v>
          </cell>
          <cell r="BV1388">
            <v>1</v>
          </cell>
        </row>
        <row r="1389">
          <cell r="A1389" t="str">
            <v>MMA</v>
          </cell>
          <cell r="B1389" t="str">
            <v>ROHR</v>
          </cell>
          <cell r="D1389" t="str">
            <v>Total efficiency</v>
          </cell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</row>
        <row r="1390">
          <cell r="A1390" t="str">
            <v>MMA</v>
          </cell>
          <cell r="B1390" t="str">
            <v>ROHR</v>
          </cell>
          <cell r="D1390" t="str">
            <v>SHIFT A - output</v>
          </cell>
          <cell r="E1390">
            <v>630</v>
          </cell>
          <cell r="Z1390">
            <v>900</v>
          </cell>
          <cell r="AA1390">
            <v>900</v>
          </cell>
          <cell r="AB1390">
            <v>900</v>
          </cell>
          <cell r="AC1390">
            <v>900</v>
          </cell>
          <cell r="AD1390">
            <v>900</v>
          </cell>
          <cell r="AE1390">
            <v>900</v>
          </cell>
          <cell r="AF1390">
            <v>900</v>
          </cell>
          <cell r="AG1390">
            <v>900</v>
          </cell>
          <cell r="AH1390">
            <v>900</v>
          </cell>
          <cell r="AI1390">
            <v>900</v>
          </cell>
          <cell r="AJ1390">
            <v>900</v>
          </cell>
          <cell r="AK1390">
            <v>900</v>
          </cell>
          <cell r="AL1390">
            <v>900</v>
          </cell>
          <cell r="AM1390">
            <v>900</v>
          </cell>
          <cell r="AN1390">
            <v>900</v>
          </cell>
          <cell r="AO1390">
            <v>900</v>
          </cell>
          <cell r="AP1390">
            <v>900</v>
          </cell>
          <cell r="AQ1390">
            <v>900</v>
          </cell>
          <cell r="AR1390">
            <v>900</v>
          </cell>
          <cell r="AS1390">
            <v>900</v>
          </cell>
          <cell r="AT1390">
            <v>900</v>
          </cell>
          <cell r="AU1390">
            <v>900</v>
          </cell>
          <cell r="AV1390">
            <v>900</v>
          </cell>
          <cell r="AW1390">
            <v>900</v>
          </cell>
          <cell r="AX1390">
            <v>900</v>
          </cell>
          <cell r="AY1390">
            <v>900</v>
          </cell>
          <cell r="AZ1390">
            <v>900</v>
          </cell>
          <cell r="BA1390">
            <v>900</v>
          </cell>
          <cell r="BB1390">
            <v>900</v>
          </cell>
          <cell r="BC1390">
            <v>900</v>
          </cell>
          <cell r="BD1390">
            <v>900</v>
          </cell>
          <cell r="BE1390">
            <v>900</v>
          </cell>
          <cell r="BF1390">
            <v>900</v>
          </cell>
          <cell r="BG1390">
            <v>900</v>
          </cell>
          <cell r="BH1390">
            <v>900</v>
          </cell>
          <cell r="BI1390">
            <v>900</v>
          </cell>
          <cell r="BJ1390">
            <v>900</v>
          </cell>
          <cell r="BK1390">
            <v>1399.9999999999998</v>
          </cell>
          <cell r="BL1390">
            <v>1399.9999999999998</v>
          </cell>
          <cell r="BM1390">
            <v>600</v>
          </cell>
          <cell r="BN1390">
            <v>600</v>
          </cell>
          <cell r="BO1390">
            <v>600</v>
          </cell>
          <cell r="BP1390">
            <v>600</v>
          </cell>
          <cell r="BQ1390">
            <v>600</v>
          </cell>
          <cell r="BR1390">
            <v>600</v>
          </cell>
          <cell r="BS1390">
            <v>600</v>
          </cell>
          <cell r="BT1390">
            <v>600</v>
          </cell>
          <cell r="BU1390">
            <v>600</v>
          </cell>
          <cell r="BV1390">
            <v>600</v>
          </cell>
        </row>
        <row r="1391">
          <cell r="A1391" t="str">
            <v>MMA</v>
          </cell>
          <cell r="B1391" t="str">
            <v>ROHR</v>
          </cell>
          <cell r="D1391" t="str">
            <v>SHIFT B  - output</v>
          </cell>
          <cell r="E1391">
            <v>630</v>
          </cell>
          <cell r="Z1391">
            <v>900</v>
          </cell>
          <cell r="AA1391">
            <v>900</v>
          </cell>
          <cell r="AB1391">
            <v>900</v>
          </cell>
          <cell r="AC1391">
            <v>900</v>
          </cell>
          <cell r="AD1391">
            <v>900</v>
          </cell>
          <cell r="AE1391">
            <v>900</v>
          </cell>
          <cell r="AF1391">
            <v>900</v>
          </cell>
          <cell r="AG1391">
            <v>900</v>
          </cell>
          <cell r="AH1391">
            <v>900</v>
          </cell>
          <cell r="AI1391">
            <v>900</v>
          </cell>
          <cell r="AJ1391">
            <v>900</v>
          </cell>
          <cell r="AK1391">
            <v>900</v>
          </cell>
          <cell r="AL1391">
            <v>900</v>
          </cell>
          <cell r="AM1391">
            <v>900</v>
          </cell>
          <cell r="AN1391">
            <v>900</v>
          </cell>
          <cell r="AO1391">
            <v>900</v>
          </cell>
          <cell r="AP1391">
            <v>900</v>
          </cell>
          <cell r="AQ1391">
            <v>900</v>
          </cell>
          <cell r="AR1391">
            <v>900</v>
          </cell>
          <cell r="AS1391">
            <v>900</v>
          </cell>
          <cell r="AT1391">
            <v>900</v>
          </cell>
          <cell r="AU1391">
            <v>900</v>
          </cell>
          <cell r="AV1391">
            <v>900</v>
          </cell>
          <cell r="AW1391">
            <v>900</v>
          </cell>
          <cell r="AX1391">
            <v>900</v>
          </cell>
          <cell r="AY1391">
            <v>900</v>
          </cell>
          <cell r="AZ1391">
            <v>900</v>
          </cell>
          <cell r="BA1391">
            <v>900</v>
          </cell>
          <cell r="BB1391">
            <v>900</v>
          </cell>
          <cell r="BC1391">
            <v>900</v>
          </cell>
          <cell r="BD1391">
            <v>900</v>
          </cell>
          <cell r="BE1391">
            <v>900</v>
          </cell>
          <cell r="BF1391">
            <v>900</v>
          </cell>
          <cell r="BG1391">
            <v>900</v>
          </cell>
          <cell r="BH1391">
            <v>900</v>
          </cell>
          <cell r="BI1391">
            <v>900</v>
          </cell>
          <cell r="BJ1391">
            <v>900</v>
          </cell>
          <cell r="BK1391">
            <v>1166.6666666666665</v>
          </cell>
          <cell r="BL1391">
            <v>1166.6666666666665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A1392" t="str">
            <v>MMA</v>
          </cell>
          <cell r="B1392" t="str">
            <v>ROHR</v>
          </cell>
          <cell r="D1392" t="str">
            <v>SHIFT C  - output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250</v>
          </cell>
          <cell r="AE1392">
            <v>275</v>
          </cell>
          <cell r="AF1392">
            <v>300.00000000000006</v>
          </cell>
          <cell r="AG1392">
            <v>325.00000000000006</v>
          </cell>
          <cell r="AH1392">
            <v>350.00000000000011</v>
          </cell>
          <cell r="AI1392">
            <v>375.00000000000011</v>
          </cell>
          <cell r="AJ1392">
            <v>400.00000000000011</v>
          </cell>
          <cell r="AK1392">
            <v>425.00000000000017</v>
          </cell>
          <cell r="AL1392">
            <v>450.00000000000017</v>
          </cell>
          <cell r="AM1392">
            <v>475.00000000000023</v>
          </cell>
          <cell r="AN1392">
            <v>500.00000000000023</v>
          </cell>
          <cell r="AO1392">
            <v>525.00000000000023</v>
          </cell>
          <cell r="AP1392">
            <v>550.00000000000023</v>
          </cell>
          <cell r="AQ1392">
            <v>575.00000000000034</v>
          </cell>
          <cell r="AR1392">
            <v>600.00000000000034</v>
          </cell>
          <cell r="AS1392">
            <v>625.00000000000034</v>
          </cell>
          <cell r="AT1392">
            <v>450</v>
          </cell>
          <cell r="AU1392">
            <v>450</v>
          </cell>
          <cell r="AV1392">
            <v>450</v>
          </cell>
          <cell r="AW1392">
            <v>450</v>
          </cell>
          <cell r="AX1392">
            <v>450</v>
          </cell>
          <cell r="AY1392">
            <v>450</v>
          </cell>
          <cell r="AZ1392">
            <v>450</v>
          </cell>
          <cell r="BA1392">
            <v>450</v>
          </cell>
          <cell r="BB1392">
            <v>450</v>
          </cell>
          <cell r="BC1392">
            <v>450</v>
          </cell>
          <cell r="BD1392">
            <v>450</v>
          </cell>
          <cell r="BE1392">
            <v>450</v>
          </cell>
          <cell r="BF1392">
            <v>450</v>
          </cell>
          <cell r="BG1392">
            <v>450</v>
          </cell>
          <cell r="BH1392">
            <v>450</v>
          </cell>
          <cell r="BI1392">
            <v>450</v>
          </cell>
          <cell r="BJ1392">
            <v>450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A1393" t="str">
            <v>MMA</v>
          </cell>
          <cell r="B1393" t="str">
            <v>ROHR</v>
          </cell>
          <cell r="D1393" t="str">
            <v>Est. Output (Pcs day)</v>
          </cell>
          <cell r="E1393">
            <v>2.7</v>
          </cell>
          <cell r="Z1393">
            <v>1800</v>
          </cell>
          <cell r="AA1393">
            <v>1800</v>
          </cell>
          <cell r="AB1393">
            <v>1800</v>
          </cell>
          <cell r="AC1393">
            <v>1800</v>
          </cell>
          <cell r="AD1393">
            <v>2050</v>
          </cell>
          <cell r="AE1393">
            <v>2075</v>
          </cell>
          <cell r="AF1393">
            <v>2100</v>
          </cell>
          <cell r="AG1393">
            <v>2125</v>
          </cell>
          <cell r="AH1393">
            <v>2150</v>
          </cell>
          <cell r="AI1393">
            <v>2175</v>
          </cell>
          <cell r="AJ1393">
            <v>2200</v>
          </cell>
          <cell r="AK1393">
            <v>2225</v>
          </cell>
          <cell r="AL1393">
            <v>2250</v>
          </cell>
          <cell r="AM1393">
            <v>2275</v>
          </cell>
          <cell r="AN1393">
            <v>2300</v>
          </cell>
          <cell r="AO1393">
            <v>2325</v>
          </cell>
          <cell r="AP1393">
            <v>2350</v>
          </cell>
          <cell r="AQ1393">
            <v>2375.0000000000005</v>
          </cell>
          <cell r="AR1393">
            <v>2400.0000000000005</v>
          </cell>
          <cell r="AS1393">
            <v>2425.0000000000005</v>
          </cell>
          <cell r="AT1393">
            <v>2250</v>
          </cell>
          <cell r="AU1393">
            <v>2250</v>
          </cell>
          <cell r="AV1393">
            <v>2250</v>
          </cell>
          <cell r="AW1393">
            <v>2250</v>
          </cell>
          <cell r="AX1393">
            <v>2250</v>
          </cell>
          <cell r="AY1393">
            <v>2250</v>
          </cell>
          <cell r="AZ1393">
            <v>2250</v>
          </cell>
          <cell r="BA1393">
            <v>2250</v>
          </cell>
          <cell r="BB1393">
            <v>2250</v>
          </cell>
          <cell r="BC1393">
            <v>2250</v>
          </cell>
          <cell r="BD1393">
            <v>2250</v>
          </cell>
          <cell r="BE1393">
            <v>2250</v>
          </cell>
          <cell r="BF1393">
            <v>2250</v>
          </cell>
          <cell r="BG1393">
            <v>2250</v>
          </cell>
          <cell r="BH1393">
            <v>2250</v>
          </cell>
          <cell r="BI1393">
            <v>2250</v>
          </cell>
          <cell r="BJ1393">
            <v>2250</v>
          </cell>
          <cell r="BK1393">
            <v>2566.6666666666661</v>
          </cell>
          <cell r="BL1393">
            <v>2566.6666666666661</v>
          </cell>
          <cell r="BM1393">
            <v>600</v>
          </cell>
          <cell r="BN1393">
            <v>600</v>
          </cell>
          <cell r="BO1393">
            <v>600</v>
          </cell>
          <cell r="BP1393">
            <v>600</v>
          </cell>
          <cell r="BQ1393">
            <v>600</v>
          </cell>
          <cell r="BR1393">
            <v>600</v>
          </cell>
          <cell r="BS1393">
            <v>600</v>
          </cell>
          <cell r="BT1393">
            <v>600</v>
          </cell>
          <cell r="BU1393">
            <v>600</v>
          </cell>
          <cell r="BV1393">
            <v>600</v>
          </cell>
        </row>
        <row r="1394">
          <cell r="A1394" t="str">
            <v>MMA</v>
          </cell>
          <cell r="B1394" t="str">
            <v>ROHR</v>
          </cell>
          <cell r="D1394" t="str">
            <v>Weekly Output PLAN</v>
          </cell>
          <cell r="E1394" t="str">
            <v>ASSY</v>
          </cell>
          <cell r="Z1394">
            <v>5040</v>
          </cell>
          <cell r="AA1394">
            <v>9000</v>
          </cell>
          <cell r="AB1394">
            <v>9000</v>
          </cell>
          <cell r="AC1394">
            <v>9000</v>
          </cell>
          <cell r="AD1394">
            <v>6150</v>
          </cell>
          <cell r="AE1394">
            <v>10375</v>
          </cell>
          <cell r="AF1394">
            <v>10500</v>
          </cell>
          <cell r="AG1394">
            <v>10625</v>
          </cell>
          <cell r="AH1394">
            <v>10750</v>
          </cell>
          <cell r="AI1394">
            <v>10875</v>
          </cell>
          <cell r="AJ1394">
            <v>11000</v>
          </cell>
          <cell r="AK1394">
            <v>8900</v>
          </cell>
          <cell r="AL1394">
            <v>9000</v>
          </cell>
          <cell r="AM1394">
            <v>11375</v>
          </cell>
          <cell r="AN1394">
            <v>9200</v>
          </cell>
          <cell r="AO1394">
            <v>11625</v>
          </cell>
          <cell r="AP1394">
            <v>11750</v>
          </cell>
          <cell r="AQ1394">
            <v>11875.000000000002</v>
          </cell>
          <cell r="AR1394">
            <v>12000.000000000002</v>
          </cell>
          <cell r="AS1394">
            <v>12125.000000000002</v>
          </cell>
          <cell r="AT1394">
            <v>11250</v>
          </cell>
          <cell r="AU1394">
            <v>11250</v>
          </cell>
          <cell r="AV1394">
            <v>11250</v>
          </cell>
          <cell r="AW1394">
            <v>11250</v>
          </cell>
          <cell r="AX1394">
            <v>11250</v>
          </cell>
          <cell r="AY1394">
            <v>11250</v>
          </cell>
          <cell r="AZ1394">
            <v>0</v>
          </cell>
          <cell r="BA1394">
            <v>0</v>
          </cell>
          <cell r="BB1394">
            <v>11250</v>
          </cell>
          <cell r="BC1394">
            <v>11250</v>
          </cell>
          <cell r="BD1394">
            <v>11250</v>
          </cell>
          <cell r="BE1394">
            <v>11250</v>
          </cell>
          <cell r="BF1394">
            <v>11250</v>
          </cell>
          <cell r="BG1394">
            <v>11250</v>
          </cell>
          <cell r="BH1394">
            <v>11250</v>
          </cell>
          <cell r="BI1394">
            <v>11250</v>
          </cell>
          <cell r="BJ1394">
            <v>11250</v>
          </cell>
          <cell r="BK1394">
            <v>12833.33333333333</v>
          </cell>
          <cell r="BL1394">
            <v>35933.333333333328</v>
          </cell>
          <cell r="BM1394">
            <v>1800</v>
          </cell>
          <cell r="BN1394">
            <v>1800</v>
          </cell>
          <cell r="BO1394">
            <v>1800</v>
          </cell>
          <cell r="BP1394">
            <v>1800</v>
          </cell>
          <cell r="BQ1394">
            <v>1800</v>
          </cell>
          <cell r="BR1394">
            <v>1800</v>
          </cell>
          <cell r="BS1394">
            <v>1800</v>
          </cell>
          <cell r="BT1394">
            <v>1800</v>
          </cell>
          <cell r="BU1394">
            <v>1800</v>
          </cell>
          <cell r="BV1394">
            <v>1800</v>
          </cell>
        </row>
        <row r="1395">
          <cell r="A1395" t="str">
            <v>MMA</v>
          </cell>
          <cell r="B1395" t="str">
            <v>ROHR</v>
          </cell>
          <cell r="D1395" t="str">
            <v>PVC</v>
          </cell>
          <cell r="E1395">
            <v>2.0499999999999998</v>
          </cell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</row>
        <row r="1396">
          <cell r="A1396" t="str">
            <v>MMA</v>
          </cell>
          <cell r="B1396" t="str">
            <v>ROHR</v>
          </cell>
          <cell r="D1396" t="str">
            <v>LTH</v>
          </cell>
          <cell r="E1396">
            <v>2.665</v>
          </cell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</row>
        <row r="1397">
          <cell r="A1397" t="str">
            <v>MMA</v>
          </cell>
          <cell r="B1397" t="str">
            <v>ROHR</v>
          </cell>
          <cell r="D1397" t="str">
            <v>PO</v>
          </cell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</row>
        <row r="1398">
          <cell r="A1398" t="str">
            <v>MMA</v>
          </cell>
          <cell r="B1398" t="str">
            <v>ROHR</v>
          </cell>
          <cell r="D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</row>
        <row r="1399">
          <cell r="A1399" t="str">
            <v>MMA</v>
          </cell>
          <cell r="B1399" t="str">
            <v>ROHR</v>
          </cell>
          <cell r="D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</row>
        <row r="1400">
          <cell r="A1400" t="str">
            <v>MMA</v>
          </cell>
          <cell r="B1400" t="str">
            <v>ROHR</v>
          </cell>
          <cell r="D1400" t="str">
            <v>Weekly Output PLAN - SUM of models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A1401" t="str">
            <v>MMA</v>
          </cell>
          <cell r="B1401" t="str">
            <v>ROHR</v>
          </cell>
          <cell r="D1401" t="str">
            <v>Weekly Output CHECK with TO time multiple</v>
          </cell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</row>
        <row r="1402">
          <cell r="A1402" t="str">
            <v>MMA</v>
          </cell>
          <cell r="B1402" t="str">
            <v>ROHR</v>
          </cell>
          <cell r="D1402" t="str">
            <v>Weekly Output ACT</v>
          </cell>
          <cell r="Z1402">
            <v>5040</v>
          </cell>
          <cell r="AA1402">
            <v>9000</v>
          </cell>
          <cell r="AB1402">
            <v>9000</v>
          </cell>
          <cell r="AC1402">
            <v>9000</v>
          </cell>
          <cell r="AD1402">
            <v>6150</v>
          </cell>
          <cell r="AE1402">
            <v>10375</v>
          </cell>
          <cell r="AF1402">
            <v>10500</v>
          </cell>
          <cell r="AG1402">
            <v>10625</v>
          </cell>
          <cell r="AH1402">
            <v>10750</v>
          </cell>
          <cell r="AI1402">
            <v>10875</v>
          </cell>
          <cell r="AJ1402">
            <v>11000</v>
          </cell>
          <cell r="AK1402">
            <v>8900</v>
          </cell>
          <cell r="AL1402">
            <v>9000</v>
          </cell>
          <cell r="AM1402">
            <v>11375</v>
          </cell>
          <cell r="AN1402">
            <v>9200</v>
          </cell>
          <cell r="AO1402">
            <v>11625</v>
          </cell>
          <cell r="AP1402">
            <v>11750</v>
          </cell>
          <cell r="AQ1402">
            <v>11875.000000000002</v>
          </cell>
          <cell r="AR1402">
            <v>12000.000000000002</v>
          </cell>
          <cell r="AS1402">
            <v>12125.000000000002</v>
          </cell>
          <cell r="AT1402">
            <v>11250</v>
          </cell>
          <cell r="AU1402">
            <v>11250</v>
          </cell>
          <cell r="AV1402">
            <v>11250</v>
          </cell>
          <cell r="AW1402">
            <v>11250</v>
          </cell>
          <cell r="AX1402">
            <v>11250</v>
          </cell>
          <cell r="AY1402">
            <v>11250</v>
          </cell>
          <cell r="AZ1402">
            <v>0</v>
          </cell>
          <cell r="BA1402">
            <v>0</v>
          </cell>
          <cell r="BB1402">
            <v>11250</v>
          </cell>
          <cell r="BC1402">
            <v>11250</v>
          </cell>
          <cell r="BD1402">
            <v>11250</v>
          </cell>
          <cell r="BE1402">
            <v>11250</v>
          </cell>
          <cell r="BF1402">
            <v>11250</v>
          </cell>
          <cell r="BG1402">
            <v>11250</v>
          </cell>
          <cell r="BH1402">
            <v>11250</v>
          </cell>
          <cell r="BI1402">
            <v>11250</v>
          </cell>
          <cell r="BJ1402">
            <v>11250</v>
          </cell>
          <cell r="BK1402">
            <v>12833.33333333333</v>
          </cell>
          <cell r="BL1402">
            <v>35933.333333333328</v>
          </cell>
          <cell r="BM1402">
            <v>1800</v>
          </cell>
          <cell r="BN1402">
            <v>1800</v>
          </cell>
          <cell r="BO1402">
            <v>1800</v>
          </cell>
          <cell r="BP1402">
            <v>1800</v>
          </cell>
          <cell r="BQ1402">
            <v>1800</v>
          </cell>
          <cell r="BR1402">
            <v>1800</v>
          </cell>
          <cell r="BS1402">
            <v>1800</v>
          </cell>
          <cell r="BT1402">
            <v>1800</v>
          </cell>
          <cell r="BU1402">
            <v>1800</v>
          </cell>
          <cell r="BV1402">
            <v>1800</v>
          </cell>
        </row>
        <row r="1403">
          <cell r="A1403" t="str">
            <v>MMA</v>
          </cell>
          <cell r="B1403" t="str">
            <v>ROHR</v>
          </cell>
          <cell r="D1403" t="str">
            <v>PVC</v>
          </cell>
          <cell r="Z1403">
            <v>10401</v>
          </cell>
          <cell r="AA1403">
            <v>4041</v>
          </cell>
          <cell r="AB1403">
            <v>8609</v>
          </cell>
          <cell r="AC1403">
            <v>8495</v>
          </cell>
          <cell r="AD1403">
            <v>7742</v>
          </cell>
          <cell r="AE1403">
            <v>9075</v>
          </cell>
          <cell r="AF1403">
            <v>9946</v>
          </cell>
          <cell r="AG1403">
            <v>8087</v>
          </cell>
          <cell r="AH1403">
            <v>13493</v>
          </cell>
          <cell r="AI1403">
            <v>10230</v>
          </cell>
          <cell r="AJ1403">
            <v>5981</v>
          </cell>
          <cell r="AK1403">
            <v>10034</v>
          </cell>
          <cell r="AL1403">
            <v>9528</v>
          </cell>
          <cell r="AM1403">
            <v>10011</v>
          </cell>
          <cell r="AN1403">
            <v>10523</v>
          </cell>
          <cell r="AO1403">
            <v>9062</v>
          </cell>
          <cell r="AP1403">
            <v>9173</v>
          </cell>
          <cell r="AQ1403">
            <v>8123</v>
          </cell>
          <cell r="AR1403">
            <v>40641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33179</v>
          </cell>
          <cell r="AX1403">
            <v>0</v>
          </cell>
          <cell r="AY1403">
            <v>0</v>
          </cell>
          <cell r="AZ1403">
            <v>0</v>
          </cell>
          <cell r="BA1403">
            <v>10013.1715481172</v>
          </cell>
          <cell r="BB1403">
            <v>11385.985355648534</v>
          </cell>
          <cell r="BC1403">
            <v>11385.985355648534</v>
          </cell>
          <cell r="BD1403">
            <v>11385.985355648534</v>
          </cell>
          <cell r="BE1403">
            <v>11385.985355648534</v>
          </cell>
          <cell r="BF1403">
            <v>11382.949325894931</v>
          </cell>
          <cell r="BG1403">
            <v>11382.949325894931</v>
          </cell>
          <cell r="BH1403">
            <v>11382.949325894931</v>
          </cell>
          <cell r="BI1403">
            <v>11382.949325894931</v>
          </cell>
          <cell r="BJ1403">
            <v>5691.4746629474503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A1404" t="str">
            <v>MMA</v>
          </cell>
          <cell r="B1404" t="str">
            <v>ROHR</v>
          </cell>
          <cell r="D1404" t="str">
            <v>LTH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A1405" t="str">
            <v>MMA</v>
          </cell>
          <cell r="B1405" t="str">
            <v>ROHR</v>
          </cell>
          <cell r="D1405" t="str">
            <v>PO</v>
          </cell>
          <cell r="Z1405">
            <v>0</v>
          </cell>
          <cell r="AA1405">
            <v>80</v>
          </cell>
          <cell r="AB1405">
            <v>8</v>
          </cell>
          <cell r="AC1405">
            <v>28</v>
          </cell>
          <cell r="AD1405">
            <v>33</v>
          </cell>
          <cell r="AE1405">
            <v>0</v>
          </cell>
          <cell r="AF1405">
            <v>36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A1406" t="str">
            <v>MMA</v>
          </cell>
          <cell r="B1406" t="str">
            <v>ROHR</v>
          </cell>
          <cell r="D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A1407" t="str">
            <v>MMA</v>
          </cell>
          <cell r="B1407" t="str">
            <v>ROHR</v>
          </cell>
          <cell r="D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A1408" t="str">
            <v>MMA</v>
          </cell>
          <cell r="B1408" t="str">
            <v>ROHR</v>
          </cell>
          <cell r="D1408" t="str">
            <v>Weekly demand</v>
          </cell>
          <cell r="Z1408">
            <v>10401</v>
          </cell>
          <cell r="AA1408">
            <v>4121</v>
          </cell>
          <cell r="AB1408">
            <v>8617</v>
          </cell>
          <cell r="AC1408">
            <v>8523</v>
          </cell>
          <cell r="AD1408">
            <v>7775</v>
          </cell>
          <cell r="AE1408">
            <v>9075</v>
          </cell>
          <cell r="AF1408">
            <v>9982</v>
          </cell>
          <cell r="AG1408">
            <v>8087</v>
          </cell>
          <cell r="AH1408">
            <v>13493</v>
          </cell>
          <cell r="AI1408">
            <v>10230</v>
          </cell>
          <cell r="AJ1408">
            <v>5981</v>
          </cell>
          <cell r="AK1408">
            <v>10034</v>
          </cell>
          <cell r="AL1408">
            <v>9528</v>
          </cell>
          <cell r="AM1408">
            <v>10011</v>
          </cell>
          <cell r="AN1408">
            <v>10523</v>
          </cell>
          <cell r="AO1408">
            <v>9062</v>
          </cell>
          <cell r="AP1408">
            <v>9173</v>
          </cell>
          <cell r="AQ1408">
            <v>8123</v>
          </cell>
          <cell r="AR1408">
            <v>40641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33179</v>
          </cell>
          <cell r="AX1408">
            <v>0</v>
          </cell>
          <cell r="AY1408">
            <v>0</v>
          </cell>
          <cell r="AZ1408">
            <v>0</v>
          </cell>
          <cell r="BA1408">
            <v>10013.1715481172</v>
          </cell>
          <cell r="BB1408">
            <v>11385.985355648534</v>
          </cell>
          <cell r="BC1408">
            <v>11385.985355648534</v>
          </cell>
          <cell r="BD1408">
            <v>11385.985355648534</v>
          </cell>
          <cell r="BE1408">
            <v>11385.985355648534</v>
          </cell>
          <cell r="BF1408">
            <v>11382.949325894931</v>
          </cell>
          <cell r="BG1408">
            <v>11382.949325894931</v>
          </cell>
          <cell r="BH1408">
            <v>11382.949325894931</v>
          </cell>
          <cell r="BI1408">
            <v>11382.949325894931</v>
          </cell>
          <cell r="BJ1408">
            <v>5691.4746629474503</v>
          </cell>
          <cell r="BK1408">
            <v>0</v>
          </cell>
          <cell r="BL1408">
            <v>353533.38493723865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A1409" t="str">
            <v>MMA</v>
          </cell>
          <cell r="B1409" t="str">
            <v>ROHR</v>
          </cell>
          <cell r="D1409" t="str">
            <v>Stock Target</v>
          </cell>
          <cell r="Z1409">
            <v>5500</v>
          </cell>
          <cell r="AA1409">
            <v>5500</v>
          </cell>
          <cell r="AB1409">
            <v>5500</v>
          </cell>
          <cell r="AC1409">
            <v>5500</v>
          </cell>
          <cell r="AD1409">
            <v>5500</v>
          </cell>
          <cell r="AE1409">
            <v>5500</v>
          </cell>
          <cell r="AF1409">
            <v>5500</v>
          </cell>
          <cell r="AG1409">
            <v>5500</v>
          </cell>
          <cell r="AH1409">
            <v>5500</v>
          </cell>
          <cell r="AI1409">
            <v>5500</v>
          </cell>
          <cell r="AJ1409">
            <v>2528</v>
          </cell>
          <cell r="AK1409">
            <v>2529</v>
          </cell>
          <cell r="AL1409">
            <v>2530</v>
          </cell>
          <cell r="AM1409">
            <v>2531</v>
          </cell>
          <cell r="AN1409">
            <v>2532</v>
          </cell>
          <cell r="AO1409">
            <v>2533</v>
          </cell>
          <cell r="AP1409">
            <v>2534</v>
          </cell>
          <cell r="AQ1409">
            <v>2535</v>
          </cell>
          <cell r="AR1409">
            <v>2536</v>
          </cell>
          <cell r="AS1409">
            <v>2537</v>
          </cell>
          <cell r="AT1409">
            <v>2538</v>
          </cell>
          <cell r="AU1409">
            <v>2539</v>
          </cell>
          <cell r="AV1409">
            <v>2540</v>
          </cell>
          <cell r="AW1409">
            <v>2541</v>
          </cell>
          <cell r="AX1409">
            <v>2542</v>
          </cell>
          <cell r="AY1409">
            <v>2543</v>
          </cell>
          <cell r="AZ1409">
            <v>2544</v>
          </cell>
          <cell r="BA1409">
            <v>2545</v>
          </cell>
          <cell r="BB1409">
            <v>2546</v>
          </cell>
          <cell r="BC1409">
            <v>2547</v>
          </cell>
          <cell r="BD1409">
            <v>2548</v>
          </cell>
          <cell r="BE1409">
            <v>2549</v>
          </cell>
          <cell r="BF1409">
            <v>2550</v>
          </cell>
          <cell r="BG1409">
            <v>2551</v>
          </cell>
          <cell r="BH1409">
            <v>2552</v>
          </cell>
          <cell r="BI1409">
            <v>2553</v>
          </cell>
          <cell r="BJ1409">
            <v>2554</v>
          </cell>
          <cell r="BK1409">
            <v>2555</v>
          </cell>
          <cell r="BL1409">
            <v>2556</v>
          </cell>
          <cell r="BM1409">
            <v>2557</v>
          </cell>
          <cell r="BN1409">
            <v>2558</v>
          </cell>
          <cell r="BO1409">
            <v>2559</v>
          </cell>
          <cell r="BP1409">
            <v>2560</v>
          </cell>
          <cell r="BQ1409">
            <v>2561</v>
          </cell>
          <cell r="BR1409">
            <v>2562</v>
          </cell>
          <cell r="BS1409">
            <v>2563</v>
          </cell>
          <cell r="BT1409">
            <v>2564</v>
          </cell>
          <cell r="BU1409">
            <v>2565</v>
          </cell>
          <cell r="BV1409">
            <v>2566</v>
          </cell>
        </row>
        <row r="1410">
          <cell r="A1410" t="str">
            <v>MMA</v>
          </cell>
          <cell r="B1410" t="str">
            <v>ROHR</v>
          </cell>
          <cell r="D1410" t="str">
            <v>PVC</v>
          </cell>
          <cell r="Z1410">
            <v>3624</v>
          </cell>
          <cell r="AA1410">
            <v>-417</v>
          </cell>
          <cell r="AB1410">
            <v>-9026</v>
          </cell>
          <cell r="AC1410">
            <v>-17521</v>
          </cell>
          <cell r="AD1410">
            <v>-25263</v>
          </cell>
          <cell r="AE1410">
            <v>-34338</v>
          </cell>
          <cell r="AF1410">
            <v>-44284</v>
          </cell>
          <cell r="AG1410">
            <v>-52371</v>
          </cell>
          <cell r="AH1410">
            <v>-65864</v>
          </cell>
          <cell r="AI1410">
            <v>-76094</v>
          </cell>
          <cell r="AJ1410">
            <v>-82075</v>
          </cell>
          <cell r="AK1410">
            <v>-92109</v>
          </cell>
          <cell r="AL1410">
            <v>-101637</v>
          </cell>
          <cell r="AM1410">
            <v>-111648</v>
          </cell>
          <cell r="AN1410">
            <v>-122171</v>
          </cell>
          <cell r="AO1410">
            <v>-131233</v>
          </cell>
          <cell r="AP1410">
            <v>-140406</v>
          </cell>
          <cell r="AQ1410">
            <v>-148529</v>
          </cell>
          <cell r="AR1410">
            <v>-189170</v>
          </cell>
          <cell r="AS1410">
            <v>-189170</v>
          </cell>
          <cell r="AT1410">
            <v>-189170</v>
          </cell>
          <cell r="AU1410">
            <v>-189170</v>
          </cell>
          <cell r="AV1410">
            <v>-189170</v>
          </cell>
          <cell r="AW1410">
            <v>-222349</v>
          </cell>
          <cell r="AX1410">
            <v>-222349</v>
          </cell>
          <cell r="AY1410">
            <v>-222349</v>
          </cell>
          <cell r="AZ1410">
            <v>-222349</v>
          </cell>
          <cell r="BA1410">
            <v>-232362.17154811719</v>
          </cell>
          <cell r="BB1410">
            <v>-243748.15690376572</v>
          </cell>
          <cell r="BC1410">
            <v>-255134.14225941425</v>
          </cell>
          <cell r="BD1410">
            <v>-266520.12761506281</v>
          </cell>
          <cell r="BE1410">
            <v>-277906.11297071137</v>
          </cell>
          <cell r="BF1410">
            <v>-289289.06229660631</v>
          </cell>
          <cell r="BG1410">
            <v>-300672.01162250125</v>
          </cell>
          <cell r="BH1410">
            <v>-312054.96094839618</v>
          </cell>
          <cell r="BI1410">
            <v>-323437.91027429112</v>
          </cell>
          <cell r="BJ1410">
            <v>-329129.38493723859</v>
          </cell>
          <cell r="BK1410">
            <v>-329129.38493723859</v>
          </cell>
          <cell r="BL1410">
            <v>-329129.38493723859</v>
          </cell>
          <cell r="BM1410">
            <v>-329129.38493723859</v>
          </cell>
          <cell r="BN1410">
            <v>-329129.38493723859</v>
          </cell>
          <cell r="BO1410">
            <v>-329129.38493723859</v>
          </cell>
          <cell r="BP1410">
            <v>-329129.38493723859</v>
          </cell>
          <cell r="BQ1410">
            <v>-329129.38493723859</v>
          </cell>
          <cell r="BR1410">
            <v>-329129.38493723859</v>
          </cell>
          <cell r="BS1410">
            <v>-329129.38493723859</v>
          </cell>
          <cell r="BT1410">
            <v>-329129.38493723859</v>
          </cell>
          <cell r="BU1410">
            <v>-329129.38493723859</v>
          </cell>
          <cell r="BV1410">
            <v>-329129.38493723859</v>
          </cell>
        </row>
        <row r="1411">
          <cell r="A1411" t="str">
            <v>MMA</v>
          </cell>
          <cell r="B1411" t="str">
            <v>ROHR</v>
          </cell>
          <cell r="D1411" t="str">
            <v>LTH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A1412" t="str">
            <v>MMA</v>
          </cell>
          <cell r="B1412" t="str">
            <v>ROHR</v>
          </cell>
          <cell r="D1412" t="str">
            <v>PO</v>
          </cell>
          <cell r="Z1412">
            <v>104</v>
          </cell>
          <cell r="AA1412">
            <v>24</v>
          </cell>
          <cell r="AB1412">
            <v>16</v>
          </cell>
          <cell r="AC1412">
            <v>-12</v>
          </cell>
          <cell r="AD1412">
            <v>-45</v>
          </cell>
          <cell r="AE1412">
            <v>-45</v>
          </cell>
          <cell r="AF1412">
            <v>-81</v>
          </cell>
          <cell r="AG1412">
            <v>-81</v>
          </cell>
          <cell r="AH1412">
            <v>-81</v>
          </cell>
          <cell r="AI1412">
            <v>-81</v>
          </cell>
          <cell r="AJ1412">
            <v>-81</v>
          </cell>
          <cell r="AK1412">
            <v>-81</v>
          </cell>
          <cell r="AL1412">
            <v>-81</v>
          </cell>
          <cell r="AM1412">
            <v>-81</v>
          </cell>
          <cell r="AN1412">
            <v>-81</v>
          </cell>
          <cell r="AO1412">
            <v>-81</v>
          </cell>
          <cell r="AP1412">
            <v>-81</v>
          </cell>
          <cell r="AQ1412">
            <v>-81</v>
          </cell>
          <cell r="AR1412">
            <v>-81</v>
          </cell>
          <cell r="AS1412">
            <v>-81</v>
          </cell>
          <cell r="AT1412">
            <v>-81</v>
          </cell>
          <cell r="AU1412">
            <v>-81</v>
          </cell>
          <cell r="AV1412">
            <v>-81</v>
          </cell>
          <cell r="AW1412">
            <v>-81</v>
          </cell>
          <cell r="AX1412">
            <v>-81</v>
          </cell>
          <cell r="AY1412">
            <v>-81</v>
          </cell>
          <cell r="AZ1412">
            <v>-81</v>
          </cell>
          <cell r="BA1412">
            <v>-81</v>
          </cell>
          <cell r="BB1412">
            <v>-81</v>
          </cell>
          <cell r="BC1412">
            <v>-81</v>
          </cell>
          <cell r="BD1412">
            <v>-81</v>
          </cell>
          <cell r="BE1412">
            <v>-81</v>
          </cell>
          <cell r="BF1412">
            <v>-81</v>
          </cell>
          <cell r="BG1412">
            <v>-81</v>
          </cell>
          <cell r="BH1412">
            <v>-81</v>
          </cell>
          <cell r="BI1412">
            <v>-81</v>
          </cell>
          <cell r="BJ1412">
            <v>-81</v>
          </cell>
          <cell r="BK1412">
            <v>-81</v>
          </cell>
          <cell r="BL1412">
            <v>-81</v>
          </cell>
          <cell r="BM1412">
            <v>-81</v>
          </cell>
          <cell r="BN1412">
            <v>-81</v>
          </cell>
          <cell r="BO1412">
            <v>-81</v>
          </cell>
          <cell r="BP1412">
            <v>-81</v>
          </cell>
          <cell r="BQ1412">
            <v>-81</v>
          </cell>
          <cell r="BR1412">
            <v>-81</v>
          </cell>
          <cell r="BS1412">
            <v>-81</v>
          </cell>
          <cell r="BT1412">
            <v>-81</v>
          </cell>
          <cell r="BU1412">
            <v>-81</v>
          </cell>
          <cell r="BV1412">
            <v>-81</v>
          </cell>
        </row>
        <row r="1413">
          <cell r="A1413" t="str">
            <v>MMA</v>
          </cell>
          <cell r="B1413" t="str">
            <v>ROHR</v>
          </cell>
          <cell r="D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A1414" t="str">
            <v>MMA</v>
          </cell>
          <cell r="B1414" t="str">
            <v>ROHR</v>
          </cell>
          <cell r="D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A1415" t="str">
            <v>MMA</v>
          </cell>
          <cell r="B1415" t="str">
            <v>ROHR</v>
          </cell>
          <cell r="D1415" t="str">
            <v>STOCK</v>
          </cell>
          <cell r="Z1415">
            <v>3728</v>
          </cell>
          <cell r="AA1415">
            <v>8607</v>
          </cell>
          <cell r="AB1415">
            <v>8990</v>
          </cell>
          <cell r="AC1415">
            <v>9467</v>
          </cell>
          <cell r="AD1415">
            <v>7842</v>
          </cell>
          <cell r="AE1415">
            <v>9142</v>
          </cell>
          <cell r="AF1415">
            <v>9660</v>
          </cell>
          <cell r="AG1415">
            <v>12198</v>
          </cell>
          <cell r="AH1415">
            <v>9455</v>
          </cell>
          <cell r="AI1415">
            <v>10100</v>
          </cell>
          <cell r="AJ1415">
            <v>15119</v>
          </cell>
          <cell r="AK1415">
            <v>13985</v>
          </cell>
          <cell r="AL1415">
            <v>13457</v>
          </cell>
          <cell r="AM1415">
            <v>14821</v>
          </cell>
          <cell r="AN1415">
            <v>13498</v>
          </cell>
          <cell r="AO1415">
            <v>16061</v>
          </cell>
          <cell r="AP1415">
            <v>18638</v>
          </cell>
          <cell r="AQ1415">
            <v>22390</v>
          </cell>
          <cell r="AR1415">
            <v>-6250.9999999999982</v>
          </cell>
          <cell r="AS1415">
            <v>5874.0000000000036</v>
          </cell>
          <cell r="AT1415">
            <v>17124.000000000004</v>
          </cell>
          <cell r="AU1415">
            <v>28374.000000000004</v>
          </cell>
          <cell r="AV1415">
            <v>39624</v>
          </cell>
          <cell r="AW1415">
            <v>17695</v>
          </cell>
          <cell r="AX1415">
            <v>28945</v>
          </cell>
          <cell r="AY1415">
            <v>40195</v>
          </cell>
          <cell r="AZ1415">
            <v>40195</v>
          </cell>
          <cell r="BA1415">
            <v>30181.8284518828</v>
          </cell>
          <cell r="BB1415">
            <v>30045.843096234268</v>
          </cell>
          <cell r="BC1415">
            <v>29909.857740585736</v>
          </cell>
          <cell r="BD1415">
            <v>29773.872384937204</v>
          </cell>
          <cell r="BE1415">
            <v>29637.887029288671</v>
          </cell>
          <cell r="BF1415">
            <v>29504.937703393742</v>
          </cell>
          <cell r="BG1415">
            <v>29371.988377498812</v>
          </cell>
          <cell r="BH1415">
            <v>29239.039051603882</v>
          </cell>
          <cell r="BI1415">
            <v>29106.089725708953</v>
          </cell>
          <cell r="BJ1415">
            <v>34664.615062761499</v>
          </cell>
          <cell r="BK1415">
            <v>47497.948396094827</v>
          </cell>
          <cell r="BL1415">
            <v>-270102.10320781049</v>
          </cell>
          <cell r="BM1415">
            <v>-268302.10320781049</v>
          </cell>
          <cell r="BN1415">
            <v>-266502.10320781049</v>
          </cell>
          <cell r="BO1415">
            <v>-264702.10320781049</v>
          </cell>
          <cell r="BP1415">
            <v>-262902.10320781049</v>
          </cell>
          <cell r="BQ1415">
            <v>-261102.10320781049</v>
          </cell>
          <cell r="BR1415">
            <v>-259302.10320781049</v>
          </cell>
          <cell r="BS1415">
            <v>-257502.10320781049</v>
          </cell>
          <cell r="BT1415">
            <v>-255702.10320781049</v>
          </cell>
          <cell r="BU1415">
            <v>-253902.10320781049</v>
          </cell>
          <cell r="BV1415">
            <v>-252102.10320781049</v>
          </cell>
        </row>
        <row r="1416">
          <cell r="A1416" t="str">
            <v>Blank</v>
          </cell>
          <cell r="B1416" t="str">
            <v>Blank</v>
          </cell>
          <cell r="D1416" t="str">
            <v>Blank</v>
          </cell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</row>
        <row r="1417">
          <cell r="A1417" t="str">
            <v>MMA</v>
          </cell>
          <cell r="B1417" t="str">
            <v>ROHR</v>
          </cell>
          <cell r="D1417" t="str">
            <v>Work days</v>
          </cell>
          <cell r="Z1417">
            <v>3</v>
          </cell>
          <cell r="AA1417">
            <v>5</v>
          </cell>
          <cell r="AB1417">
            <v>5</v>
          </cell>
          <cell r="AC1417">
            <v>5</v>
          </cell>
          <cell r="AD1417">
            <v>3</v>
          </cell>
          <cell r="AE1417">
            <v>5</v>
          </cell>
          <cell r="AF1417">
            <v>5</v>
          </cell>
          <cell r="AG1417">
            <v>5</v>
          </cell>
          <cell r="AH1417">
            <v>5</v>
          </cell>
          <cell r="AI1417">
            <v>5</v>
          </cell>
          <cell r="AJ1417">
            <v>5</v>
          </cell>
          <cell r="AK1417">
            <v>4</v>
          </cell>
          <cell r="AL1417">
            <v>4</v>
          </cell>
          <cell r="AM1417">
            <v>5</v>
          </cell>
          <cell r="AN1417">
            <v>4</v>
          </cell>
          <cell r="AO1417">
            <v>5</v>
          </cell>
          <cell r="AP1417">
            <v>5</v>
          </cell>
          <cell r="AQ1417">
            <v>5</v>
          </cell>
          <cell r="AR1417">
            <v>5</v>
          </cell>
          <cell r="AS1417">
            <v>5</v>
          </cell>
          <cell r="AT1417">
            <v>5</v>
          </cell>
          <cell r="AU1417">
            <v>5</v>
          </cell>
          <cell r="AV1417">
            <v>5</v>
          </cell>
          <cell r="AW1417">
            <v>5</v>
          </cell>
          <cell r="AX1417">
            <v>5</v>
          </cell>
          <cell r="AY1417">
            <v>5</v>
          </cell>
          <cell r="AZ1417">
            <v>0</v>
          </cell>
          <cell r="BA1417">
            <v>0</v>
          </cell>
          <cell r="BB1417">
            <v>5</v>
          </cell>
          <cell r="BC1417">
            <v>5</v>
          </cell>
          <cell r="BD1417">
            <v>5</v>
          </cell>
          <cell r="BE1417">
            <v>5</v>
          </cell>
          <cell r="BF1417">
            <v>5</v>
          </cell>
          <cell r="BG1417">
            <v>5</v>
          </cell>
          <cell r="BH1417">
            <v>5</v>
          </cell>
          <cell r="BI1417">
            <v>5</v>
          </cell>
          <cell r="BJ1417">
            <v>5</v>
          </cell>
          <cell r="BK1417">
            <v>5</v>
          </cell>
          <cell r="BL1417">
            <v>5</v>
          </cell>
          <cell r="BM1417">
            <v>5</v>
          </cell>
          <cell r="BN1417">
            <v>5</v>
          </cell>
          <cell r="BO1417">
            <v>5</v>
          </cell>
          <cell r="BP1417">
            <v>5</v>
          </cell>
          <cell r="BQ1417">
            <v>5</v>
          </cell>
          <cell r="BR1417">
            <v>5</v>
          </cell>
          <cell r="BS1417">
            <v>5</v>
          </cell>
          <cell r="BT1417">
            <v>5</v>
          </cell>
          <cell r="BU1417">
            <v>5</v>
          </cell>
          <cell r="BV1417">
            <v>5</v>
          </cell>
        </row>
        <row r="1418">
          <cell r="A1418" t="str">
            <v>MMA</v>
          </cell>
          <cell r="B1418" t="str">
            <v>ROHR</v>
          </cell>
          <cell r="D1418" t="str">
            <v>SHIFT A HC - operators</v>
          </cell>
          <cell r="Z1418">
            <v>17</v>
          </cell>
          <cell r="AA1418">
            <v>17</v>
          </cell>
          <cell r="AB1418">
            <v>18</v>
          </cell>
          <cell r="AC1418">
            <v>18</v>
          </cell>
          <cell r="AD1418">
            <v>18</v>
          </cell>
          <cell r="AE1418">
            <v>18</v>
          </cell>
          <cell r="AF1418">
            <v>18</v>
          </cell>
          <cell r="AG1418">
            <v>18</v>
          </cell>
          <cell r="AH1418">
            <v>18</v>
          </cell>
          <cell r="AI1418">
            <v>18</v>
          </cell>
          <cell r="AJ1418">
            <v>19</v>
          </cell>
          <cell r="AK1418">
            <v>19</v>
          </cell>
          <cell r="AL1418">
            <v>19</v>
          </cell>
          <cell r="AM1418">
            <v>19</v>
          </cell>
          <cell r="AN1418">
            <v>19</v>
          </cell>
          <cell r="AO1418">
            <v>19</v>
          </cell>
          <cell r="AP1418">
            <v>19</v>
          </cell>
          <cell r="AQ1418">
            <v>19</v>
          </cell>
          <cell r="AR1418">
            <v>19</v>
          </cell>
          <cell r="AS1418">
            <v>19</v>
          </cell>
          <cell r="AT1418">
            <v>19</v>
          </cell>
          <cell r="AU1418">
            <v>19</v>
          </cell>
          <cell r="AV1418">
            <v>19</v>
          </cell>
          <cell r="AW1418">
            <v>19</v>
          </cell>
          <cell r="AX1418">
            <v>19</v>
          </cell>
          <cell r="AY1418">
            <v>19</v>
          </cell>
          <cell r="AZ1418">
            <v>19</v>
          </cell>
          <cell r="BA1418">
            <v>19</v>
          </cell>
          <cell r="BB1418">
            <v>19</v>
          </cell>
          <cell r="BC1418">
            <v>19</v>
          </cell>
          <cell r="BD1418">
            <v>19</v>
          </cell>
          <cell r="BE1418">
            <v>18</v>
          </cell>
          <cell r="BF1418">
            <v>18</v>
          </cell>
          <cell r="BG1418">
            <v>18</v>
          </cell>
          <cell r="BH1418">
            <v>18</v>
          </cell>
          <cell r="BI1418">
            <v>18</v>
          </cell>
          <cell r="BJ1418">
            <v>18</v>
          </cell>
          <cell r="BK1418">
            <v>8</v>
          </cell>
          <cell r="BL1418">
            <v>8</v>
          </cell>
          <cell r="BM1418">
            <v>8</v>
          </cell>
          <cell r="BN1418">
            <v>8</v>
          </cell>
          <cell r="BO1418">
            <v>8</v>
          </cell>
          <cell r="BP1418">
            <v>8</v>
          </cell>
          <cell r="BQ1418">
            <v>8</v>
          </cell>
          <cell r="BR1418">
            <v>8</v>
          </cell>
          <cell r="BS1418">
            <v>8</v>
          </cell>
          <cell r="BT1418">
            <v>8</v>
          </cell>
          <cell r="BU1418">
            <v>8</v>
          </cell>
          <cell r="BV1418">
            <v>8</v>
          </cell>
        </row>
        <row r="1419">
          <cell r="A1419" t="str">
            <v>MMA</v>
          </cell>
          <cell r="B1419" t="str">
            <v>ROHR</v>
          </cell>
          <cell r="D1419" t="str">
            <v>SHIFT B HC  - operators</v>
          </cell>
          <cell r="Z1419">
            <v>17</v>
          </cell>
          <cell r="AA1419">
            <v>17</v>
          </cell>
          <cell r="AB1419">
            <v>18</v>
          </cell>
          <cell r="AC1419">
            <v>18</v>
          </cell>
          <cell r="AD1419">
            <v>18</v>
          </cell>
          <cell r="AE1419">
            <v>18</v>
          </cell>
          <cell r="AF1419">
            <v>18</v>
          </cell>
          <cell r="AG1419">
            <v>18</v>
          </cell>
          <cell r="AH1419">
            <v>18</v>
          </cell>
          <cell r="AI1419">
            <v>18</v>
          </cell>
          <cell r="AJ1419">
            <v>19</v>
          </cell>
          <cell r="AK1419">
            <v>19</v>
          </cell>
          <cell r="AL1419">
            <v>19</v>
          </cell>
          <cell r="AM1419">
            <v>19</v>
          </cell>
          <cell r="AN1419">
            <v>19</v>
          </cell>
          <cell r="AO1419">
            <v>19</v>
          </cell>
          <cell r="AP1419">
            <v>19</v>
          </cell>
          <cell r="AQ1419">
            <v>19</v>
          </cell>
          <cell r="AR1419">
            <v>19</v>
          </cell>
          <cell r="AS1419">
            <v>19</v>
          </cell>
          <cell r="AT1419">
            <v>19</v>
          </cell>
          <cell r="AU1419">
            <v>19</v>
          </cell>
          <cell r="AV1419">
            <v>19</v>
          </cell>
          <cell r="AW1419">
            <v>19</v>
          </cell>
          <cell r="AX1419">
            <v>19</v>
          </cell>
          <cell r="AY1419">
            <v>19</v>
          </cell>
          <cell r="AZ1419">
            <v>19</v>
          </cell>
          <cell r="BA1419">
            <v>19</v>
          </cell>
          <cell r="BB1419">
            <v>19</v>
          </cell>
          <cell r="BC1419">
            <v>19</v>
          </cell>
          <cell r="BD1419">
            <v>19</v>
          </cell>
          <cell r="BE1419">
            <v>18</v>
          </cell>
          <cell r="BF1419">
            <v>18</v>
          </cell>
          <cell r="BG1419">
            <v>18</v>
          </cell>
          <cell r="BH1419">
            <v>18</v>
          </cell>
          <cell r="BI1419">
            <v>18</v>
          </cell>
          <cell r="BJ1419">
            <v>18</v>
          </cell>
          <cell r="BK1419">
            <v>8</v>
          </cell>
          <cell r="BL1419">
            <v>8</v>
          </cell>
          <cell r="BM1419">
            <v>8</v>
          </cell>
          <cell r="BN1419">
            <v>8</v>
          </cell>
          <cell r="BO1419">
            <v>8</v>
          </cell>
          <cell r="BP1419">
            <v>8</v>
          </cell>
          <cell r="BQ1419">
            <v>8</v>
          </cell>
          <cell r="BR1419">
            <v>8</v>
          </cell>
          <cell r="BS1419">
            <v>8</v>
          </cell>
          <cell r="BT1419">
            <v>8</v>
          </cell>
          <cell r="BU1419">
            <v>8</v>
          </cell>
          <cell r="BV1419">
            <v>8</v>
          </cell>
        </row>
        <row r="1420">
          <cell r="A1420" t="str">
            <v>MMA</v>
          </cell>
          <cell r="B1420" t="str">
            <v>ROHR</v>
          </cell>
          <cell r="D1420" t="str">
            <v>SHIFT C HC  - operators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</row>
        <row r="1421">
          <cell r="A1421" t="str">
            <v>MMA</v>
          </cell>
          <cell r="B1421" t="str">
            <v>ROHR</v>
          </cell>
          <cell r="D1421" t="str">
            <v>Total HC</v>
          </cell>
          <cell r="Z1421">
            <v>34</v>
          </cell>
          <cell r="AA1421">
            <v>34</v>
          </cell>
          <cell r="AB1421">
            <v>36</v>
          </cell>
          <cell r="AC1421">
            <v>36</v>
          </cell>
          <cell r="AD1421">
            <v>36</v>
          </cell>
          <cell r="AE1421">
            <v>36</v>
          </cell>
          <cell r="AF1421">
            <v>36</v>
          </cell>
          <cell r="AG1421">
            <v>36</v>
          </cell>
          <cell r="AH1421">
            <v>36</v>
          </cell>
          <cell r="AI1421">
            <v>36</v>
          </cell>
          <cell r="AJ1421">
            <v>38</v>
          </cell>
          <cell r="AK1421">
            <v>38</v>
          </cell>
          <cell r="AL1421">
            <v>38</v>
          </cell>
          <cell r="AM1421">
            <v>38</v>
          </cell>
          <cell r="AN1421">
            <v>38</v>
          </cell>
          <cell r="AO1421">
            <v>38</v>
          </cell>
          <cell r="AP1421">
            <v>38</v>
          </cell>
          <cell r="AQ1421">
            <v>38</v>
          </cell>
          <cell r="AR1421">
            <v>38</v>
          </cell>
          <cell r="AS1421">
            <v>38</v>
          </cell>
          <cell r="AT1421">
            <v>38</v>
          </cell>
          <cell r="AU1421">
            <v>38</v>
          </cell>
          <cell r="AV1421">
            <v>38</v>
          </cell>
          <cell r="AW1421">
            <v>38</v>
          </cell>
          <cell r="AX1421">
            <v>38</v>
          </cell>
          <cell r="AY1421">
            <v>38</v>
          </cell>
          <cell r="AZ1421">
            <v>38</v>
          </cell>
          <cell r="BA1421">
            <v>38</v>
          </cell>
          <cell r="BB1421">
            <v>38</v>
          </cell>
          <cell r="BC1421">
            <v>38</v>
          </cell>
          <cell r="BD1421">
            <v>38</v>
          </cell>
          <cell r="BE1421">
            <v>36</v>
          </cell>
          <cell r="BF1421">
            <v>36</v>
          </cell>
          <cell r="BG1421">
            <v>36</v>
          </cell>
          <cell r="BH1421">
            <v>36</v>
          </cell>
          <cell r="BI1421">
            <v>36</v>
          </cell>
          <cell r="BJ1421">
            <v>36</v>
          </cell>
          <cell r="BK1421">
            <v>16</v>
          </cell>
          <cell r="BL1421">
            <v>16</v>
          </cell>
          <cell r="BM1421">
            <v>16</v>
          </cell>
          <cell r="BN1421">
            <v>16</v>
          </cell>
          <cell r="BO1421">
            <v>16</v>
          </cell>
          <cell r="BP1421">
            <v>16</v>
          </cell>
          <cell r="BQ1421">
            <v>16</v>
          </cell>
          <cell r="BR1421">
            <v>16</v>
          </cell>
          <cell r="BS1421">
            <v>16</v>
          </cell>
          <cell r="BT1421">
            <v>16</v>
          </cell>
          <cell r="BU1421">
            <v>16</v>
          </cell>
          <cell r="BV1421">
            <v>16</v>
          </cell>
        </row>
        <row r="1422">
          <cell r="A1422" t="str">
            <v>MMA</v>
          </cell>
          <cell r="B1422" t="str">
            <v>ROHR</v>
          </cell>
          <cell r="D1422" t="str">
            <v>SHIFT A HC  - efficiency</v>
          </cell>
          <cell r="Z1422">
            <v>0.85</v>
          </cell>
          <cell r="AA1422">
            <v>0.9</v>
          </cell>
          <cell r="AB1422">
            <v>0.95</v>
          </cell>
          <cell r="AC1422">
            <v>1</v>
          </cell>
          <cell r="AD1422">
            <v>1</v>
          </cell>
          <cell r="AE1422">
            <v>1.05</v>
          </cell>
          <cell r="AF1422">
            <v>1.05</v>
          </cell>
          <cell r="AG1422">
            <v>1.05</v>
          </cell>
          <cell r="AH1422">
            <v>1.05</v>
          </cell>
          <cell r="AI1422">
            <v>1.1000000000000001</v>
          </cell>
          <cell r="AJ1422">
            <v>1.1000000000000001</v>
          </cell>
          <cell r="AK1422">
            <v>1.1000000000000001</v>
          </cell>
          <cell r="AL1422">
            <v>1.1000000000000001</v>
          </cell>
          <cell r="AM1422">
            <v>1.1000000000000001</v>
          </cell>
          <cell r="AN1422">
            <v>1.1000000000000001</v>
          </cell>
          <cell r="AO1422">
            <v>1.1000000000000001</v>
          </cell>
          <cell r="AP1422">
            <v>1.1000000000000001</v>
          </cell>
          <cell r="AQ1422">
            <v>1.1000000000000001</v>
          </cell>
          <cell r="AR1422">
            <v>1.1000000000000001</v>
          </cell>
          <cell r="AS1422">
            <v>1.1000000000000001</v>
          </cell>
          <cell r="AT1422">
            <v>1.1000000000000001</v>
          </cell>
          <cell r="AU1422">
            <v>1.1000000000000001</v>
          </cell>
          <cell r="AV1422">
            <v>1.1000000000000001</v>
          </cell>
          <cell r="AW1422">
            <v>1.1000000000000001</v>
          </cell>
          <cell r="AX1422">
            <v>1.1000000000000001</v>
          </cell>
          <cell r="AY1422">
            <v>1.1000000000000001</v>
          </cell>
          <cell r="AZ1422">
            <v>1.1000000000000001</v>
          </cell>
          <cell r="BA1422">
            <v>1.1000000000000001</v>
          </cell>
          <cell r="BB1422">
            <v>1.1000000000000001</v>
          </cell>
          <cell r="BC1422">
            <v>1.1000000000000001</v>
          </cell>
          <cell r="BD1422">
            <v>1.1000000000000001</v>
          </cell>
          <cell r="BE1422">
            <v>1.1000000000000001</v>
          </cell>
          <cell r="BF1422">
            <v>1.1000000000000001</v>
          </cell>
          <cell r="BG1422">
            <v>1.1000000000000001</v>
          </cell>
          <cell r="BH1422">
            <v>1.1000000000000001</v>
          </cell>
          <cell r="BI1422">
            <v>1.1000000000000001</v>
          </cell>
          <cell r="BJ1422">
            <v>1.1000000000000001</v>
          </cell>
          <cell r="BK1422">
            <v>1.1000000000000001</v>
          </cell>
          <cell r="BL1422">
            <v>1.1000000000000001</v>
          </cell>
          <cell r="BM1422">
            <v>1.1000000000000001</v>
          </cell>
          <cell r="BN1422">
            <v>1.1000000000000001</v>
          </cell>
          <cell r="BO1422">
            <v>1.1000000000000001</v>
          </cell>
          <cell r="BP1422">
            <v>1.1000000000000001</v>
          </cell>
          <cell r="BQ1422">
            <v>1.1000000000000001</v>
          </cell>
          <cell r="BR1422">
            <v>1.1000000000000001</v>
          </cell>
          <cell r="BS1422">
            <v>1.1000000000000001</v>
          </cell>
          <cell r="BT1422">
            <v>1.1000000000000001</v>
          </cell>
          <cell r="BU1422">
            <v>1.1000000000000001</v>
          </cell>
          <cell r="BV1422">
            <v>1.1000000000000001</v>
          </cell>
        </row>
        <row r="1423">
          <cell r="A1423" t="str">
            <v>MMA</v>
          </cell>
          <cell r="B1423" t="str">
            <v>ROHR</v>
          </cell>
          <cell r="D1423" t="str">
            <v>SHIFT B HC  - efficiency</v>
          </cell>
          <cell r="Z1423">
            <v>0.85</v>
          </cell>
          <cell r="AA1423">
            <v>0.9</v>
          </cell>
          <cell r="AB1423">
            <v>0.95</v>
          </cell>
          <cell r="AC1423">
            <v>1</v>
          </cell>
          <cell r="AD1423">
            <v>1</v>
          </cell>
          <cell r="AE1423">
            <v>1.05</v>
          </cell>
          <cell r="AF1423">
            <v>1.05</v>
          </cell>
          <cell r="AG1423">
            <v>1.05</v>
          </cell>
          <cell r="AH1423">
            <v>1.05</v>
          </cell>
          <cell r="AI1423">
            <v>1.1000000000000001</v>
          </cell>
          <cell r="AJ1423">
            <v>1.1000000000000001</v>
          </cell>
          <cell r="AK1423">
            <v>1.1000000000000001</v>
          </cell>
          <cell r="AL1423">
            <v>1.1000000000000001</v>
          </cell>
          <cell r="AM1423">
            <v>1.1000000000000001</v>
          </cell>
          <cell r="AN1423">
            <v>1.1000000000000001</v>
          </cell>
          <cell r="AO1423">
            <v>1.1000000000000001</v>
          </cell>
          <cell r="AP1423">
            <v>1.1000000000000001</v>
          </cell>
          <cell r="AQ1423">
            <v>1.1000000000000001</v>
          </cell>
          <cell r="AR1423">
            <v>1.1000000000000001</v>
          </cell>
          <cell r="AS1423">
            <v>1.1000000000000001</v>
          </cell>
          <cell r="AT1423">
            <v>1.1000000000000001</v>
          </cell>
          <cell r="AU1423">
            <v>1.1000000000000001</v>
          </cell>
          <cell r="AV1423">
            <v>1.1000000000000001</v>
          </cell>
          <cell r="AW1423">
            <v>1.1000000000000001</v>
          </cell>
          <cell r="AX1423">
            <v>1.1000000000000001</v>
          </cell>
          <cell r="AY1423">
            <v>1.1000000000000001</v>
          </cell>
          <cell r="AZ1423">
            <v>1.1000000000000001</v>
          </cell>
          <cell r="BA1423">
            <v>1.1000000000000001</v>
          </cell>
          <cell r="BB1423">
            <v>1.1000000000000001</v>
          </cell>
          <cell r="BC1423">
            <v>1.1000000000000001</v>
          </cell>
          <cell r="BD1423">
            <v>1.1000000000000001</v>
          </cell>
          <cell r="BE1423">
            <v>1.1000000000000001</v>
          </cell>
          <cell r="BF1423">
            <v>1.1000000000000001</v>
          </cell>
          <cell r="BG1423">
            <v>1.1000000000000001</v>
          </cell>
          <cell r="BH1423">
            <v>1.1000000000000001</v>
          </cell>
          <cell r="BI1423">
            <v>1.1000000000000001</v>
          </cell>
          <cell r="BJ1423">
            <v>1.1000000000000001</v>
          </cell>
          <cell r="BK1423">
            <v>1.1000000000000001</v>
          </cell>
          <cell r="BL1423">
            <v>1.1000000000000001</v>
          </cell>
          <cell r="BM1423">
            <v>1.1000000000000001</v>
          </cell>
          <cell r="BN1423">
            <v>1.1000000000000001</v>
          </cell>
          <cell r="BO1423">
            <v>1.1000000000000001</v>
          </cell>
          <cell r="BP1423">
            <v>1.1000000000000001</v>
          </cell>
          <cell r="BQ1423">
            <v>1.1000000000000001</v>
          </cell>
          <cell r="BR1423">
            <v>1.1000000000000001</v>
          </cell>
          <cell r="BS1423">
            <v>1.1000000000000001</v>
          </cell>
          <cell r="BT1423">
            <v>1.1000000000000001</v>
          </cell>
          <cell r="BU1423">
            <v>1.1000000000000001</v>
          </cell>
          <cell r="BV1423">
            <v>1.1000000000000001</v>
          </cell>
        </row>
        <row r="1424">
          <cell r="A1424" t="str">
            <v>MMA</v>
          </cell>
          <cell r="B1424" t="str">
            <v>ROHR</v>
          </cell>
          <cell r="D1424" t="str">
            <v>SHIFT C HC  - efficiency</v>
          </cell>
          <cell r="Z1424">
            <v>1</v>
          </cell>
          <cell r="AA1424">
            <v>1</v>
          </cell>
          <cell r="AB1424">
            <v>1</v>
          </cell>
          <cell r="AC1424">
            <v>1</v>
          </cell>
          <cell r="AD1424">
            <v>1</v>
          </cell>
          <cell r="AE1424">
            <v>1</v>
          </cell>
          <cell r="AF1424">
            <v>1</v>
          </cell>
          <cell r="AG1424">
            <v>1</v>
          </cell>
          <cell r="AH1424">
            <v>1</v>
          </cell>
          <cell r="AI1424">
            <v>1</v>
          </cell>
          <cell r="AJ1424">
            <v>1</v>
          </cell>
          <cell r="AK1424">
            <v>1</v>
          </cell>
          <cell r="AL1424">
            <v>1</v>
          </cell>
          <cell r="AM1424">
            <v>1</v>
          </cell>
          <cell r="AN1424">
            <v>1</v>
          </cell>
          <cell r="AO1424">
            <v>1</v>
          </cell>
          <cell r="AP1424">
            <v>1</v>
          </cell>
          <cell r="AQ1424">
            <v>1</v>
          </cell>
          <cell r="AR1424">
            <v>1</v>
          </cell>
          <cell r="AS1424">
            <v>1</v>
          </cell>
          <cell r="AT1424">
            <v>1</v>
          </cell>
          <cell r="AU1424">
            <v>1</v>
          </cell>
          <cell r="AV1424">
            <v>1</v>
          </cell>
          <cell r="AW1424">
            <v>1</v>
          </cell>
          <cell r="AX1424">
            <v>1</v>
          </cell>
          <cell r="AY1424">
            <v>1</v>
          </cell>
          <cell r="AZ1424">
            <v>1</v>
          </cell>
          <cell r="BA1424">
            <v>1</v>
          </cell>
          <cell r="BB1424">
            <v>1</v>
          </cell>
          <cell r="BC1424">
            <v>1</v>
          </cell>
          <cell r="BD1424">
            <v>1</v>
          </cell>
          <cell r="BE1424">
            <v>1</v>
          </cell>
          <cell r="BF1424">
            <v>1</v>
          </cell>
          <cell r="BG1424">
            <v>1</v>
          </cell>
          <cell r="BH1424">
            <v>1</v>
          </cell>
          <cell r="BI1424">
            <v>1</v>
          </cell>
          <cell r="BJ1424">
            <v>1</v>
          </cell>
          <cell r="BK1424">
            <v>1</v>
          </cell>
          <cell r="BL1424">
            <v>1</v>
          </cell>
          <cell r="BM1424">
            <v>1</v>
          </cell>
          <cell r="BN1424">
            <v>1</v>
          </cell>
          <cell r="BO1424">
            <v>1</v>
          </cell>
          <cell r="BP1424">
            <v>1</v>
          </cell>
          <cell r="BQ1424">
            <v>1</v>
          </cell>
          <cell r="BR1424">
            <v>1</v>
          </cell>
          <cell r="BS1424">
            <v>1</v>
          </cell>
          <cell r="BT1424">
            <v>1</v>
          </cell>
          <cell r="BU1424">
            <v>1</v>
          </cell>
          <cell r="BV1424">
            <v>1</v>
          </cell>
        </row>
        <row r="1425">
          <cell r="A1425" t="str">
            <v>MMA</v>
          </cell>
          <cell r="B1425" t="str">
            <v>ROHR</v>
          </cell>
          <cell r="D1425" t="str">
            <v>Total efficiency</v>
          </cell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</row>
        <row r="1426">
          <cell r="A1426" t="str">
            <v>MMA</v>
          </cell>
          <cell r="B1426" t="str">
            <v>ROHR</v>
          </cell>
          <cell r="D1426" t="str">
            <v>SHIFT A - output</v>
          </cell>
          <cell r="Z1426">
            <v>796.875</v>
          </cell>
          <cell r="AA1426">
            <v>843.75</v>
          </cell>
          <cell r="AB1426">
            <v>943.01470588235293</v>
          </cell>
          <cell r="AC1426">
            <v>992.64705882352939</v>
          </cell>
          <cell r="AD1426">
            <v>992.64705882352939</v>
          </cell>
          <cell r="AE1426">
            <v>1042.2794117647059</v>
          </cell>
          <cell r="AF1426">
            <v>1042.2794117647059</v>
          </cell>
          <cell r="AG1426">
            <v>1042.2794117647059</v>
          </cell>
          <cell r="AH1426">
            <v>1042.2794117647059</v>
          </cell>
          <cell r="AI1426">
            <v>1091.9117647058824</v>
          </cell>
          <cell r="AJ1426">
            <v>1152.5735294117649</v>
          </cell>
          <cell r="AK1426">
            <v>1152.5735294117649</v>
          </cell>
          <cell r="AL1426">
            <v>1152.5735294117649</v>
          </cell>
          <cell r="AM1426">
            <v>1152.5735294117649</v>
          </cell>
          <cell r="AN1426">
            <v>1152.5735294117649</v>
          </cell>
          <cell r="AO1426">
            <v>1152.5735294117649</v>
          </cell>
          <cell r="AP1426">
            <v>1152.5735294117649</v>
          </cell>
          <cell r="AQ1426">
            <v>1152.5735294117649</v>
          </cell>
          <cell r="AR1426">
            <v>1152.5735294117649</v>
          </cell>
          <cell r="AS1426">
            <v>1152.5735294117649</v>
          </cell>
          <cell r="AT1426">
            <v>1152.5735294117649</v>
          </cell>
          <cell r="AU1426">
            <v>1152.5735294117649</v>
          </cell>
          <cell r="AV1426">
            <v>1152.5735294117649</v>
          </cell>
          <cell r="AW1426">
            <v>1152.5735294117649</v>
          </cell>
          <cell r="AX1426">
            <v>1152.5735294117649</v>
          </cell>
          <cell r="AY1426">
            <v>1152.5735294117649</v>
          </cell>
          <cell r="AZ1426">
            <v>1152.5735294117649</v>
          </cell>
          <cell r="BA1426">
            <v>1152.5735294117649</v>
          </cell>
          <cell r="BB1426">
            <v>1152.5735294117649</v>
          </cell>
          <cell r="BC1426">
            <v>1152.5735294117649</v>
          </cell>
          <cell r="BD1426">
            <v>1152.5735294117649</v>
          </cell>
          <cell r="BE1426">
            <v>1091.9117647058824</v>
          </cell>
          <cell r="BF1426">
            <v>1091.9117647058824</v>
          </cell>
          <cell r="BG1426">
            <v>1091.9117647058824</v>
          </cell>
          <cell r="BH1426">
            <v>1091.9117647058824</v>
          </cell>
          <cell r="BI1426">
            <v>1091.9117647058824</v>
          </cell>
          <cell r="BJ1426">
            <v>1091.9117647058824</v>
          </cell>
          <cell r="BK1426">
            <v>485.2941176470589</v>
          </cell>
          <cell r="BL1426">
            <v>485.2941176470589</v>
          </cell>
          <cell r="BM1426">
            <v>485.2941176470589</v>
          </cell>
          <cell r="BN1426">
            <v>485.2941176470589</v>
          </cell>
          <cell r="BO1426">
            <v>485.2941176470589</v>
          </cell>
          <cell r="BP1426">
            <v>485.2941176470589</v>
          </cell>
          <cell r="BQ1426">
            <v>485.2941176470589</v>
          </cell>
          <cell r="BR1426">
            <v>485.2941176470589</v>
          </cell>
          <cell r="BS1426">
            <v>485.2941176470589</v>
          </cell>
          <cell r="BT1426">
            <v>485.2941176470589</v>
          </cell>
          <cell r="BU1426">
            <v>485.2941176470589</v>
          </cell>
          <cell r="BV1426">
            <v>485.2941176470589</v>
          </cell>
        </row>
        <row r="1427">
          <cell r="A1427" t="str">
            <v>MMA</v>
          </cell>
          <cell r="B1427" t="str">
            <v>ROHR</v>
          </cell>
          <cell r="D1427" t="str">
            <v>SHIFT B  - output</v>
          </cell>
          <cell r="Z1427">
            <v>796.875</v>
          </cell>
          <cell r="AA1427">
            <v>843.75</v>
          </cell>
          <cell r="AB1427">
            <v>943.01470588235293</v>
          </cell>
          <cell r="AC1427">
            <v>992.64705882352939</v>
          </cell>
          <cell r="AD1427">
            <v>992.64705882352939</v>
          </cell>
          <cell r="AE1427">
            <v>1042.2794117647059</v>
          </cell>
          <cell r="AF1427">
            <v>1042.2794117647059</v>
          </cell>
          <cell r="AG1427">
            <v>1042.2794117647059</v>
          </cell>
          <cell r="AH1427">
            <v>1042.2794117647059</v>
          </cell>
          <cell r="AI1427">
            <v>1091.9117647058824</v>
          </cell>
          <cell r="AJ1427">
            <v>1152.5735294117649</v>
          </cell>
          <cell r="AK1427">
            <v>1152.5735294117649</v>
          </cell>
          <cell r="AL1427">
            <v>1152.5735294117649</v>
          </cell>
          <cell r="AM1427">
            <v>1152.5735294117649</v>
          </cell>
          <cell r="AN1427">
            <v>1152.5735294117649</v>
          </cell>
          <cell r="AO1427">
            <v>1152.5735294117649</v>
          </cell>
          <cell r="AP1427">
            <v>1152.5735294117649</v>
          </cell>
          <cell r="AQ1427">
            <v>1152.5735294117649</v>
          </cell>
          <cell r="AR1427">
            <v>1152.5735294117649</v>
          </cell>
          <cell r="AS1427">
            <v>1152.5735294117649</v>
          </cell>
          <cell r="AT1427">
            <v>1152.5735294117649</v>
          </cell>
          <cell r="AU1427">
            <v>1152.5735294117649</v>
          </cell>
          <cell r="AV1427">
            <v>1152.5735294117649</v>
          </cell>
          <cell r="AW1427">
            <v>1152.5735294117649</v>
          </cell>
          <cell r="AX1427">
            <v>1152.5735294117649</v>
          </cell>
          <cell r="AY1427">
            <v>1152.5735294117649</v>
          </cell>
          <cell r="AZ1427">
            <v>1152.5735294117649</v>
          </cell>
          <cell r="BA1427">
            <v>1152.5735294117649</v>
          </cell>
          <cell r="BB1427">
            <v>1152.5735294117649</v>
          </cell>
          <cell r="BC1427">
            <v>1152.5735294117649</v>
          </cell>
          <cell r="BD1427">
            <v>1152.5735294117649</v>
          </cell>
          <cell r="BE1427">
            <v>1091.9117647058824</v>
          </cell>
          <cell r="BF1427">
            <v>1091.9117647058824</v>
          </cell>
          <cell r="BG1427">
            <v>1091.9117647058824</v>
          </cell>
          <cell r="BH1427">
            <v>1091.9117647058824</v>
          </cell>
          <cell r="BI1427">
            <v>1091.9117647058824</v>
          </cell>
          <cell r="BJ1427">
            <v>1091.9117647058824</v>
          </cell>
          <cell r="BK1427">
            <v>485.2941176470589</v>
          </cell>
          <cell r="BL1427">
            <v>485.2941176470589</v>
          </cell>
          <cell r="BM1427">
            <v>485.2941176470589</v>
          </cell>
          <cell r="BN1427">
            <v>485.2941176470589</v>
          </cell>
          <cell r="BO1427">
            <v>485.2941176470589</v>
          </cell>
          <cell r="BP1427">
            <v>485.2941176470589</v>
          </cell>
          <cell r="BQ1427">
            <v>485.2941176470589</v>
          </cell>
          <cell r="BR1427">
            <v>485.2941176470589</v>
          </cell>
          <cell r="BS1427">
            <v>485.2941176470589</v>
          </cell>
          <cell r="BT1427">
            <v>485.2941176470589</v>
          </cell>
          <cell r="BU1427">
            <v>485.2941176470589</v>
          </cell>
          <cell r="BV1427">
            <v>485.2941176470589</v>
          </cell>
        </row>
        <row r="1428">
          <cell r="A1428" t="str">
            <v>MMA</v>
          </cell>
          <cell r="B1428" t="str">
            <v>ROHR</v>
          </cell>
          <cell r="D1428" t="str">
            <v>SHIFT C  - output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</row>
        <row r="1429">
          <cell r="A1429" t="str">
            <v>MMA</v>
          </cell>
          <cell r="B1429" t="str">
            <v>ROHR</v>
          </cell>
          <cell r="D1429" t="str">
            <v>Est. Output (Pcs day)</v>
          </cell>
          <cell r="E1429">
            <v>8.16</v>
          </cell>
          <cell r="Z1429">
            <v>1593.75</v>
          </cell>
          <cell r="AA1429">
            <v>1687.5</v>
          </cell>
          <cell r="AB1429">
            <v>1886.0294117647059</v>
          </cell>
          <cell r="AC1429">
            <v>1985.2941176470588</v>
          </cell>
          <cell r="AD1429">
            <v>1985.2941176470588</v>
          </cell>
          <cell r="AE1429">
            <v>2084.5588235294117</v>
          </cell>
          <cell r="AF1429">
            <v>2084.5588235294117</v>
          </cell>
          <cell r="AG1429">
            <v>2084.5588235294117</v>
          </cell>
          <cell r="AH1429">
            <v>2084.5588235294117</v>
          </cell>
          <cell r="AI1429">
            <v>2183.8235294117649</v>
          </cell>
          <cell r="AJ1429">
            <v>2305.1470588235297</v>
          </cell>
          <cell r="AK1429">
            <v>2305.1470588235297</v>
          </cell>
          <cell r="AL1429">
            <v>2305.1470588235297</v>
          </cell>
          <cell r="AM1429">
            <v>2305.1470588235297</v>
          </cell>
          <cell r="AN1429">
            <v>2305.1470588235297</v>
          </cell>
          <cell r="AO1429">
            <v>2305.1470588235297</v>
          </cell>
          <cell r="AP1429">
            <v>2305.1470588235297</v>
          </cell>
          <cell r="AQ1429">
            <v>2305.1470588235297</v>
          </cell>
          <cell r="AR1429">
            <v>2305.1470588235297</v>
          </cell>
          <cell r="AS1429">
            <v>2305.1470588235297</v>
          </cell>
          <cell r="AT1429">
            <v>2305.1470588235297</v>
          </cell>
          <cell r="AU1429">
            <v>2305.1470588235297</v>
          </cell>
          <cell r="AV1429">
            <v>2305.1470588235297</v>
          </cell>
          <cell r="AW1429">
            <v>2305.1470588235297</v>
          </cell>
          <cell r="AX1429">
            <v>2305.1470588235297</v>
          </cell>
          <cell r="AY1429">
            <v>2305.1470588235297</v>
          </cell>
          <cell r="AZ1429">
            <v>2305.1470588235297</v>
          </cell>
          <cell r="BA1429">
            <v>2305.1470588235297</v>
          </cell>
          <cell r="BB1429">
            <v>2305.1470588235297</v>
          </cell>
          <cell r="BC1429">
            <v>2305.1470588235297</v>
          </cell>
          <cell r="BD1429">
            <v>2305.1470588235297</v>
          </cell>
          <cell r="BE1429">
            <v>2183.8235294117649</v>
          </cell>
          <cell r="BF1429">
            <v>2183.8235294117649</v>
          </cell>
          <cell r="BG1429">
            <v>2183.8235294117649</v>
          </cell>
          <cell r="BH1429">
            <v>2183.8235294117649</v>
          </cell>
          <cell r="BI1429">
            <v>2183.8235294117649</v>
          </cell>
          <cell r="BJ1429">
            <v>2183.8235294117649</v>
          </cell>
          <cell r="BK1429">
            <v>970.58823529411779</v>
          </cell>
          <cell r="BL1429">
            <v>970.58823529411779</v>
          </cell>
          <cell r="BM1429">
            <v>970.58823529411779</v>
          </cell>
          <cell r="BN1429">
            <v>970.58823529411779</v>
          </cell>
          <cell r="BO1429">
            <v>970.58823529411779</v>
          </cell>
          <cell r="BP1429">
            <v>970.58823529411779</v>
          </cell>
          <cell r="BQ1429">
            <v>970.58823529411779</v>
          </cell>
          <cell r="BR1429">
            <v>970.58823529411779</v>
          </cell>
          <cell r="BS1429">
            <v>970.58823529411779</v>
          </cell>
          <cell r="BT1429">
            <v>970.58823529411779</v>
          </cell>
          <cell r="BU1429">
            <v>970.58823529411779</v>
          </cell>
          <cell r="BV1429">
            <v>970.58823529411779</v>
          </cell>
        </row>
        <row r="1430">
          <cell r="A1430" t="str">
            <v>MMA</v>
          </cell>
          <cell r="B1430" t="str">
            <v>ROHR</v>
          </cell>
          <cell r="D1430" t="str">
            <v>Weekly Output PLAN</v>
          </cell>
          <cell r="E1430" t="str">
            <v>SEW</v>
          </cell>
          <cell r="Z1430">
            <v>4781.25</v>
          </cell>
          <cell r="AA1430">
            <v>8437.5</v>
          </cell>
          <cell r="AB1430">
            <v>9430.1470588235297</v>
          </cell>
          <cell r="AC1430">
            <v>9926.4705882352937</v>
          </cell>
          <cell r="AD1430">
            <v>5955.8823529411766</v>
          </cell>
          <cell r="AE1430">
            <v>10422.794117647059</v>
          </cell>
          <cell r="AF1430">
            <v>10422.794117647059</v>
          </cell>
          <cell r="AG1430">
            <v>10422.794117647059</v>
          </cell>
          <cell r="AH1430">
            <v>10422.794117647059</v>
          </cell>
          <cell r="AI1430">
            <v>10919.117647058825</v>
          </cell>
          <cell r="AJ1430">
            <v>11525.735294117649</v>
          </cell>
          <cell r="AK1430">
            <v>9220.5882352941189</v>
          </cell>
          <cell r="AL1430">
            <v>9220.5882352941189</v>
          </cell>
          <cell r="AM1430">
            <v>11525.735294117649</v>
          </cell>
          <cell r="AN1430">
            <v>9220.5882352941189</v>
          </cell>
          <cell r="AO1430">
            <v>11525.735294117649</v>
          </cell>
          <cell r="AP1430">
            <v>11525.735294117649</v>
          </cell>
          <cell r="AQ1430">
            <v>11525.735294117649</v>
          </cell>
          <cell r="AR1430">
            <v>11525.735294117649</v>
          </cell>
          <cell r="AS1430">
            <v>11525.735294117649</v>
          </cell>
          <cell r="AT1430">
            <v>11525.735294117649</v>
          </cell>
          <cell r="AU1430">
            <v>11525.735294117649</v>
          </cell>
          <cell r="AV1430">
            <v>11525.735294117649</v>
          </cell>
          <cell r="AW1430">
            <v>11525.735294117649</v>
          </cell>
          <cell r="AX1430">
            <v>11525.735294117649</v>
          </cell>
          <cell r="AY1430">
            <v>11525.735294117649</v>
          </cell>
          <cell r="AZ1430">
            <v>0</v>
          </cell>
          <cell r="BA1430">
            <v>0</v>
          </cell>
          <cell r="BB1430">
            <v>11525.735294117649</v>
          </cell>
          <cell r="BC1430">
            <v>11525.735294117649</v>
          </cell>
          <cell r="BD1430">
            <v>11525.735294117649</v>
          </cell>
          <cell r="BE1430">
            <v>10919.117647058825</v>
          </cell>
          <cell r="BF1430">
            <v>10919.117647058825</v>
          </cell>
          <cell r="BG1430">
            <v>10919.117647058825</v>
          </cell>
          <cell r="BH1430">
            <v>10919.117647058825</v>
          </cell>
          <cell r="BI1430">
            <v>10919.117647058825</v>
          </cell>
          <cell r="BJ1430">
            <v>10919.117647058825</v>
          </cell>
          <cell r="BK1430">
            <v>4852.9411764705892</v>
          </cell>
          <cell r="BL1430">
            <v>4852.9411764705892</v>
          </cell>
          <cell r="BM1430">
            <v>4852.9411764705892</v>
          </cell>
          <cell r="BN1430">
            <v>4852.9411764705892</v>
          </cell>
          <cell r="BO1430">
            <v>4852.9411764705892</v>
          </cell>
          <cell r="BP1430">
            <v>4852.9411764705892</v>
          </cell>
          <cell r="BQ1430">
            <v>4852.9411764705892</v>
          </cell>
          <cell r="BR1430">
            <v>4852.9411764705892</v>
          </cell>
          <cell r="BS1430">
            <v>4852.9411764705892</v>
          </cell>
          <cell r="BT1430">
            <v>4852.9411764705892</v>
          </cell>
          <cell r="BU1430">
            <v>4852.9411764705892</v>
          </cell>
          <cell r="BV1430">
            <v>4852.9411764705892</v>
          </cell>
        </row>
        <row r="1431">
          <cell r="A1431" t="str">
            <v>MMA</v>
          </cell>
          <cell r="B1431" t="str">
            <v>ROHR</v>
          </cell>
          <cell r="D1431" t="str">
            <v>PVC</v>
          </cell>
          <cell r="E1431">
            <v>7.8380999999999998</v>
          </cell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</row>
        <row r="1432">
          <cell r="A1432" t="str">
            <v>MMA</v>
          </cell>
          <cell r="B1432" t="str">
            <v>ROHR</v>
          </cell>
          <cell r="D1432" t="str">
            <v>LTH</v>
          </cell>
          <cell r="E1432">
            <v>8.1630000000000003</v>
          </cell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</row>
        <row r="1433">
          <cell r="A1433" t="str">
            <v>MMA</v>
          </cell>
          <cell r="B1433" t="str">
            <v>ROHR</v>
          </cell>
          <cell r="D1433" t="str">
            <v>PO</v>
          </cell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</row>
        <row r="1434">
          <cell r="A1434" t="str">
            <v>MMA</v>
          </cell>
          <cell r="B1434" t="str">
            <v>ROHR</v>
          </cell>
          <cell r="D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</row>
        <row r="1435">
          <cell r="A1435" t="str">
            <v>MMA</v>
          </cell>
          <cell r="B1435" t="str">
            <v>ROHR</v>
          </cell>
          <cell r="D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</row>
        <row r="1436">
          <cell r="A1436" t="str">
            <v>MMA</v>
          </cell>
          <cell r="B1436" t="str">
            <v>ROHR</v>
          </cell>
          <cell r="D1436" t="str">
            <v>Weekly Output PLAN - SUM of models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</row>
        <row r="1437">
          <cell r="A1437" t="str">
            <v>MMA</v>
          </cell>
          <cell r="B1437" t="str">
            <v>ROHR</v>
          </cell>
          <cell r="D1437" t="str">
            <v>Weekly Output CHECK with TO time multiple</v>
          </cell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</row>
        <row r="1438">
          <cell r="A1438" t="str">
            <v>MMA</v>
          </cell>
          <cell r="B1438" t="str">
            <v>ROHR</v>
          </cell>
          <cell r="D1438" t="str">
            <v>Weekly Output ACT</v>
          </cell>
          <cell r="Z1438">
            <v>4781.25</v>
          </cell>
          <cell r="AA1438">
            <v>8437.5</v>
          </cell>
          <cell r="AB1438">
            <v>9430.1470588235297</v>
          </cell>
          <cell r="AC1438">
            <v>9926.4705882352937</v>
          </cell>
          <cell r="AD1438">
            <v>5955.8823529411766</v>
          </cell>
          <cell r="AE1438">
            <v>10422.794117647059</v>
          </cell>
          <cell r="AF1438">
            <v>10422.794117647059</v>
          </cell>
          <cell r="AG1438">
            <v>10422.794117647059</v>
          </cell>
          <cell r="AH1438">
            <v>10422.794117647059</v>
          </cell>
          <cell r="AI1438">
            <v>10919.117647058825</v>
          </cell>
          <cell r="AJ1438">
            <v>11525.735294117649</v>
          </cell>
          <cell r="AK1438">
            <v>9220.5882352941189</v>
          </cell>
          <cell r="AL1438">
            <v>9220.5882352941189</v>
          </cell>
          <cell r="AM1438">
            <v>11525.735294117649</v>
          </cell>
          <cell r="AN1438">
            <v>9220.5882352941189</v>
          </cell>
          <cell r="AO1438">
            <v>11525.735294117649</v>
          </cell>
          <cell r="AP1438">
            <v>11525.735294117649</v>
          </cell>
          <cell r="AQ1438">
            <v>11525.735294117649</v>
          </cell>
          <cell r="AR1438">
            <v>11525.735294117649</v>
          </cell>
          <cell r="AS1438">
            <v>11525.735294117649</v>
          </cell>
          <cell r="AT1438">
            <v>11525.735294117649</v>
          </cell>
          <cell r="AU1438">
            <v>11525.735294117649</v>
          </cell>
          <cell r="AV1438">
            <v>11525.735294117649</v>
          </cell>
          <cell r="AW1438">
            <v>11525.735294117649</v>
          </cell>
          <cell r="AX1438">
            <v>11525.735294117649</v>
          </cell>
          <cell r="AY1438">
            <v>11525.735294117649</v>
          </cell>
          <cell r="AZ1438">
            <v>0</v>
          </cell>
          <cell r="BA1438">
            <v>0</v>
          </cell>
          <cell r="BB1438">
            <v>11525.735294117649</v>
          </cell>
          <cell r="BC1438">
            <v>11525.735294117649</v>
          </cell>
          <cell r="BD1438">
            <v>11525.735294117649</v>
          </cell>
          <cell r="BE1438">
            <v>10919.117647058825</v>
          </cell>
          <cell r="BF1438">
            <v>10919.117647058825</v>
          </cell>
          <cell r="BG1438">
            <v>10919.117647058825</v>
          </cell>
          <cell r="BH1438">
            <v>10919.117647058825</v>
          </cell>
          <cell r="BI1438">
            <v>10919.117647058825</v>
          </cell>
          <cell r="BJ1438">
            <v>10919.117647058825</v>
          </cell>
          <cell r="BK1438">
            <v>4852.9411764705892</v>
          </cell>
          <cell r="BL1438">
            <v>4852.9411764705892</v>
          </cell>
          <cell r="BM1438">
            <v>4852.9411764705892</v>
          </cell>
          <cell r="BN1438">
            <v>4852.9411764705892</v>
          </cell>
          <cell r="BO1438">
            <v>4852.9411764705892</v>
          </cell>
          <cell r="BP1438">
            <v>4852.9411764705892</v>
          </cell>
          <cell r="BQ1438">
            <v>4852.9411764705892</v>
          </cell>
          <cell r="BR1438">
            <v>4852.9411764705892</v>
          </cell>
          <cell r="BS1438">
            <v>4852.9411764705892</v>
          </cell>
          <cell r="BT1438">
            <v>4852.9411764705892</v>
          </cell>
          <cell r="BU1438">
            <v>4852.9411764705892</v>
          </cell>
          <cell r="BV1438">
            <v>4852.9411764705892</v>
          </cell>
        </row>
        <row r="1439">
          <cell r="A1439" t="str">
            <v>MMA</v>
          </cell>
          <cell r="B1439" t="str">
            <v>ROHR</v>
          </cell>
          <cell r="D1439" t="str">
            <v>PVC</v>
          </cell>
          <cell r="Z1439">
            <v>5040</v>
          </cell>
          <cell r="AA1439">
            <v>9000</v>
          </cell>
          <cell r="AB1439">
            <v>9000</v>
          </cell>
          <cell r="AC1439">
            <v>9000</v>
          </cell>
          <cell r="AD1439">
            <v>6150</v>
          </cell>
          <cell r="AE1439">
            <v>10375</v>
          </cell>
          <cell r="AF1439">
            <v>10500</v>
          </cell>
          <cell r="AG1439">
            <v>10625</v>
          </cell>
          <cell r="AH1439">
            <v>10750</v>
          </cell>
          <cell r="AI1439">
            <v>10875</v>
          </cell>
          <cell r="AJ1439">
            <v>11000</v>
          </cell>
          <cell r="AK1439">
            <v>8900</v>
          </cell>
          <cell r="AL1439">
            <v>9000</v>
          </cell>
          <cell r="AM1439">
            <v>11375</v>
          </cell>
          <cell r="AN1439">
            <v>9200</v>
          </cell>
          <cell r="AO1439">
            <v>11625</v>
          </cell>
          <cell r="AP1439">
            <v>11750</v>
          </cell>
          <cell r="AQ1439">
            <v>11875.000000000002</v>
          </cell>
          <cell r="AR1439">
            <v>12000.000000000002</v>
          </cell>
          <cell r="AS1439">
            <v>12125.000000000002</v>
          </cell>
          <cell r="AT1439">
            <v>11250</v>
          </cell>
          <cell r="AU1439">
            <v>11250</v>
          </cell>
          <cell r="AV1439">
            <v>11250</v>
          </cell>
          <cell r="AW1439">
            <v>11250</v>
          </cell>
          <cell r="AX1439">
            <v>11250</v>
          </cell>
          <cell r="AY1439">
            <v>11250</v>
          </cell>
          <cell r="AZ1439">
            <v>0</v>
          </cell>
          <cell r="BA1439">
            <v>0</v>
          </cell>
          <cell r="BB1439">
            <v>11250</v>
          </cell>
          <cell r="BC1439">
            <v>11250</v>
          </cell>
          <cell r="BD1439">
            <v>11250</v>
          </cell>
          <cell r="BE1439">
            <v>11250</v>
          </cell>
          <cell r="BF1439">
            <v>11250</v>
          </cell>
          <cell r="BG1439">
            <v>11250</v>
          </cell>
          <cell r="BH1439">
            <v>11250</v>
          </cell>
          <cell r="BI1439">
            <v>11250</v>
          </cell>
          <cell r="BJ1439">
            <v>11250</v>
          </cell>
          <cell r="BK1439">
            <v>12833.33333333333</v>
          </cell>
          <cell r="BL1439">
            <v>35933.333333333328</v>
          </cell>
          <cell r="BM1439">
            <v>1800</v>
          </cell>
          <cell r="BN1439">
            <v>1800</v>
          </cell>
          <cell r="BO1439">
            <v>1800</v>
          </cell>
          <cell r="BP1439">
            <v>1800</v>
          </cell>
          <cell r="BQ1439">
            <v>1800</v>
          </cell>
          <cell r="BR1439">
            <v>1800</v>
          </cell>
          <cell r="BS1439">
            <v>1800</v>
          </cell>
          <cell r="BT1439">
            <v>1800</v>
          </cell>
          <cell r="BU1439">
            <v>0</v>
          </cell>
          <cell r="BV1439">
            <v>0</v>
          </cell>
        </row>
        <row r="1440">
          <cell r="A1440" t="str">
            <v>MMA</v>
          </cell>
          <cell r="B1440" t="str">
            <v>ROHR</v>
          </cell>
          <cell r="D1440" t="str">
            <v>LTH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</row>
        <row r="1441">
          <cell r="A1441" t="str">
            <v>MMA</v>
          </cell>
          <cell r="B1441" t="str">
            <v>ROHR</v>
          </cell>
          <cell r="D1441" t="str">
            <v>PO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</row>
        <row r="1442">
          <cell r="A1442" t="str">
            <v>MMA</v>
          </cell>
          <cell r="B1442" t="str">
            <v>ROHR</v>
          </cell>
          <cell r="D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</row>
        <row r="1443">
          <cell r="A1443" t="str">
            <v>MMA</v>
          </cell>
          <cell r="B1443" t="str">
            <v>ROHR</v>
          </cell>
          <cell r="D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</row>
        <row r="1444">
          <cell r="A1444" t="str">
            <v>MMA</v>
          </cell>
          <cell r="B1444" t="str">
            <v>ROHR</v>
          </cell>
          <cell r="D1444" t="str">
            <v>Weekly demand</v>
          </cell>
          <cell r="Z1444">
            <v>5040</v>
          </cell>
          <cell r="AA1444">
            <v>9000</v>
          </cell>
          <cell r="AB1444">
            <v>9000</v>
          </cell>
          <cell r="AC1444">
            <v>9000</v>
          </cell>
          <cell r="AD1444">
            <v>6150</v>
          </cell>
          <cell r="AE1444">
            <v>10375</v>
          </cell>
          <cell r="AF1444">
            <v>10500</v>
          </cell>
          <cell r="AG1444">
            <v>10625</v>
          </cell>
          <cell r="AH1444">
            <v>10750</v>
          </cell>
          <cell r="AI1444">
            <v>10875</v>
          </cell>
          <cell r="AJ1444">
            <v>11000</v>
          </cell>
          <cell r="AK1444">
            <v>8900</v>
          </cell>
          <cell r="AL1444">
            <v>9000</v>
          </cell>
          <cell r="AM1444">
            <v>11375</v>
          </cell>
          <cell r="AN1444">
            <v>9200</v>
          </cell>
          <cell r="AO1444">
            <v>11625</v>
          </cell>
          <cell r="AP1444">
            <v>11750</v>
          </cell>
          <cell r="AQ1444">
            <v>11875.000000000002</v>
          </cell>
          <cell r="AR1444">
            <v>12000.000000000002</v>
          </cell>
          <cell r="AS1444">
            <v>12125.000000000002</v>
          </cell>
          <cell r="AT1444">
            <v>11250</v>
          </cell>
          <cell r="AU1444">
            <v>11250</v>
          </cell>
          <cell r="AV1444">
            <v>11250</v>
          </cell>
          <cell r="AW1444">
            <v>11250</v>
          </cell>
          <cell r="AX1444">
            <v>11250</v>
          </cell>
          <cell r="AY1444">
            <v>11250</v>
          </cell>
          <cell r="AZ1444">
            <v>0</v>
          </cell>
          <cell r="BA1444">
            <v>0</v>
          </cell>
          <cell r="BB1444">
            <v>11250</v>
          </cell>
          <cell r="BC1444">
            <v>11250</v>
          </cell>
          <cell r="BD1444">
            <v>11250</v>
          </cell>
          <cell r="BE1444">
            <v>11250</v>
          </cell>
          <cell r="BF1444">
            <v>11250</v>
          </cell>
          <cell r="BG1444">
            <v>11250</v>
          </cell>
          <cell r="BH1444">
            <v>11250</v>
          </cell>
          <cell r="BI1444">
            <v>11250</v>
          </cell>
          <cell r="BJ1444">
            <v>11250</v>
          </cell>
          <cell r="BK1444">
            <v>12833.33333333333</v>
          </cell>
          <cell r="BL1444">
            <v>35933.333333333328</v>
          </cell>
          <cell r="BM1444">
            <v>1800</v>
          </cell>
          <cell r="BN1444">
            <v>1800</v>
          </cell>
          <cell r="BO1444">
            <v>1800</v>
          </cell>
          <cell r="BP1444">
            <v>1800</v>
          </cell>
          <cell r="BQ1444">
            <v>1800</v>
          </cell>
          <cell r="BR1444">
            <v>1800</v>
          </cell>
          <cell r="BS1444">
            <v>1800</v>
          </cell>
          <cell r="BT1444">
            <v>1800</v>
          </cell>
          <cell r="BU1444">
            <v>0</v>
          </cell>
          <cell r="BV1444">
            <v>0</v>
          </cell>
        </row>
        <row r="1445">
          <cell r="A1445" t="str">
            <v>MMA</v>
          </cell>
          <cell r="B1445" t="str">
            <v>ROHR</v>
          </cell>
          <cell r="D1445" t="str">
            <v>Stock Target</v>
          </cell>
          <cell r="Z1445">
            <v>2500</v>
          </cell>
          <cell r="AA1445">
            <v>2500</v>
          </cell>
          <cell r="AB1445">
            <v>2500</v>
          </cell>
          <cell r="AC1445">
            <v>2500</v>
          </cell>
          <cell r="AD1445">
            <v>2500</v>
          </cell>
          <cell r="AE1445">
            <v>2500</v>
          </cell>
          <cell r="AF1445">
            <v>2500</v>
          </cell>
          <cell r="AG1445">
            <v>2500</v>
          </cell>
          <cell r="AH1445">
            <v>2500</v>
          </cell>
          <cell r="AI1445">
            <v>2527</v>
          </cell>
          <cell r="AJ1445">
            <v>2528</v>
          </cell>
          <cell r="AK1445">
            <v>2529</v>
          </cell>
          <cell r="AL1445">
            <v>2530</v>
          </cell>
          <cell r="AM1445">
            <v>2531</v>
          </cell>
          <cell r="AN1445">
            <v>2532</v>
          </cell>
          <cell r="AO1445">
            <v>2533</v>
          </cell>
          <cell r="AP1445">
            <v>2534</v>
          </cell>
          <cell r="AQ1445">
            <v>2535</v>
          </cell>
          <cell r="AR1445">
            <v>2536</v>
          </cell>
          <cell r="AS1445">
            <v>2537</v>
          </cell>
          <cell r="AT1445">
            <v>2538</v>
          </cell>
          <cell r="AU1445">
            <v>2539</v>
          </cell>
          <cell r="AV1445">
            <v>2540</v>
          </cell>
          <cell r="AW1445">
            <v>2541</v>
          </cell>
          <cell r="AX1445">
            <v>2542</v>
          </cell>
          <cell r="AY1445">
            <v>2543</v>
          </cell>
          <cell r="AZ1445">
            <v>2544</v>
          </cell>
          <cell r="BA1445">
            <v>2545</v>
          </cell>
          <cell r="BB1445">
            <v>2546</v>
          </cell>
          <cell r="BC1445">
            <v>2547</v>
          </cell>
          <cell r="BD1445">
            <v>2548</v>
          </cell>
          <cell r="BE1445">
            <v>2549</v>
          </cell>
          <cell r="BF1445">
            <v>2550</v>
          </cell>
          <cell r="BG1445">
            <v>2551</v>
          </cell>
          <cell r="BH1445">
            <v>2552</v>
          </cell>
          <cell r="BI1445">
            <v>2553</v>
          </cell>
          <cell r="BJ1445">
            <v>2554</v>
          </cell>
          <cell r="BK1445">
            <v>2555</v>
          </cell>
          <cell r="BL1445">
            <v>2556</v>
          </cell>
          <cell r="BM1445">
            <v>2557</v>
          </cell>
          <cell r="BN1445">
            <v>2558</v>
          </cell>
          <cell r="BO1445">
            <v>2559</v>
          </cell>
          <cell r="BP1445">
            <v>2560</v>
          </cell>
          <cell r="BQ1445">
            <v>2561</v>
          </cell>
          <cell r="BR1445">
            <v>2562</v>
          </cell>
          <cell r="BS1445">
            <v>2563</v>
          </cell>
          <cell r="BT1445">
            <v>2564</v>
          </cell>
          <cell r="BU1445">
            <v>2565</v>
          </cell>
          <cell r="BV1445">
            <v>2566</v>
          </cell>
        </row>
        <row r="1446">
          <cell r="A1446" t="str">
            <v>MMA</v>
          </cell>
          <cell r="B1446" t="str">
            <v>ROHR</v>
          </cell>
          <cell r="D1446" t="str">
            <v>PVC</v>
          </cell>
          <cell r="Z1446">
            <v>920</v>
          </cell>
          <cell r="AA1446">
            <v>-8080</v>
          </cell>
          <cell r="AB1446">
            <v>-17080</v>
          </cell>
          <cell r="AC1446">
            <v>-26080</v>
          </cell>
          <cell r="AD1446">
            <v>-32230</v>
          </cell>
          <cell r="AE1446">
            <v>-42605</v>
          </cell>
          <cell r="AF1446">
            <v>-53105</v>
          </cell>
          <cell r="AG1446">
            <v>-63730</v>
          </cell>
          <cell r="AH1446">
            <v>-74480</v>
          </cell>
          <cell r="AI1446">
            <v>-85355</v>
          </cell>
          <cell r="AJ1446">
            <v>-96355</v>
          </cell>
          <cell r="AK1446">
            <v>-105255</v>
          </cell>
          <cell r="AL1446">
            <v>-114255</v>
          </cell>
          <cell r="AM1446">
            <v>-125630</v>
          </cell>
          <cell r="AN1446">
            <v>-134830</v>
          </cell>
          <cell r="AO1446">
            <v>-146455</v>
          </cell>
          <cell r="AP1446">
            <v>-158205</v>
          </cell>
          <cell r="AQ1446">
            <v>-170080</v>
          </cell>
          <cell r="AR1446">
            <v>-182080</v>
          </cell>
          <cell r="AS1446">
            <v>-194205</v>
          </cell>
          <cell r="AT1446">
            <v>-205455</v>
          </cell>
          <cell r="AU1446">
            <v>-216705</v>
          </cell>
          <cell r="AV1446">
            <v>-227955</v>
          </cell>
          <cell r="AW1446">
            <v>-239205</v>
          </cell>
          <cell r="AX1446">
            <v>-250455</v>
          </cell>
          <cell r="AY1446">
            <v>-261705</v>
          </cell>
          <cell r="AZ1446">
            <v>-261705</v>
          </cell>
          <cell r="BA1446">
            <v>-261705</v>
          </cell>
          <cell r="BB1446">
            <v>-272955</v>
          </cell>
          <cell r="BC1446">
            <v>-284205</v>
          </cell>
          <cell r="BD1446">
            <v>-295455</v>
          </cell>
          <cell r="BE1446">
            <v>-306705</v>
          </cell>
          <cell r="BF1446">
            <v>-317955</v>
          </cell>
          <cell r="BG1446">
            <v>-329205</v>
          </cell>
          <cell r="BH1446">
            <v>-340455</v>
          </cell>
          <cell r="BI1446">
            <v>-351705</v>
          </cell>
          <cell r="BJ1446">
            <v>-362955</v>
          </cell>
          <cell r="BK1446">
            <v>-375788.33333333331</v>
          </cell>
          <cell r="BL1446">
            <v>-411721.66666666663</v>
          </cell>
          <cell r="BM1446">
            <v>-413521.66666666663</v>
          </cell>
          <cell r="BN1446">
            <v>-415321.66666666663</v>
          </cell>
          <cell r="BO1446">
            <v>-417121.66666666663</v>
          </cell>
          <cell r="BP1446">
            <v>-418921.66666666663</v>
          </cell>
          <cell r="BQ1446">
            <v>-420721.66666666663</v>
          </cell>
          <cell r="BR1446">
            <v>-422521.66666666663</v>
          </cell>
          <cell r="BS1446">
            <v>-424321.66666666663</v>
          </cell>
          <cell r="BT1446">
            <v>-426121.66666666663</v>
          </cell>
          <cell r="BU1446">
            <v>-426121.66666666663</v>
          </cell>
          <cell r="BV1446">
            <v>-426121.66666666663</v>
          </cell>
        </row>
        <row r="1447">
          <cell r="A1447" t="str">
            <v>MMA</v>
          </cell>
          <cell r="B1447" t="str">
            <v>ROHR</v>
          </cell>
          <cell r="D1447" t="str">
            <v>LTH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</row>
        <row r="1448">
          <cell r="A1448" t="str">
            <v>MMA</v>
          </cell>
          <cell r="B1448" t="str">
            <v>ROHR</v>
          </cell>
          <cell r="D1448" t="str">
            <v>PO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</row>
        <row r="1449">
          <cell r="A1449" t="str">
            <v>MMA</v>
          </cell>
          <cell r="B1449" t="str">
            <v>ROHR</v>
          </cell>
          <cell r="D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</row>
        <row r="1450">
          <cell r="A1450" t="str">
            <v>MMA</v>
          </cell>
          <cell r="B1450" t="str">
            <v>ROHR</v>
          </cell>
          <cell r="D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</row>
        <row r="1451">
          <cell r="A1451" t="str">
            <v>MMA</v>
          </cell>
          <cell r="B1451" t="str">
            <v>ROHR</v>
          </cell>
          <cell r="D1451" t="str">
            <v>STOCK</v>
          </cell>
          <cell r="Z1451">
            <v>920</v>
          </cell>
          <cell r="AA1451">
            <v>357.5</v>
          </cell>
          <cell r="AB1451">
            <v>787.64705882352973</v>
          </cell>
          <cell r="AC1451">
            <v>1714.1176470588234</v>
          </cell>
          <cell r="AD1451">
            <v>1520</v>
          </cell>
          <cell r="AE1451">
            <v>1567.7941176470595</v>
          </cell>
          <cell r="AF1451">
            <v>1490.5882352941189</v>
          </cell>
          <cell r="AG1451">
            <v>1288.3823529411784</v>
          </cell>
          <cell r="AH1451">
            <v>961.17647058823786</v>
          </cell>
          <cell r="AI1451">
            <v>1005.2941176470631</v>
          </cell>
          <cell r="AJ1451">
            <v>1531.0294117647118</v>
          </cell>
          <cell r="AK1451">
            <v>1851.6176470588307</v>
          </cell>
          <cell r="AL1451">
            <v>2072.2058823529496</v>
          </cell>
          <cell r="AM1451">
            <v>2222.9411764705983</v>
          </cell>
          <cell r="AN1451">
            <v>2243.5294117647172</v>
          </cell>
          <cell r="AO1451">
            <v>2144.2647058823659</v>
          </cell>
          <cell r="AP1451">
            <v>1920.0000000000146</v>
          </cell>
          <cell r="AQ1451">
            <v>1570.7352941176614</v>
          </cell>
          <cell r="AR1451">
            <v>1096.4705882353082</v>
          </cell>
          <cell r="AS1451">
            <v>497.20588235295509</v>
          </cell>
          <cell r="AT1451">
            <v>772.94117647060375</v>
          </cell>
          <cell r="AU1451">
            <v>1048.6764705882524</v>
          </cell>
          <cell r="AV1451">
            <v>1324.4117647059011</v>
          </cell>
          <cell r="AW1451">
            <v>1600.1470588235497</v>
          </cell>
          <cell r="AX1451">
            <v>1875.8823529411984</v>
          </cell>
          <cell r="AY1451">
            <v>2151.6176470588471</v>
          </cell>
          <cell r="AZ1451">
            <v>2151.6176470588471</v>
          </cell>
          <cell r="BA1451">
            <v>2151.6176470588471</v>
          </cell>
          <cell r="BB1451">
            <v>2427.3529411764957</v>
          </cell>
          <cell r="BC1451">
            <v>2703.0882352941444</v>
          </cell>
          <cell r="BD1451">
            <v>2978.8235294117931</v>
          </cell>
          <cell r="BE1451">
            <v>2647.9411764706183</v>
          </cell>
          <cell r="BF1451">
            <v>2317.0588235294435</v>
          </cell>
          <cell r="BG1451">
            <v>1986.1764705882688</v>
          </cell>
          <cell r="BH1451">
            <v>1655.294117647094</v>
          </cell>
          <cell r="BI1451">
            <v>1324.4117647059193</v>
          </cell>
          <cell r="BJ1451">
            <v>993.52941176474451</v>
          </cell>
          <cell r="BK1451">
            <v>-6986.8627450979966</v>
          </cell>
          <cell r="BL1451">
            <v>-38067.25490196074</v>
          </cell>
          <cell r="BM1451">
            <v>-35014.313725490152</v>
          </cell>
          <cell r="BN1451">
            <v>-31961.372549019565</v>
          </cell>
          <cell r="BO1451">
            <v>-28908.431372548977</v>
          </cell>
          <cell r="BP1451">
            <v>-25855.49019607839</v>
          </cell>
          <cell r="BQ1451">
            <v>-22802.549019607803</v>
          </cell>
          <cell r="BR1451">
            <v>-19749.607843137215</v>
          </cell>
          <cell r="BS1451">
            <v>-16696.666666666628</v>
          </cell>
          <cell r="BT1451">
            <v>-13643.725490196039</v>
          </cell>
          <cell r="BU1451">
            <v>-8790.7843137254495</v>
          </cell>
          <cell r="BV1451">
            <v>-3937.8431372548603</v>
          </cell>
        </row>
        <row r="1452">
          <cell r="A1452" t="str">
            <v>Blank</v>
          </cell>
          <cell r="B1452" t="str">
            <v>Blank</v>
          </cell>
          <cell r="D1452" t="str">
            <v>Blank</v>
          </cell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</row>
        <row r="1453">
          <cell r="A1453" t="str">
            <v>MMA</v>
          </cell>
          <cell r="B1453" t="str">
            <v>RCHR</v>
          </cell>
          <cell r="D1453" t="str">
            <v>Work days</v>
          </cell>
          <cell r="Z1453">
            <v>5</v>
          </cell>
          <cell r="AA1453">
            <v>5</v>
          </cell>
          <cell r="AB1453">
            <v>5</v>
          </cell>
          <cell r="AC1453">
            <v>5</v>
          </cell>
          <cell r="AD1453">
            <v>3</v>
          </cell>
          <cell r="AE1453">
            <v>5</v>
          </cell>
          <cell r="AF1453">
            <v>5</v>
          </cell>
          <cell r="AG1453">
            <v>5</v>
          </cell>
          <cell r="AH1453">
            <v>5</v>
          </cell>
          <cell r="AI1453">
            <v>5</v>
          </cell>
          <cell r="AJ1453">
            <v>5</v>
          </cell>
          <cell r="AK1453">
            <v>4</v>
          </cell>
          <cell r="AL1453">
            <v>4</v>
          </cell>
          <cell r="AM1453">
            <v>5</v>
          </cell>
          <cell r="AN1453">
            <v>4</v>
          </cell>
          <cell r="AO1453">
            <v>5</v>
          </cell>
          <cell r="AP1453">
            <v>5</v>
          </cell>
          <cell r="AQ1453">
            <v>5</v>
          </cell>
          <cell r="AR1453">
            <v>5</v>
          </cell>
          <cell r="AS1453">
            <v>5</v>
          </cell>
          <cell r="AT1453">
            <v>5</v>
          </cell>
          <cell r="AU1453">
            <v>5</v>
          </cell>
          <cell r="AV1453">
            <v>5</v>
          </cell>
          <cell r="AW1453">
            <v>5</v>
          </cell>
          <cell r="AX1453">
            <v>5</v>
          </cell>
          <cell r="AY1453">
            <v>5</v>
          </cell>
          <cell r="AZ1453">
            <v>0</v>
          </cell>
          <cell r="BA1453">
            <v>0</v>
          </cell>
          <cell r="BB1453">
            <v>5</v>
          </cell>
          <cell r="BC1453">
            <v>5</v>
          </cell>
          <cell r="BD1453">
            <v>5</v>
          </cell>
          <cell r="BE1453">
            <v>5</v>
          </cell>
          <cell r="BF1453">
            <v>5</v>
          </cell>
          <cell r="BG1453">
            <v>5</v>
          </cell>
          <cell r="BH1453">
            <v>5</v>
          </cell>
          <cell r="BI1453">
            <v>5</v>
          </cell>
          <cell r="BJ1453">
            <v>5</v>
          </cell>
          <cell r="BK1453">
            <v>5</v>
          </cell>
          <cell r="BL1453">
            <v>5</v>
          </cell>
          <cell r="BM1453">
            <v>5</v>
          </cell>
          <cell r="BN1453">
            <v>5</v>
          </cell>
          <cell r="BO1453">
            <v>5</v>
          </cell>
          <cell r="BP1453">
            <v>5</v>
          </cell>
          <cell r="BQ1453">
            <v>6</v>
          </cell>
          <cell r="BR1453">
            <v>6</v>
          </cell>
          <cell r="BS1453">
            <v>6</v>
          </cell>
          <cell r="BT1453">
            <v>6</v>
          </cell>
          <cell r="BU1453">
            <v>6</v>
          </cell>
          <cell r="BV1453">
            <v>6</v>
          </cell>
        </row>
        <row r="1454">
          <cell r="A1454" t="str">
            <v>MMA</v>
          </cell>
          <cell r="B1454" t="str">
            <v>RCHR</v>
          </cell>
          <cell r="D1454" t="str">
            <v>SHIFT A HC - operators</v>
          </cell>
          <cell r="E1454" t="str">
            <v>ELI INCL FROM 01/01/26 (2OP+1ELI per shift)</v>
          </cell>
          <cell r="Z1454">
            <v>3</v>
          </cell>
          <cell r="AA1454">
            <v>3</v>
          </cell>
          <cell r="AB1454">
            <v>3</v>
          </cell>
          <cell r="AC1454">
            <v>3</v>
          </cell>
          <cell r="AD1454">
            <v>3</v>
          </cell>
          <cell r="AE1454">
            <v>3</v>
          </cell>
          <cell r="AF1454">
            <v>3</v>
          </cell>
          <cell r="AG1454">
            <v>3</v>
          </cell>
          <cell r="AH1454">
            <v>3</v>
          </cell>
          <cell r="AI1454">
            <v>3</v>
          </cell>
          <cell r="AJ1454">
            <v>3</v>
          </cell>
          <cell r="AK1454">
            <v>3</v>
          </cell>
          <cell r="AL1454">
            <v>3</v>
          </cell>
          <cell r="AM1454">
            <v>3</v>
          </cell>
          <cell r="AN1454">
            <v>3</v>
          </cell>
          <cell r="AO1454">
            <v>3</v>
          </cell>
          <cell r="AP1454">
            <v>3</v>
          </cell>
          <cell r="AQ1454">
            <v>3</v>
          </cell>
          <cell r="AR1454">
            <v>3</v>
          </cell>
          <cell r="AS1454">
            <v>3</v>
          </cell>
          <cell r="AT1454">
            <v>3</v>
          </cell>
          <cell r="AU1454">
            <v>3</v>
          </cell>
          <cell r="AV1454">
            <v>3</v>
          </cell>
          <cell r="AW1454">
            <v>3</v>
          </cell>
          <cell r="AX1454">
            <v>3</v>
          </cell>
          <cell r="AY1454">
            <v>3</v>
          </cell>
          <cell r="AZ1454">
            <v>3</v>
          </cell>
          <cell r="BA1454">
            <v>3</v>
          </cell>
          <cell r="BB1454">
            <v>3</v>
          </cell>
          <cell r="BC1454">
            <v>3</v>
          </cell>
          <cell r="BD1454">
            <v>3</v>
          </cell>
          <cell r="BE1454">
            <v>3</v>
          </cell>
          <cell r="BF1454">
            <v>3</v>
          </cell>
          <cell r="BG1454">
            <v>3</v>
          </cell>
          <cell r="BH1454">
            <v>3</v>
          </cell>
          <cell r="BI1454">
            <v>3</v>
          </cell>
          <cell r="BJ1454">
            <v>3</v>
          </cell>
          <cell r="BK1454">
            <v>6</v>
          </cell>
          <cell r="BL1454">
            <v>6</v>
          </cell>
          <cell r="BM1454">
            <v>6</v>
          </cell>
          <cell r="BN1454">
            <v>6</v>
          </cell>
          <cell r="BO1454">
            <v>6</v>
          </cell>
          <cell r="BP1454">
            <v>6</v>
          </cell>
          <cell r="BQ1454">
            <v>6</v>
          </cell>
          <cell r="BR1454">
            <v>6</v>
          </cell>
          <cell r="BS1454">
            <v>6</v>
          </cell>
          <cell r="BT1454">
            <v>6</v>
          </cell>
          <cell r="BU1454">
            <v>6</v>
          </cell>
          <cell r="BV1454">
            <v>6</v>
          </cell>
        </row>
        <row r="1455">
          <cell r="A1455" t="str">
            <v>MMA</v>
          </cell>
          <cell r="B1455" t="str">
            <v>RCHR</v>
          </cell>
          <cell r="D1455" t="str">
            <v>SHIFT B HC  - operators</v>
          </cell>
          <cell r="E1455" t="str">
            <v>ELI INCL FROM 01/01/26 (2OP+1ELI per shift)</v>
          </cell>
          <cell r="Z1455">
            <v>3</v>
          </cell>
          <cell r="AA1455">
            <v>3</v>
          </cell>
          <cell r="AB1455">
            <v>3</v>
          </cell>
          <cell r="AC1455">
            <v>3</v>
          </cell>
          <cell r="AD1455">
            <v>3</v>
          </cell>
          <cell r="AE1455">
            <v>3</v>
          </cell>
          <cell r="AF1455">
            <v>3</v>
          </cell>
          <cell r="AG1455">
            <v>3</v>
          </cell>
          <cell r="AH1455">
            <v>3</v>
          </cell>
          <cell r="AI1455">
            <v>3</v>
          </cell>
          <cell r="AJ1455">
            <v>3</v>
          </cell>
          <cell r="AK1455">
            <v>3</v>
          </cell>
          <cell r="AL1455">
            <v>3</v>
          </cell>
          <cell r="AM1455">
            <v>3</v>
          </cell>
          <cell r="AN1455">
            <v>3</v>
          </cell>
          <cell r="AO1455">
            <v>3</v>
          </cell>
          <cell r="AP1455">
            <v>3</v>
          </cell>
          <cell r="AQ1455">
            <v>3</v>
          </cell>
          <cell r="AR1455">
            <v>3</v>
          </cell>
          <cell r="AS1455">
            <v>3</v>
          </cell>
          <cell r="AT1455">
            <v>3</v>
          </cell>
          <cell r="AU1455">
            <v>3</v>
          </cell>
          <cell r="AV1455">
            <v>3</v>
          </cell>
          <cell r="AW1455">
            <v>3</v>
          </cell>
          <cell r="AX1455">
            <v>3</v>
          </cell>
          <cell r="AY1455">
            <v>3</v>
          </cell>
          <cell r="AZ1455">
            <v>3</v>
          </cell>
          <cell r="BA1455">
            <v>3</v>
          </cell>
          <cell r="BB1455">
            <v>3</v>
          </cell>
          <cell r="BC1455">
            <v>3</v>
          </cell>
          <cell r="BD1455">
            <v>3</v>
          </cell>
          <cell r="BE1455">
            <v>3</v>
          </cell>
          <cell r="BF1455">
            <v>3</v>
          </cell>
          <cell r="BG1455">
            <v>3</v>
          </cell>
          <cell r="BH1455">
            <v>3</v>
          </cell>
          <cell r="BI1455">
            <v>3</v>
          </cell>
          <cell r="BJ1455">
            <v>3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</row>
        <row r="1456">
          <cell r="A1456" t="str">
            <v>MMA</v>
          </cell>
          <cell r="B1456" t="str">
            <v>RCHR</v>
          </cell>
          <cell r="D1456" t="str">
            <v>SHIFT C HC  - operators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</row>
        <row r="1457">
          <cell r="A1457" t="str">
            <v>MMA</v>
          </cell>
          <cell r="B1457" t="str">
            <v>RCHR</v>
          </cell>
          <cell r="D1457" t="str">
            <v>Total HC</v>
          </cell>
          <cell r="Z1457">
            <v>6</v>
          </cell>
          <cell r="AA1457">
            <v>6</v>
          </cell>
          <cell r="AB1457">
            <v>6</v>
          </cell>
          <cell r="AC1457">
            <v>6</v>
          </cell>
          <cell r="AD1457">
            <v>6</v>
          </cell>
          <cell r="AE1457">
            <v>6</v>
          </cell>
          <cell r="AF1457">
            <v>6</v>
          </cell>
          <cell r="AG1457">
            <v>6</v>
          </cell>
          <cell r="AH1457">
            <v>6</v>
          </cell>
          <cell r="AI1457">
            <v>6</v>
          </cell>
          <cell r="AJ1457">
            <v>6</v>
          </cell>
          <cell r="AK1457">
            <v>6</v>
          </cell>
          <cell r="AL1457">
            <v>6</v>
          </cell>
          <cell r="AM1457">
            <v>6</v>
          </cell>
          <cell r="AN1457">
            <v>6</v>
          </cell>
          <cell r="AO1457">
            <v>6</v>
          </cell>
          <cell r="AP1457">
            <v>6</v>
          </cell>
          <cell r="AQ1457">
            <v>6</v>
          </cell>
          <cell r="AR1457">
            <v>6</v>
          </cell>
          <cell r="AS1457">
            <v>6</v>
          </cell>
          <cell r="AT1457">
            <v>6</v>
          </cell>
          <cell r="AU1457">
            <v>6</v>
          </cell>
          <cell r="AV1457">
            <v>6</v>
          </cell>
          <cell r="AW1457">
            <v>6</v>
          </cell>
          <cell r="AX1457">
            <v>6</v>
          </cell>
          <cell r="AY1457">
            <v>6</v>
          </cell>
          <cell r="AZ1457">
            <v>6</v>
          </cell>
          <cell r="BA1457">
            <v>6</v>
          </cell>
          <cell r="BB1457">
            <v>6</v>
          </cell>
          <cell r="BC1457">
            <v>6</v>
          </cell>
          <cell r="BD1457">
            <v>6</v>
          </cell>
          <cell r="BE1457">
            <v>6</v>
          </cell>
          <cell r="BF1457">
            <v>6</v>
          </cell>
          <cell r="BG1457">
            <v>6</v>
          </cell>
          <cell r="BH1457">
            <v>6</v>
          </cell>
          <cell r="BI1457">
            <v>6</v>
          </cell>
          <cell r="BJ1457">
            <v>6</v>
          </cell>
          <cell r="BK1457">
            <v>6</v>
          </cell>
          <cell r="BL1457">
            <v>6</v>
          </cell>
          <cell r="BM1457">
            <v>6</v>
          </cell>
          <cell r="BN1457">
            <v>6</v>
          </cell>
          <cell r="BO1457">
            <v>6</v>
          </cell>
          <cell r="BP1457">
            <v>6</v>
          </cell>
          <cell r="BQ1457">
            <v>6</v>
          </cell>
          <cell r="BR1457">
            <v>6</v>
          </cell>
          <cell r="BS1457">
            <v>6</v>
          </cell>
          <cell r="BT1457">
            <v>6</v>
          </cell>
          <cell r="BU1457">
            <v>6</v>
          </cell>
          <cell r="BV1457">
            <v>6</v>
          </cell>
        </row>
        <row r="1458">
          <cell r="A1458" t="str">
            <v>MMA</v>
          </cell>
          <cell r="B1458" t="str">
            <v>RCHR</v>
          </cell>
          <cell r="D1458" t="str">
            <v>SHIFT A HC  - efficiency</v>
          </cell>
          <cell r="Z1458">
            <v>1</v>
          </cell>
          <cell r="AA1458">
            <v>1</v>
          </cell>
          <cell r="AB1458">
            <v>1</v>
          </cell>
          <cell r="AC1458">
            <v>1</v>
          </cell>
          <cell r="AD1458">
            <v>1</v>
          </cell>
          <cell r="AE1458">
            <v>1</v>
          </cell>
          <cell r="AF1458">
            <v>1</v>
          </cell>
          <cell r="AG1458">
            <v>1</v>
          </cell>
          <cell r="AH1458">
            <v>1</v>
          </cell>
          <cell r="AI1458">
            <v>1</v>
          </cell>
          <cell r="AJ1458">
            <v>1</v>
          </cell>
          <cell r="AK1458">
            <v>1</v>
          </cell>
          <cell r="AL1458">
            <v>1</v>
          </cell>
          <cell r="AM1458">
            <v>1</v>
          </cell>
          <cell r="AN1458">
            <v>1</v>
          </cell>
          <cell r="AO1458">
            <v>1</v>
          </cell>
          <cell r="AP1458">
            <v>1</v>
          </cell>
          <cell r="AQ1458">
            <v>1</v>
          </cell>
          <cell r="AR1458">
            <v>1</v>
          </cell>
          <cell r="AS1458">
            <v>1</v>
          </cell>
          <cell r="AT1458">
            <v>1</v>
          </cell>
          <cell r="AU1458">
            <v>1</v>
          </cell>
          <cell r="AV1458">
            <v>1</v>
          </cell>
          <cell r="AW1458">
            <v>1</v>
          </cell>
          <cell r="AX1458">
            <v>1</v>
          </cell>
          <cell r="AY1458">
            <v>1</v>
          </cell>
          <cell r="AZ1458">
            <v>1</v>
          </cell>
          <cell r="BA1458">
            <v>1</v>
          </cell>
          <cell r="BB1458">
            <v>1</v>
          </cell>
          <cell r="BC1458">
            <v>1</v>
          </cell>
          <cell r="BD1458">
            <v>1</v>
          </cell>
          <cell r="BE1458">
            <v>1</v>
          </cell>
          <cell r="BF1458">
            <v>1</v>
          </cell>
          <cell r="BG1458">
            <v>1</v>
          </cell>
          <cell r="BH1458">
            <v>1</v>
          </cell>
          <cell r="BI1458">
            <v>1</v>
          </cell>
          <cell r="BJ1458">
            <v>1</v>
          </cell>
          <cell r="BK1458">
            <v>1.2</v>
          </cell>
          <cell r="BL1458">
            <v>1.2</v>
          </cell>
          <cell r="BM1458">
            <v>1.2</v>
          </cell>
          <cell r="BN1458">
            <v>1.2</v>
          </cell>
          <cell r="BO1458">
            <v>1.2</v>
          </cell>
          <cell r="BP1458">
            <v>1.2</v>
          </cell>
          <cell r="BQ1458">
            <v>1.2</v>
          </cell>
          <cell r="BR1458">
            <v>1.2</v>
          </cell>
          <cell r="BS1458">
            <v>1.2</v>
          </cell>
          <cell r="BT1458">
            <v>1.2</v>
          </cell>
          <cell r="BU1458">
            <v>1.2</v>
          </cell>
          <cell r="BV1458">
            <v>1.2</v>
          </cell>
        </row>
        <row r="1459">
          <cell r="A1459" t="str">
            <v>MMA</v>
          </cell>
          <cell r="B1459" t="str">
            <v>RCHR</v>
          </cell>
          <cell r="D1459" t="str">
            <v>SHIFT B HC  - efficiency</v>
          </cell>
          <cell r="Z1459">
            <v>0.65</v>
          </cell>
          <cell r="AA1459">
            <v>0.70000000000000007</v>
          </cell>
          <cell r="AB1459">
            <v>0.75000000000000011</v>
          </cell>
          <cell r="AC1459">
            <v>0.80000000000000016</v>
          </cell>
          <cell r="AD1459">
            <v>0.8500000000000002</v>
          </cell>
          <cell r="AE1459">
            <v>0.90000000000000024</v>
          </cell>
          <cell r="AF1459">
            <v>0.95000000000000029</v>
          </cell>
          <cell r="AG1459">
            <v>1.0000000000000002</v>
          </cell>
          <cell r="AH1459">
            <v>1.0500000000000003</v>
          </cell>
          <cell r="AI1459">
            <v>1</v>
          </cell>
          <cell r="AJ1459">
            <v>1</v>
          </cell>
          <cell r="AK1459">
            <v>1</v>
          </cell>
          <cell r="AL1459">
            <v>1</v>
          </cell>
          <cell r="AM1459">
            <v>1</v>
          </cell>
          <cell r="AN1459">
            <v>1</v>
          </cell>
          <cell r="AO1459">
            <v>1</v>
          </cell>
          <cell r="AP1459">
            <v>1</v>
          </cell>
          <cell r="AQ1459">
            <v>1</v>
          </cell>
          <cell r="AR1459">
            <v>1</v>
          </cell>
          <cell r="AS1459">
            <v>1</v>
          </cell>
          <cell r="AT1459">
            <v>1</v>
          </cell>
          <cell r="AU1459">
            <v>1</v>
          </cell>
          <cell r="AV1459">
            <v>1</v>
          </cell>
          <cell r="AW1459">
            <v>1</v>
          </cell>
          <cell r="AX1459">
            <v>1</v>
          </cell>
          <cell r="AY1459">
            <v>1</v>
          </cell>
          <cell r="AZ1459">
            <v>1</v>
          </cell>
          <cell r="BA1459">
            <v>1</v>
          </cell>
          <cell r="BB1459">
            <v>1</v>
          </cell>
          <cell r="BC1459">
            <v>1</v>
          </cell>
          <cell r="BD1459">
            <v>1</v>
          </cell>
          <cell r="BE1459">
            <v>1</v>
          </cell>
          <cell r="BF1459">
            <v>1</v>
          </cell>
          <cell r="BG1459">
            <v>1</v>
          </cell>
          <cell r="BH1459">
            <v>1</v>
          </cell>
          <cell r="BI1459">
            <v>1</v>
          </cell>
          <cell r="BJ1459">
            <v>1</v>
          </cell>
          <cell r="BK1459">
            <v>1</v>
          </cell>
          <cell r="BL1459">
            <v>1</v>
          </cell>
          <cell r="BM1459">
            <v>1</v>
          </cell>
          <cell r="BN1459">
            <v>1</v>
          </cell>
          <cell r="BO1459">
            <v>1</v>
          </cell>
          <cell r="BP1459">
            <v>1</v>
          </cell>
          <cell r="BQ1459">
            <v>1</v>
          </cell>
          <cell r="BR1459">
            <v>1</v>
          </cell>
          <cell r="BS1459">
            <v>1</v>
          </cell>
          <cell r="BT1459">
            <v>1</v>
          </cell>
          <cell r="BU1459">
            <v>1</v>
          </cell>
          <cell r="BV1459">
            <v>1</v>
          </cell>
        </row>
        <row r="1460">
          <cell r="A1460" t="str">
            <v>MMA</v>
          </cell>
          <cell r="B1460" t="str">
            <v>RCHR</v>
          </cell>
          <cell r="D1460" t="str">
            <v>SHIFT C HC  - efficiency</v>
          </cell>
          <cell r="Z1460">
            <v>1</v>
          </cell>
          <cell r="AA1460">
            <v>1</v>
          </cell>
          <cell r="AB1460">
            <v>1</v>
          </cell>
          <cell r="AC1460">
            <v>1</v>
          </cell>
          <cell r="AD1460">
            <v>1</v>
          </cell>
          <cell r="AE1460">
            <v>1</v>
          </cell>
          <cell r="AF1460">
            <v>1</v>
          </cell>
          <cell r="AG1460">
            <v>1</v>
          </cell>
          <cell r="AH1460">
            <v>1</v>
          </cell>
          <cell r="AI1460">
            <v>1</v>
          </cell>
          <cell r="AJ1460">
            <v>1</v>
          </cell>
          <cell r="AK1460">
            <v>1</v>
          </cell>
          <cell r="AL1460">
            <v>1</v>
          </cell>
          <cell r="AM1460">
            <v>1</v>
          </cell>
          <cell r="AN1460">
            <v>1</v>
          </cell>
          <cell r="AO1460">
            <v>1</v>
          </cell>
          <cell r="AP1460">
            <v>1</v>
          </cell>
          <cell r="AQ1460">
            <v>1</v>
          </cell>
          <cell r="AR1460">
            <v>1</v>
          </cell>
          <cell r="AS1460">
            <v>1</v>
          </cell>
          <cell r="AT1460">
            <v>1</v>
          </cell>
          <cell r="AU1460">
            <v>1</v>
          </cell>
          <cell r="AV1460">
            <v>1</v>
          </cell>
          <cell r="AW1460">
            <v>1</v>
          </cell>
          <cell r="AX1460">
            <v>1</v>
          </cell>
          <cell r="AY1460">
            <v>1</v>
          </cell>
          <cell r="AZ1460">
            <v>1</v>
          </cell>
          <cell r="BA1460">
            <v>1</v>
          </cell>
          <cell r="BB1460">
            <v>1</v>
          </cell>
          <cell r="BC1460">
            <v>1</v>
          </cell>
          <cell r="BD1460">
            <v>1</v>
          </cell>
          <cell r="BE1460">
            <v>1</v>
          </cell>
          <cell r="BF1460">
            <v>1</v>
          </cell>
          <cell r="BG1460">
            <v>1</v>
          </cell>
          <cell r="BH1460">
            <v>1</v>
          </cell>
          <cell r="BI1460">
            <v>1</v>
          </cell>
          <cell r="BJ1460">
            <v>1</v>
          </cell>
          <cell r="BK1460">
            <v>1</v>
          </cell>
          <cell r="BL1460">
            <v>1</v>
          </cell>
          <cell r="BM1460">
            <v>1</v>
          </cell>
          <cell r="BN1460">
            <v>1</v>
          </cell>
          <cell r="BO1460">
            <v>1</v>
          </cell>
          <cell r="BP1460">
            <v>1</v>
          </cell>
          <cell r="BQ1460">
            <v>1</v>
          </cell>
          <cell r="BR1460">
            <v>1</v>
          </cell>
          <cell r="BS1460">
            <v>1</v>
          </cell>
          <cell r="BT1460">
            <v>1</v>
          </cell>
          <cell r="BU1460">
            <v>1</v>
          </cell>
          <cell r="BV1460">
            <v>1</v>
          </cell>
        </row>
        <row r="1461">
          <cell r="A1461" t="str">
            <v>MMA</v>
          </cell>
          <cell r="B1461" t="str">
            <v>RCHR</v>
          </cell>
          <cell r="D1461" t="str">
            <v>Total efficiency</v>
          </cell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</row>
        <row r="1462">
          <cell r="A1462" t="str">
            <v>MMA</v>
          </cell>
          <cell r="B1462" t="str">
            <v>RCHR</v>
          </cell>
          <cell r="D1462" t="str">
            <v>SHIFT A - output</v>
          </cell>
          <cell r="E1462">
            <v>550</v>
          </cell>
          <cell r="Z1462">
            <v>507.51879699248116</v>
          </cell>
          <cell r="AA1462">
            <v>507.51879699248116</v>
          </cell>
          <cell r="AB1462">
            <v>507.51879699248116</v>
          </cell>
          <cell r="AC1462">
            <v>507.51879699248116</v>
          </cell>
          <cell r="AD1462">
            <v>507.51879699248116</v>
          </cell>
          <cell r="AE1462">
            <v>507.51879699248116</v>
          </cell>
          <cell r="AF1462">
            <v>507.51879699248116</v>
          </cell>
          <cell r="AG1462">
            <v>507.51879699248116</v>
          </cell>
          <cell r="AH1462">
            <v>507.51879699248116</v>
          </cell>
          <cell r="AI1462">
            <v>507.51879699248116</v>
          </cell>
          <cell r="AJ1462">
            <v>507.51879699248116</v>
          </cell>
          <cell r="AK1462">
            <v>507.51879699248116</v>
          </cell>
          <cell r="AL1462">
            <v>507.51879699248116</v>
          </cell>
          <cell r="AM1462">
            <v>507.51879699248116</v>
          </cell>
          <cell r="AN1462">
            <v>507.51879699248116</v>
          </cell>
          <cell r="AO1462">
            <v>507.51879699248116</v>
          </cell>
          <cell r="AP1462">
            <v>507.51879699248116</v>
          </cell>
          <cell r="AQ1462">
            <v>507.51879699248116</v>
          </cell>
          <cell r="AR1462">
            <v>507.51879699248116</v>
          </cell>
          <cell r="AS1462">
            <v>507.51879699248116</v>
          </cell>
          <cell r="AT1462">
            <v>507.51879699248116</v>
          </cell>
          <cell r="AU1462">
            <v>507.51879699248116</v>
          </cell>
          <cell r="AV1462">
            <v>507.51879699248116</v>
          </cell>
          <cell r="AW1462">
            <v>507.51879699248116</v>
          </cell>
          <cell r="AX1462">
            <v>507.51879699248116</v>
          </cell>
          <cell r="AY1462">
            <v>507.51879699248116</v>
          </cell>
          <cell r="AZ1462">
            <v>507.51879699248116</v>
          </cell>
          <cell r="BA1462">
            <v>507.51879699248116</v>
          </cell>
          <cell r="BB1462">
            <v>507.51879699248116</v>
          </cell>
          <cell r="BC1462">
            <v>507.51879699248116</v>
          </cell>
          <cell r="BD1462">
            <v>507.51879699248116</v>
          </cell>
          <cell r="BE1462">
            <v>507.51879699248116</v>
          </cell>
          <cell r="BF1462">
            <v>507.51879699248116</v>
          </cell>
          <cell r="BG1462">
            <v>507.51879699248116</v>
          </cell>
          <cell r="BH1462">
            <v>507.51879699248116</v>
          </cell>
          <cell r="BI1462">
            <v>507.51879699248116</v>
          </cell>
          <cell r="BJ1462">
            <v>507.51879699248116</v>
          </cell>
          <cell r="BK1462">
            <v>1218.0451127819547</v>
          </cell>
          <cell r="BL1462">
            <v>1218.0451127819547</v>
          </cell>
          <cell r="BM1462">
            <v>1218.0451127819547</v>
          </cell>
          <cell r="BN1462">
            <v>1218.0451127819547</v>
          </cell>
          <cell r="BO1462">
            <v>1218.0451127819547</v>
          </cell>
          <cell r="BP1462">
            <v>1218.0451127819547</v>
          </cell>
          <cell r="BQ1462">
            <v>1218.0451127819547</v>
          </cell>
          <cell r="BR1462">
            <v>1218.0451127819547</v>
          </cell>
          <cell r="BS1462">
            <v>1218.0451127819547</v>
          </cell>
          <cell r="BT1462">
            <v>1218.0451127819547</v>
          </cell>
          <cell r="BU1462">
            <v>1218.0451127819547</v>
          </cell>
          <cell r="BV1462">
            <v>1218.0451127819547</v>
          </cell>
        </row>
        <row r="1463">
          <cell r="A1463" t="str">
            <v>MMA</v>
          </cell>
          <cell r="B1463" t="str">
            <v>RCHR</v>
          </cell>
          <cell r="D1463" t="str">
            <v>SHIFT B  - output</v>
          </cell>
          <cell r="Z1463">
            <v>329.88721804511277</v>
          </cell>
          <cell r="AA1463">
            <v>355.26315789473682</v>
          </cell>
          <cell r="AB1463">
            <v>380.63909774436092</v>
          </cell>
          <cell r="AC1463">
            <v>406.01503759398503</v>
          </cell>
          <cell r="AD1463">
            <v>431.39097744360907</v>
          </cell>
          <cell r="AE1463">
            <v>456.76691729323318</v>
          </cell>
          <cell r="AF1463">
            <v>482.14285714285722</v>
          </cell>
          <cell r="AG1463">
            <v>507.51879699248127</v>
          </cell>
          <cell r="AH1463">
            <v>532.89473684210532</v>
          </cell>
          <cell r="AI1463">
            <v>507.51879699248116</v>
          </cell>
          <cell r="AJ1463">
            <v>507.51879699248116</v>
          </cell>
          <cell r="AK1463">
            <v>507.51879699248116</v>
          </cell>
          <cell r="AL1463">
            <v>507.51879699248116</v>
          </cell>
          <cell r="AM1463">
            <v>507.51879699248116</v>
          </cell>
          <cell r="AN1463">
            <v>507.51879699248116</v>
          </cell>
          <cell r="AO1463">
            <v>507.51879699248116</v>
          </cell>
          <cell r="AP1463">
            <v>507.51879699248116</v>
          </cell>
          <cell r="AQ1463">
            <v>507.51879699248116</v>
          </cell>
          <cell r="AR1463">
            <v>507.51879699248116</v>
          </cell>
          <cell r="AS1463">
            <v>507.51879699248116</v>
          </cell>
          <cell r="AT1463">
            <v>507.51879699248116</v>
          </cell>
          <cell r="AU1463">
            <v>507.51879699248116</v>
          </cell>
          <cell r="AV1463">
            <v>507.51879699248116</v>
          </cell>
          <cell r="AW1463">
            <v>507.51879699248116</v>
          </cell>
          <cell r="AX1463">
            <v>507.51879699248116</v>
          </cell>
          <cell r="AY1463">
            <v>507.51879699248116</v>
          </cell>
          <cell r="AZ1463">
            <v>507.51879699248116</v>
          </cell>
          <cell r="BA1463">
            <v>507.51879699248116</v>
          </cell>
          <cell r="BB1463">
            <v>507.51879699248116</v>
          </cell>
          <cell r="BC1463">
            <v>507.51879699248116</v>
          </cell>
          <cell r="BD1463">
            <v>507.51879699248116</v>
          </cell>
          <cell r="BE1463">
            <v>507.51879699248116</v>
          </cell>
          <cell r="BF1463">
            <v>507.51879699248116</v>
          </cell>
          <cell r="BG1463">
            <v>507.51879699248116</v>
          </cell>
          <cell r="BH1463">
            <v>507.51879699248116</v>
          </cell>
          <cell r="BI1463">
            <v>507.51879699248116</v>
          </cell>
          <cell r="BJ1463">
            <v>507.51879699248116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</row>
        <row r="1464">
          <cell r="A1464" t="str">
            <v>MMA</v>
          </cell>
          <cell r="B1464" t="str">
            <v>RCHR</v>
          </cell>
          <cell r="D1464" t="str">
            <v>SHIFT C  - output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</row>
        <row r="1465">
          <cell r="A1465" t="str">
            <v>MMA</v>
          </cell>
          <cell r="B1465" t="str">
            <v>RCHR</v>
          </cell>
          <cell r="D1465" t="str">
            <v>Est. Output (Pcs day)</v>
          </cell>
          <cell r="E1465">
            <v>2.66</v>
          </cell>
          <cell r="Z1465">
            <v>837.40601503759399</v>
          </cell>
          <cell r="AA1465">
            <v>862.78195488721803</v>
          </cell>
          <cell r="AB1465">
            <v>888.15789473684208</v>
          </cell>
          <cell r="AC1465">
            <v>913.53383458646613</v>
          </cell>
          <cell r="AD1465">
            <v>938.90977443609017</v>
          </cell>
          <cell r="AE1465">
            <v>964.28571428571433</v>
          </cell>
          <cell r="AF1465">
            <v>989.66165413533838</v>
          </cell>
          <cell r="AG1465">
            <v>1015.0375939849624</v>
          </cell>
          <cell r="AH1465">
            <v>1040.4135338345864</v>
          </cell>
          <cell r="AI1465">
            <v>1015.0375939849623</v>
          </cell>
          <cell r="AJ1465">
            <v>1015.0375939849623</v>
          </cell>
          <cell r="AK1465">
            <v>1015.0375939849623</v>
          </cell>
          <cell r="AL1465">
            <v>1015.0375939849623</v>
          </cell>
          <cell r="AM1465">
            <v>1015.0375939849623</v>
          </cell>
          <cell r="AN1465">
            <v>1015.0375939849623</v>
          </cell>
          <cell r="AO1465">
            <v>1015.0375939849623</v>
          </cell>
          <cell r="AP1465">
            <v>1015.0375939849623</v>
          </cell>
          <cell r="AQ1465">
            <v>1015.0375939849623</v>
          </cell>
          <cell r="AR1465">
            <v>1015.0375939849623</v>
          </cell>
          <cell r="AS1465">
            <v>1015.0375939849623</v>
          </cell>
          <cell r="AT1465">
            <v>1015.0375939849623</v>
          </cell>
          <cell r="AU1465">
            <v>1015.0375939849623</v>
          </cell>
          <cell r="AV1465">
            <v>1015.0375939849623</v>
          </cell>
          <cell r="AW1465">
            <v>1015.0375939849623</v>
          </cell>
          <cell r="AX1465">
            <v>1015.0375939849623</v>
          </cell>
          <cell r="AY1465">
            <v>1015.0375939849623</v>
          </cell>
          <cell r="AZ1465">
            <v>1015.0375939849623</v>
          </cell>
          <cell r="BA1465">
            <v>1015.0375939849623</v>
          </cell>
          <cell r="BB1465">
            <v>1015.0375939849623</v>
          </cell>
          <cell r="BC1465">
            <v>1015.0375939849623</v>
          </cell>
          <cell r="BD1465">
            <v>1015.0375939849623</v>
          </cell>
          <cell r="BE1465">
            <v>1015.0375939849623</v>
          </cell>
          <cell r="BF1465">
            <v>1015.0375939849623</v>
          </cell>
          <cell r="BG1465">
            <v>1015.0375939849623</v>
          </cell>
          <cell r="BH1465">
            <v>1015.0375939849623</v>
          </cell>
          <cell r="BI1465">
            <v>1015.0375939849623</v>
          </cell>
          <cell r="BJ1465">
            <v>1015.0375939849623</v>
          </cell>
          <cell r="BK1465">
            <v>1218.0451127819547</v>
          </cell>
          <cell r="BL1465">
            <v>1218.0451127819547</v>
          </cell>
          <cell r="BM1465">
            <v>1218.0451127819547</v>
          </cell>
          <cell r="BN1465">
            <v>1218.0451127819547</v>
          </cell>
          <cell r="BO1465">
            <v>1218.0451127819547</v>
          </cell>
          <cell r="BP1465">
            <v>1218.0451127819547</v>
          </cell>
          <cell r="BQ1465">
            <v>1218.0451127819547</v>
          </cell>
          <cell r="BR1465">
            <v>1218.0451127819547</v>
          </cell>
          <cell r="BS1465">
            <v>1218.0451127819547</v>
          </cell>
          <cell r="BT1465">
            <v>1218.0451127819547</v>
          </cell>
          <cell r="BU1465">
            <v>1218.0451127819547</v>
          </cell>
          <cell r="BV1465">
            <v>1218.0451127819547</v>
          </cell>
        </row>
        <row r="1466">
          <cell r="A1466" t="str">
            <v>MMA</v>
          </cell>
          <cell r="B1466" t="str">
            <v>RCHR</v>
          </cell>
          <cell r="D1466" t="str">
            <v>Weekly Output PLAN</v>
          </cell>
          <cell r="E1466" t="str">
            <v>ASSY</v>
          </cell>
          <cell r="Z1466">
            <v>4187.0300751879695</v>
          </cell>
          <cell r="AA1466">
            <v>4313.9097744360897</v>
          </cell>
          <cell r="AB1466">
            <v>4440.78947368421</v>
          </cell>
          <cell r="AC1466">
            <v>4567.6691729323302</v>
          </cell>
          <cell r="AD1466">
            <v>2816.7293233082705</v>
          </cell>
          <cell r="AE1466">
            <v>4821.4285714285716</v>
          </cell>
          <cell r="AF1466">
            <v>4948.3082706766918</v>
          </cell>
          <cell r="AG1466">
            <v>5075.187969924812</v>
          </cell>
          <cell r="AH1466">
            <v>5202.0676691729313</v>
          </cell>
          <cell r="AI1466">
            <v>5075.1879699248111</v>
          </cell>
          <cell r="AJ1466">
            <v>5075.1879699248111</v>
          </cell>
          <cell r="AK1466">
            <v>4060.1503759398493</v>
          </cell>
          <cell r="AL1466">
            <v>4060.1503759398493</v>
          </cell>
          <cell r="AM1466">
            <v>5075.1879699248111</v>
          </cell>
          <cell r="AN1466">
            <v>4060.1503759398493</v>
          </cell>
          <cell r="AO1466">
            <v>5075.1879699248111</v>
          </cell>
          <cell r="AP1466">
            <v>5075.1879699248111</v>
          </cell>
          <cell r="AQ1466">
            <v>5075.1879699248111</v>
          </cell>
          <cell r="AR1466">
            <v>5075.1879699248111</v>
          </cell>
          <cell r="AS1466">
            <v>5075.1879699248111</v>
          </cell>
          <cell r="AT1466">
            <v>5075.1879699248111</v>
          </cell>
          <cell r="AU1466">
            <v>5075.1879699248111</v>
          </cell>
          <cell r="AV1466">
            <v>5075.1879699248111</v>
          </cell>
          <cell r="AW1466">
            <v>5075.1879699248111</v>
          </cell>
          <cell r="AX1466">
            <v>5075.1879699248111</v>
          </cell>
          <cell r="AY1466">
            <v>5075.1879699248111</v>
          </cell>
          <cell r="AZ1466">
            <v>0</v>
          </cell>
          <cell r="BA1466">
            <v>0</v>
          </cell>
          <cell r="BB1466">
            <v>5075.1879699248111</v>
          </cell>
          <cell r="BC1466">
            <v>5075.1879699248111</v>
          </cell>
          <cell r="BD1466">
            <v>5075.1879699248111</v>
          </cell>
          <cell r="BE1466">
            <v>5075.1879699248111</v>
          </cell>
          <cell r="BF1466">
            <v>5075.1879699248111</v>
          </cell>
          <cell r="BG1466">
            <v>5075.1879699248111</v>
          </cell>
          <cell r="BH1466">
            <v>5075.1879699248111</v>
          </cell>
          <cell r="BI1466">
            <v>5075.1879699248111</v>
          </cell>
          <cell r="BJ1466">
            <v>5075.1879699248111</v>
          </cell>
          <cell r="BK1466">
            <v>6090.225563909773</v>
          </cell>
          <cell r="BL1466">
            <v>6090.225563909773</v>
          </cell>
          <cell r="BM1466">
            <v>6090.225563909773</v>
          </cell>
          <cell r="BN1466">
            <v>6090.225563909773</v>
          </cell>
          <cell r="BO1466">
            <v>6090.225563909773</v>
          </cell>
          <cell r="BP1466">
            <v>6090.225563909773</v>
          </cell>
          <cell r="BQ1466">
            <v>7308.2706766917281</v>
          </cell>
          <cell r="BR1466">
            <v>7308.2706766917281</v>
          </cell>
          <cell r="BS1466">
            <v>7308.2706766917281</v>
          </cell>
          <cell r="BT1466">
            <v>7308.2706766917281</v>
          </cell>
          <cell r="BU1466">
            <v>7308.2706766917281</v>
          </cell>
          <cell r="BV1466">
            <v>7308.2706766917281</v>
          </cell>
        </row>
        <row r="1467">
          <cell r="A1467" t="str">
            <v>MMA</v>
          </cell>
          <cell r="B1467" t="str">
            <v>RCHR</v>
          </cell>
          <cell r="D1467" t="str">
            <v>PVC</v>
          </cell>
          <cell r="E1467">
            <v>2.0493333333333337</v>
          </cell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</row>
        <row r="1468">
          <cell r="A1468" t="str">
            <v>MMA</v>
          </cell>
          <cell r="B1468" t="str">
            <v>RCHR</v>
          </cell>
          <cell r="D1468" t="str">
            <v>LTH</v>
          </cell>
          <cell r="E1468">
            <v>2.6641333333333339</v>
          </cell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</row>
        <row r="1469">
          <cell r="A1469" t="str">
            <v>MMA</v>
          </cell>
          <cell r="B1469" t="str">
            <v>RCHR</v>
          </cell>
          <cell r="D1469" t="str">
            <v>PO</v>
          </cell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</row>
        <row r="1470">
          <cell r="A1470" t="str">
            <v>MMA</v>
          </cell>
          <cell r="B1470" t="str">
            <v>RCHR</v>
          </cell>
          <cell r="D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</row>
        <row r="1471">
          <cell r="A1471" t="str">
            <v>MMA</v>
          </cell>
          <cell r="B1471" t="str">
            <v>RCHR</v>
          </cell>
          <cell r="D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</row>
        <row r="1472">
          <cell r="A1472" t="str">
            <v>MMA</v>
          </cell>
          <cell r="B1472" t="str">
            <v>RCHR</v>
          </cell>
          <cell r="D1472" t="str">
            <v>Weekly Output PLAN - SUM of models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</row>
        <row r="1473">
          <cell r="A1473" t="str">
            <v>MMA</v>
          </cell>
          <cell r="B1473" t="str">
            <v>RCHR</v>
          </cell>
          <cell r="D1473" t="str">
            <v>Weekly Output CHECK with TO time multiple</v>
          </cell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</row>
        <row r="1474">
          <cell r="A1474" t="str">
            <v>MMA</v>
          </cell>
          <cell r="B1474" t="str">
            <v>RCHR</v>
          </cell>
          <cell r="D1474" t="str">
            <v>Weekly Output ACT</v>
          </cell>
          <cell r="Z1474">
            <v>4187.0300751879695</v>
          </cell>
          <cell r="AA1474">
            <v>4313.9097744360897</v>
          </cell>
          <cell r="AB1474">
            <v>4440.78947368421</v>
          </cell>
          <cell r="AC1474">
            <v>4567.6691729323302</v>
          </cell>
          <cell r="AD1474">
            <v>2816.7293233082705</v>
          </cell>
          <cell r="AE1474">
            <v>4821.4285714285716</v>
          </cell>
          <cell r="AF1474">
            <v>4948.3082706766918</v>
          </cell>
          <cell r="AG1474">
            <v>5075.187969924812</v>
          </cell>
          <cell r="AH1474">
            <v>5202.0676691729313</v>
          </cell>
          <cell r="AI1474">
            <v>5075.1879699248111</v>
          </cell>
          <cell r="AJ1474">
            <v>5075.1879699248111</v>
          </cell>
          <cell r="AK1474">
            <v>4060.1503759398493</v>
          </cell>
          <cell r="AL1474">
            <v>4060.1503759398493</v>
          </cell>
          <cell r="AM1474">
            <v>5075.1879699248111</v>
          </cell>
          <cell r="AN1474">
            <v>4060.1503759398493</v>
          </cell>
          <cell r="AO1474">
            <v>5075.1879699248111</v>
          </cell>
          <cell r="AP1474">
            <v>5075.1879699248111</v>
          </cell>
          <cell r="AQ1474">
            <v>5075.1879699248111</v>
          </cell>
          <cell r="AR1474">
            <v>5075.1879699248111</v>
          </cell>
          <cell r="AS1474">
            <v>5075.1879699248111</v>
          </cell>
          <cell r="AT1474">
            <v>5075.1879699248111</v>
          </cell>
          <cell r="AU1474">
            <v>5075.1879699248111</v>
          </cell>
          <cell r="AV1474">
            <v>5075.1879699248111</v>
          </cell>
          <cell r="AW1474">
            <v>5075.1879699248111</v>
          </cell>
          <cell r="AX1474">
            <v>5075.1879699248111</v>
          </cell>
          <cell r="AY1474">
            <v>5075.1879699248111</v>
          </cell>
          <cell r="AZ1474">
            <v>0</v>
          </cell>
          <cell r="BA1474">
            <v>0</v>
          </cell>
          <cell r="BB1474">
            <v>5075.1879699248111</v>
          </cell>
          <cell r="BC1474">
            <v>5075.1879699248111</v>
          </cell>
          <cell r="BD1474">
            <v>5075.1879699248111</v>
          </cell>
          <cell r="BE1474">
            <v>5075.1879699248111</v>
          </cell>
          <cell r="BF1474">
            <v>5075.1879699248111</v>
          </cell>
          <cell r="BG1474">
            <v>5075.1879699248111</v>
          </cell>
          <cell r="BH1474">
            <v>5075.1879699248111</v>
          </cell>
          <cell r="BI1474">
            <v>5075.1879699248111</v>
          </cell>
          <cell r="BJ1474">
            <v>5075.1879699248111</v>
          </cell>
          <cell r="BK1474">
            <v>6090.225563909773</v>
          </cell>
          <cell r="BL1474">
            <v>6090.225563909773</v>
          </cell>
          <cell r="BM1474">
            <v>6090.225563909773</v>
          </cell>
          <cell r="BN1474">
            <v>6090.225563909773</v>
          </cell>
          <cell r="BO1474">
            <v>6090.225563909773</v>
          </cell>
          <cell r="BP1474">
            <v>6090.225563909773</v>
          </cell>
          <cell r="BQ1474">
            <v>7308.2706766917281</v>
          </cell>
          <cell r="BR1474">
            <v>7308.2706766917281</v>
          </cell>
          <cell r="BS1474">
            <v>7308.2706766917281</v>
          </cell>
          <cell r="BT1474">
            <v>7308.2706766917281</v>
          </cell>
          <cell r="BU1474">
            <v>7308.2706766917281</v>
          </cell>
          <cell r="BV1474">
            <v>7308.2706766917281</v>
          </cell>
        </row>
        <row r="1475">
          <cell r="A1475" t="str">
            <v>MMA</v>
          </cell>
          <cell r="B1475" t="str">
            <v>RCHR</v>
          </cell>
          <cell r="D1475" t="str">
            <v>PVC</v>
          </cell>
          <cell r="Z1475">
            <v>5652</v>
          </cell>
          <cell r="AA1475">
            <v>2091</v>
          </cell>
          <cell r="AB1475">
            <v>4356</v>
          </cell>
          <cell r="AC1475">
            <v>4563</v>
          </cell>
          <cell r="AD1475">
            <v>3984</v>
          </cell>
          <cell r="AE1475">
            <v>4338</v>
          </cell>
          <cell r="AF1475">
            <v>5019</v>
          </cell>
          <cell r="AG1475">
            <v>4242</v>
          </cell>
          <cell r="AH1475">
            <v>6630</v>
          </cell>
          <cell r="AI1475">
            <v>5196</v>
          </cell>
          <cell r="AJ1475">
            <v>3147</v>
          </cell>
          <cell r="AK1475">
            <v>4641</v>
          </cell>
          <cell r="AL1475">
            <v>4725</v>
          </cell>
          <cell r="AM1475">
            <v>5034</v>
          </cell>
          <cell r="AN1475">
            <v>5409</v>
          </cell>
          <cell r="AO1475">
            <v>4827</v>
          </cell>
          <cell r="AP1475">
            <v>4617</v>
          </cell>
          <cell r="AQ1475">
            <v>4083</v>
          </cell>
          <cell r="AR1475">
            <v>20019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16770</v>
          </cell>
          <cell r="AX1475">
            <v>0</v>
          </cell>
          <cell r="AY1475">
            <v>0</v>
          </cell>
          <cell r="AZ1475">
            <v>0</v>
          </cell>
          <cell r="BA1475">
            <v>5408.3430439330568</v>
          </cell>
          <cell r="BB1475">
            <v>5408.3430439330568</v>
          </cell>
          <cell r="BC1475">
            <v>5408.3430439330568</v>
          </cell>
          <cell r="BD1475">
            <v>5408.3430439330568</v>
          </cell>
          <cell r="BE1475">
            <v>5408.3430439330568</v>
          </cell>
          <cell r="BF1475">
            <v>5406.9009298000901</v>
          </cell>
          <cell r="BG1475">
            <v>5406.9009298000901</v>
          </cell>
          <cell r="BH1475">
            <v>5406.9009298000901</v>
          </cell>
          <cell r="BI1475">
            <v>5406.9009298000901</v>
          </cell>
          <cell r="BJ1475">
            <v>2703.4504649000451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</row>
        <row r="1476">
          <cell r="A1476" t="str">
            <v>MMA</v>
          </cell>
          <cell r="B1476" t="str">
            <v>RCHR</v>
          </cell>
          <cell r="D1476" t="str">
            <v>LTH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</row>
        <row r="1477">
          <cell r="A1477" t="str">
            <v>MMA</v>
          </cell>
          <cell r="B1477" t="str">
            <v>RCHR</v>
          </cell>
          <cell r="D1477" t="str">
            <v>PO</v>
          </cell>
          <cell r="Z1477">
            <v>0</v>
          </cell>
          <cell r="AA1477">
            <v>29</v>
          </cell>
          <cell r="AB1477">
            <v>5</v>
          </cell>
          <cell r="AC1477">
            <v>15</v>
          </cell>
          <cell r="AD1477">
            <v>19</v>
          </cell>
          <cell r="AE1477">
            <v>0</v>
          </cell>
          <cell r="AF1477">
            <v>24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</row>
        <row r="1478">
          <cell r="A1478" t="str">
            <v>MMA</v>
          </cell>
          <cell r="B1478" t="str">
            <v>RCHR</v>
          </cell>
          <cell r="D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</row>
        <row r="1479">
          <cell r="A1479" t="str">
            <v>MMA</v>
          </cell>
          <cell r="B1479" t="str">
            <v>RCHR</v>
          </cell>
          <cell r="D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</row>
        <row r="1480">
          <cell r="A1480" t="str">
            <v>MMA</v>
          </cell>
          <cell r="B1480" t="str">
            <v>RCHR</v>
          </cell>
          <cell r="D1480" t="str">
            <v>Weekly demand</v>
          </cell>
          <cell r="Z1480">
            <v>5652</v>
          </cell>
          <cell r="AA1480">
            <v>2120</v>
          </cell>
          <cell r="AB1480">
            <v>4361</v>
          </cell>
          <cell r="AC1480">
            <v>4578</v>
          </cell>
          <cell r="AD1480">
            <v>4003</v>
          </cell>
          <cell r="AE1480">
            <v>4338</v>
          </cell>
          <cell r="AF1480">
            <v>5043</v>
          </cell>
          <cell r="AG1480">
            <v>4242</v>
          </cell>
          <cell r="AH1480">
            <v>6630</v>
          </cell>
          <cell r="AI1480">
            <v>5196</v>
          </cell>
          <cell r="AJ1480">
            <v>3147</v>
          </cell>
          <cell r="AK1480">
            <v>4641</v>
          </cell>
          <cell r="AL1480">
            <v>4725</v>
          </cell>
          <cell r="AM1480">
            <v>5034</v>
          </cell>
          <cell r="AN1480">
            <v>5409</v>
          </cell>
          <cell r="AO1480">
            <v>4827</v>
          </cell>
          <cell r="AP1480">
            <v>4617</v>
          </cell>
          <cell r="AQ1480">
            <v>4083</v>
          </cell>
          <cell r="AR1480">
            <v>20019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16770</v>
          </cell>
          <cell r="AX1480">
            <v>0</v>
          </cell>
          <cell r="AY1480">
            <v>0</v>
          </cell>
          <cell r="AZ1480">
            <v>0</v>
          </cell>
          <cell r="BA1480">
            <v>5408.3430439330568</v>
          </cell>
          <cell r="BB1480">
            <v>5408.3430439330568</v>
          </cell>
          <cell r="BC1480">
            <v>5408.3430439330568</v>
          </cell>
          <cell r="BD1480">
            <v>5408.3430439330568</v>
          </cell>
          <cell r="BE1480">
            <v>5408.3430439330568</v>
          </cell>
          <cell r="BF1480">
            <v>5406.9009298000901</v>
          </cell>
          <cell r="BG1480">
            <v>5406.9009298000901</v>
          </cell>
          <cell r="BH1480">
            <v>5406.9009298000901</v>
          </cell>
          <cell r="BI1480">
            <v>5406.9009298000901</v>
          </cell>
          <cell r="BJ1480">
            <v>2703.4504649000451</v>
          </cell>
          <cell r="BK1480">
            <v>0</v>
          </cell>
          <cell r="BL1480">
            <v>175514.76940376573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</row>
        <row r="1481">
          <cell r="A1481" t="str">
            <v>MMA</v>
          </cell>
          <cell r="B1481" t="str">
            <v>RCHR</v>
          </cell>
          <cell r="D1481" t="str">
            <v>Stock Target</v>
          </cell>
          <cell r="Z1481">
            <v>3000</v>
          </cell>
          <cell r="AA1481">
            <v>3000</v>
          </cell>
          <cell r="AB1481">
            <v>3000</v>
          </cell>
          <cell r="AC1481">
            <v>3000</v>
          </cell>
          <cell r="AD1481">
            <v>3000</v>
          </cell>
          <cell r="AE1481">
            <v>3000</v>
          </cell>
          <cell r="AF1481">
            <v>3000</v>
          </cell>
          <cell r="AG1481">
            <v>3000</v>
          </cell>
          <cell r="AH1481">
            <v>3000</v>
          </cell>
          <cell r="AI1481">
            <v>3000</v>
          </cell>
          <cell r="AJ1481">
            <v>2528</v>
          </cell>
          <cell r="AK1481">
            <v>2529</v>
          </cell>
          <cell r="AL1481">
            <v>2530</v>
          </cell>
          <cell r="AM1481">
            <v>2531</v>
          </cell>
          <cell r="AN1481">
            <v>2532</v>
          </cell>
          <cell r="AO1481">
            <v>2533</v>
          </cell>
          <cell r="AP1481">
            <v>2534</v>
          </cell>
          <cell r="AQ1481">
            <v>2535</v>
          </cell>
          <cell r="AR1481">
            <v>2536</v>
          </cell>
          <cell r="AS1481">
            <v>2537</v>
          </cell>
          <cell r="AT1481">
            <v>2538</v>
          </cell>
          <cell r="AU1481">
            <v>2539</v>
          </cell>
          <cell r="AV1481">
            <v>2540</v>
          </cell>
          <cell r="AW1481">
            <v>2541</v>
          </cell>
          <cell r="AX1481">
            <v>2542</v>
          </cell>
          <cell r="AY1481">
            <v>2543</v>
          </cell>
          <cell r="AZ1481">
            <v>2544</v>
          </cell>
          <cell r="BA1481">
            <v>2545</v>
          </cell>
          <cell r="BB1481">
            <v>2546</v>
          </cell>
          <cell r="BC1481">
            <v>2547</v>
          </cell>
          <cell r="BD1481">
            <v>2548</v>
          </cell>
          <cell r="BE1481">
            <v>2549</v>
          </cell>
          <cell r="BF1481">
            <v>2550</v>
          </cell>
          <cell r="BG1481">
            <v>2551</v>
          </cell>
          <cell r="BH1481">
            <v>2552</v>
          </cell>
          <cell r="BI1481">
            <v>2553</v>
          </cell>
          <cell r="BJ1481">
            <v>2554</v>
          </cell>
          <cell r="BK1481">
            <v>2555</v>
          </cell>
          <cell r="BL1481">
            <v>2556</v>
          </cell>
          <cell r="BM1481">
            <v>2557</v>
          </cell>
          <cell r="BN1481">
            <v>2558</v>
          </cell>
          <cell r="BO1481">
            <v>2559</v>
          </cell>
          <cell r="BP1481">
            <v>2560</v>
          </cell>
          <cell r="BQ1481">
            <v>2561</v>
          </cell>
          <cell r="BR1481">
            <v>2562</v>
          </cell>
          <cell r="BS1481">
            <v>2563</v>
          </cell>
          <cell r="BT1481">
            <v>2564</v>
          </cell>
          <cell r="BU1481">
            <v>2565</v>
          </cell>
          <cell r="BV1481">
            <v>2566</v>
          </cell>
        </row>
        <row r="1482">
          <cell r="A1482" t="str">
            <v>MMA</v>
          </cell>
          <cell r="B1482" t="str">
            <v>RCHR</v>
          </cell>
          <cell r="D1482" t="str">
            <v>PVC</v>
          </cell>
          <cell r="Z1482">
            <v>2080</v>
          </cell>
          <cell r="AA1482">
            <v>-11</v>
          </cell>
          <cell r="AB1482">
            <v>-4367</v>
          </cell>
          <cell r="AC1482">
            <v>-8930</v>
          </cell>
          <cell r="AD1482">
            <v>-12914</v>
          </cell>
          <cell r="AE1482">
            <v>-17252</v>
          </cell>
          <cell r="AF1482">
            <v>-22271</v>
          </cell>
          <cell r="AG1482">
            <v>-26513</v>
          </cell>
          <cell r="AH1482">
            <v>-33143</v>
          </cell>
          <cell r="AI1482">
            <v>-38339</v>
          </cell>
          <cell r="AJ1482">
            <v>-41486</v>
          </cell>
          <cell r="AK1482">
            <v>-46127</v>
          </cell>
          <cell r="AL1482">
            <v>-50852</v>
          </cell>
          <cell r="AM1482">
            <v>-55886</v>
          </cell>
          <cell r="AN1482">
            <v>-61295</v>
          </cell>
          <cell r="AO1482">
            <v>-66122</v>
          </cell>
          <cell r="AP1482">
            <v>-70739</v>
          </cell>
          <cell r="AQ1482">
            <v>-74822</v>
          </cell>
          <cell r="AR1482">
            <v>-94841</v>
          </cell>
          <cell r="AS1482">
            <v>-94841</v>
          </cell>
          <cell r="AT1482">
            <v>-94841</v>
          </cell>
          <cell r="AU1482">
            <v>-94841</v>
          </cell>
          <cell r="AV1482">
            <v>-94841</v>
          </cell>
          <cell r="AW1482">
            <v>-111611</v>
          </cell>
          <cell r="AX1482">
            <v>-111611</v>
          </cell>
          <cell r="AY1482">
            <v>-111611</v>
          </cell>
          <cell r="AZ1482">
            <v>-111611</v>
          </cell>
          <cell r="BA1482">
            <v>-117019.34304393306</v>
          </cell>
          <cell r="BB1482">
            <v>-122427.68608786611</v>
          </cell>
          <cell r="BC1482">
            <v>-127836.02913179917</v>
          </cell>
          <cell r="BD1482">
            <v>-133244.37217573222</v>
          </cell>
          <cell r="BE1482">
            <v>-138652.71521966529</v>
          </cell>
          <cell r="BF1482">
            <v>-144059.61614946538</v>
          </cell>
          <cell r="BG1482">
            <v>-149466.51707926547</v>
          </cell>
          <cell r="BH1482">
            <v>-154873.41800906556</v>
          </cell>
          <cell r="BI1482">
            <v>-160280.31893886565</v>
          </cell>
          <cell r="BJ1482">
            <v>-162983.76940376571</v>
          </cell>
          <cell r="BK1482">
            <v>-162983.76940376571</v>
          </cell>
          <cell r="BL1482">
            <v>-162983.76940376571</v>
          </cell>
          <cell r="BM1482">
            <v>-162983.76940376571</v>
          </cell>
          <cell r="BN1482">
            <v>-162983.76940376571</v>
          </cell>
          <cell r="BO1482">
            <v>-162983.76940376571</v>
          </cell>
          <cell r="BP1482">
            <v>-162983.76940376571</v>
          </cell>
          <cell r="BQ1482">
            <v>-162983.76940376571</v>
          </cell>
          <cell r="BR1482">
            <v>-162983.76940376571</v>
          </cell>
          <cell r="BS1482">
            <v>-162983.76940376571</v>
          </cell>
          <cell r="BT1482">
            <v>-162983.76940376571</v>
          </cell>
          <cell r="BU1482">
            <v>-162983.76940376571</v>
          </cell>
          <cell r="BV1482">
            <v>-162983.76940376571</v>
          </cell>
        </row>
        <row r="1483">
          <cell r="A1483" t="str">
            <v>MMA</v>
          </cell>
          <cell r="B1483" t="str">
            <v>RCHR</v>
          </cell>
          <cell r="D1483" t="str">
            <v>LTH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</row>
        <row r="1484">
          <cell r="A1484" t="str">
            <v>MMA</v>
          </cell>
          <cell r="B1484" t="str">
            <v>RCHR</v>
          </cell>
          <cell r="D1484" t="str">
            <v>PO</v>
          </cell>
          <cell r="Z1484">
            <v>100</v>
          </cell>
          <cell r="AA1484">
            <v>71</v>
          </cell>
          <cell r="AB1484">
            <v>66</v>
          </cell>
          <cell r="AC1484">
            <v>51</v>
          </cell>
          <cell r="AD1484">
            <v>32</v>
          </cell>
          <cell r="AE1484">
            <v>32</v>
          </cell>
          <cell r="AF1484">
            <v>8</v>
          </cell>
          <cell r="AG1484">
            <v>8</v>
          </cell>
          <cell r="AH1484">
            <v>8</v>
          </cell>
          <cell r="AI1484">
            <v>8</v>
          </cell>
          <cell r="AJ1484">
            <v>8</v>
          </cell>
          <cell r="AK1484">
            <v>8</v>
          </cell>
          <cell r="AL1484">
            <v>8</v>
          </cell>
          <cell r="AM1484">
            <v>8</v>
          </cell>
          <cell r="AN1484">
            <v>8</v>
          </cell>
          <cell r="AO1484">
            <v>8</v>
          </cell>
          <cell r="AP1484">
            <v>8</v>
          </cell>
          <cell r="AQ1484">
            <v>8</v>
          </cell>
          <cell r="AR1484">
            <v>8</v>
          </cell>
          <cell r="AS1484">
            <v>8</v>
          </cell>
          <cell r="AT1484">
            <v>8</v>
          </cell>
          <cell r="AU1484">
            <v>8</v>
          </cell>
          <cell r="AV1484">
            <v>8</v>
          </cell>
          <cell r="AW1484">
            <v>8</v>
          </cell>
          <cell r="AX1484">
            <v>8</v>
          </cell>
          <cell r="AY1484">
            <v>8</v>
          </cell>
          <cell r="AZ1484">
            <v>8</v>
          </cell>
          <cell r="BA1484">
            <v>8</v>
          </cell>
          <cell r="BB1484">
            <v>8</v>
          </cell>
          <cell r="BC1484">
            <v>8</v>
          </cell>
          <cell r="BD1484">
            <v>8</v>
          </cell>
          <cell r="BE1484">
            <v>8</v>
          </cell>
          <cell r="BF1484">
            <v>8</v>
          </cell>
          <cell r="BG1484">
            <v>8</v>
          </cell>
          <cell r="BH1484">
            <v>8</v>
          </cell>
          <cell r="BI1484">
            <v>8</v>
          </cell>
          <cell r="BJ1484">
            <v>8</v>
          </cell>
          <cell r="BK1484">
            <v>8</v>
          </cell>
          <cell r="BL1484">
            <v>8</v>
          </cell>
          <cell r="BM1484">
            <v>8</v>
          </cell>
          <cell r="BN1484">
            <v>8</v>
          </cell>
          <cell r="BO1484">
            <v>8</v>
          </cell>
          <cell r="BP1484">
            <v>8</v>
          </cell>
          <cell r="BQ1484">
            <v>8</v>
          </cell>
          <cell r="BR1484">
            <v>8</v>
          </cell>
          <cell r="BS1484">
            <v>8</v>
          </cell>
          <cell r="BT1484">
            <v>8</v>
          </cell>
          <cell r="BU1484">
            <v>8</v>
          </cell>
          <cell r="BV1484">
            <v>8</v>
          </cell>
        </row>
        <row r="1485">
          <cell r="A1485" t="str">
            <v>MMA</v>
          </cell>
          <cell r="B1485" t="str">
            <v>RCHR</v>
          </cell>
          <cell r="D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</row>
        <row r="1486">
          <cell r="A1486" t="str">
            <v>MMA</v>
          </cell>
          <cell r="B1486" t="str">
            <v>RCHR</v>
          </cell>
          <cell r="D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</row>
        <row r="1487">
          <cell r="A1487" t="str">
            <v>MMA</v>
          </cell>
          <cell r="B1487" t="str">
            <v>RCHR</v>
          </cell>
          <cell r="D1487" t="str">
            <v>STOCK</v>
          </cell>
          <cell r="Z1487">
            <v>2180</v>
          </cell>
          <cell r="AA1487">
            <v>4373.9097744360897</v>
          </cell>
          <cell r="AB1487">
            <v>4453.6992481202997</v>
          </cell>
          <cell r="AC1487">
            <v>4443.3684210526299</v>
          </cell>
          <cell r="AD1487">
            <v>3257.0977443609004</v>
          </cell>
          <cell r="AE1487">
            <v>3740.5263157894719</v>
          </cell>
          <cell r="AF1487">
            <v>3645.8345864661637</v>
          </cell>
          <cell r="AG1487">
            <v>4479.0225563909753</v>
          </cell>
          <cell r="AH1487">
            <v>3051.0902255639066</v>
          </cell>
          <cell r="AI1487">
            <v>2930.2781954887178</v>
          </cell>
          <cell r="AJ1487">
            <v>4858.4661654135289</v>
          </cell>
          <cell r="AK1487">
            <v>4277.6165413533781</v>
          </cell>
          <cell r="AL1487">
            <v>3612.7669172932274</v>
          </cell>
          <cell r="AM1487">
            <v>3653.9548872180385</v>
          </cell>
          <cell r="AN1487">
            <v>2305.1052631578877</v>
          </cell>
          <cell r="AO1487">
            <v>2553.2932330826989</v>
          </cell>
          <cell r="AP1487">
            <v>3011.48120300751</v>
          </cell>
          <cell r="AQ1487">
            <v>4003.6691729323211</v>
          </cell>
          <cell r="AR1487">
            <v>-10940.142857142868</v>
          </cell>
          <cell r="AS1487">
            <v>-5864.9548872180567</v>
          </cell>
          <cell r="AT1487">
            <v>-789.76691729324557</v>
          </cell>
          <cell r="AU1487">
            <v>4285.4210526315655</v>
          </cell>
          <cell r="AV1487">
            <v>9360.6090225563767</v>
          </cell>
          <cell r="AW1487">
            <v>-2334.2030075188122</v>
          </cell>
          <cell r="AX1487">
            <v>2740.9849624059989</v>
          </cell>
          <cell r="AY1487">
            <v>7816.17293233081</v>
          </cell>
          <cell r="AZ1487">
            <v>7816.17293233081</v>
          </cell>
          <cell r="BA1487">
            <v>2407.8298883977532</v>
          </cell>
          <cell r="BB1487">
            <v>2074.6748143895074</v>
          </cell>
          <cell r="BC1487">
            <v>1741.5197403812617</v>
          </cell>
          <cell r="BD1487">
            <v>1408.364666373016</v>
          </cell>
          <cell r="BE1487">
            <v>1075.2095923647703</v>
          </cell>
          <cell r="BF1487">
            <v>743.49663248949128</v>
          </cell>
          <cell r="BG1487">
            <v>411.78367261421226</v>
          </cell>
          <cell r="BH1487">
            <v>80.070712738933253</v>
          </cell>
          <cell r="BI1487">
            <v>-251.64224713634576</v>
          </cell>
          <cell r="BJ1487">
            <v>2120.0952578884203</v>
          </cell>
          <cell r="BK1487">
            <v>8210.3208217981937</v>
          </cell>
          <cell r="BL1487">
            <v>-161214.22301805776</v>
          </cell>
          <cell r="BM1487">
            <v>-155123.99745414799</v>
          </cell>
          <cell r="BN1487">
            <v>-149033.77189023822</v>
          </cell>
          <cell r="BO1487">
            <v>-142943.54632632845</v>
          </cell>
          <cell r="BP1487">
            <v>-136853.32076241868</v>
          </cell>
          <cell r="BQ1487">
            <v>-129545.05008572695</v>
          </cell>
          <cell r="BR1487">
            <v>-122236.77940903523</v>
          </cell>
          <cell r="BS1487">
            <v>-114928.5087323435</v>
          </cell>
          <cell r="BT1487">
            <v>-107620.23805565177</v>
          </cell>
          <cell r="BU1487">
            <v>-100311.96737896005</v>
          </cell>
          <cell r="BV1487">
            <v>-93003.696702268324</v>
          </cell>
        </row>
        <row r="1488">
          <cell r="A1488" t="str">
            <v>Blank</v>
          </cell>
          <cell r="B1488" t="str">
            <v>Blank</v>
          </cell>
          <cell r="D1488" t="str">
            <v>Blank</v>
          </cell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</row>
        <row r="1489">
          <cell r="A1489" t="str">
            <v>MMA</v>
          </cell>
          <cell r="B1489" t="str">
            <v>RCHR</v>
          </cell>
          <cell r="D1489" t="str">
            <v>Work days</v>
          </cell>
          <cell r="Z1489">
            <v>4</v>
          </cell>
          <cell r="AA1489">
            <v>5</v>
          </cell>
          <cell r="AB1489">
            <v>5</v>
          </cell>
          <cell r="AC1489">
            <v>5</v>
          </cell>
          <cell r="AD1489">
            <v>3</v>
          </cell>
          <cell r="AE1489">
            <v>5</v>
          </cell>
          <cell r="AF1489">
            <v>5</v>
          </cell>
          <cell r="AG1489">
            <v>5</v>
          </cell>
          <cell r="AH1489">
            <v>5</v>
          </cell>
          <cell r="AI1489">
            <v>5</v>
          </cell>
          <cell r="AJ1489">
            <v>5</v>
          </cell>
          <cell r="AK1489">
            <v>4</v>
          </cell>
          <cell r="AL1489">
            <v>4</v>
          </cell>
          <cell r="AM1489">
            <v>5</v>
          </cell>
          <cell r="AN1489">
            <v>4</v>
          </cell>
          <cell r="AO1489">
            <v>5</v>
          </cell>
          <cell r="AP1489">
            <v>5</v>
          </cell>
          <cell r="AQ1489">
            <v>5</v>
          </cell>
          <cell r="AR1489">
            <v>5</v>
          </cell>
          <cell r="AS1489">
            <v>5</v>
          </cell>
          <cell r="AT1489">
            <v>5</v>
          </cell>
          <cell r="AU1489">
            <v>5</v>
          </cell>
          <cell r="AV1489">
            <v>5</v>
          </cell>
          <cell r="AW1489">
            <v>5</v>
          </cell>
          <cell r="AX1489">
            <v>5</v>
          </cell>
          <cell r="AY1489">
            <v>5</v>
          </cell>
          <cell r="AZ1489">
            <v>0</v>
          </cell>
          <cell r="BA1489">
            <v>0</v>
          </cell>
          <cell r="BB1489">
            <v>5</v>
          </cell>
          <cell r="BC1489">
            <v>5</v>
          </cell>
          <cell r="BD1489">
            <v>5</v>
          </cell>
          <cell r="BE1489">
            <v>5</v>
          </cell>
          <cell r="BF1489">
            <v>5</v>
          </cell>
          <cell r="BG1489">
            <v>5</v>
          </cell>
          <cell r="BH1489">
            <v>5</v>
          </cell>
          <cell r="BI1489">
            <v>5</v>
          </cell>
          <cell r="BJ1489">
            <v>5</v>
          </cell>
          <cell r="BK1489">
            <v>5</v>
          </cell>
          <cell r="BL1489">
            <v>5</v>
          </cell>
          <cell r="BM1489">
            <v>5</v>
          </cell>
          <cell r="BN1489">
            <v>5</v>
          </cell>
          <cell r="BO1489">
            <v>5</v>
          </cell>
          <cell r="BP1489">
            <v>5</v>
          </cell>
          <cell r="BQ1489">
            <v>18</v>
          </cell>
          <cell r="BR1489">
            <v>18</v>
          </cell>
          <cell r="BS1489">
            <v>18</v>
          </cell>
          <cell r="BT1489">
            <v>18</v>
          </cell>
          <cell r="BU1489">
            <v>18</v>
          </cell>
          <cell r="BV1489">
            <v>18</v>
          </cell>
        </row>
        <row r="1490">
          <cell r="A1490" t="str">
            <v>MMA</v>
          </cell>
          <cell r="B1490" t="str">
            <v>RCHR</v>
          </cell>
          <cell r="D1490" t="str">
            <v>SHIFT A HC - operators</v>
          </cell>
          <cell r="Z1490">
            <v>10</v>
          </cell>
          <cell r="AA1490">
            <v>10</v>
          </cell>
          <cell r="AB1490">
            <v>10</v>
          </cell>
          <cell r="AC1490">
            <v>10</v>
          </cell>
          <cell r="AD1490">
            <v>10</v>
          </cell>
          <cell r="AE1490">
            <v>11</v>
          </cell>
          <cell r="AF1490">
            <v>11</v>
          </cell>
          <cell r="AG1490">
            <v>11</v>
          </cell>
          <cell r="AH1490">
            <v>11</v>
          </cell>
          <cell r="AI1490">
            <v>11</v>
          </cell>
          <cell r="AJ1490">
            <v>11</v>
          </cell>
          <cell r="AK1490">
            <v>10</v>
          </cell>
          <cell r="AL1490">
            <v>10</v>
          </cell>
          <cell r="AM1490">
            <v>10</v>
          </cell>
          <cell r="AN1490">
            <v>10</v>
          </cell>
          <cell r="AO1490">
            <v>10</v>
          </cell>
          <cell r="AP1490">
            <v>10</v>
          </cell>
          <cell r="AQ1490">
            <v>10</v>
          </cell>
          <cell r="AR1490">
            <v>10</v>
          </cell>
          <cell r="AS1490">
            <v>10</v>
          </cell>
          <cell r="AT1490">
            <v>10</v>
          </cell>
          <cell r="AU1490">
            <v>10</v>
          </cell>
          <cell r="AV1490">
            <v>10</v>
          </cell>
          <cell r="AW1490">
            <v>10</v>
          </cell>
          <cell r="AX1490">
            <v>10</v>
          </cell>
          <cell r="AY1490">
            <v>10</v>
          </cell>
          <cell r="AZ1490">
            <v>10</v>
          </cell>
          <cell r="BA1490">
            <v>10</v>
          </cell>
          <cell r="BB1490">
            <v>10</v>
          </cell>
          <cell r="BC1490">
            <v>10</v>
          </cell>
          <cell r="BD1490">
            <v>10</v>
          </cell>
          <cell r="BE1490">
            <v>10</v>
          </cell>
          <cell r="BF1490">
            <v>10</v>
          </cell>
          <cell r="BG1490">
            <v>10</v>
          </cell>
          <cell r="BH1490">
            <v>10</v>
          </cell>
          <cell r="BI1490">
            <v>10</v>
          </cell>
          <cell r="BJ1490">
            <v>10</v>
          </cell>
          <cell r="BK1490">
            <v>18</v>
          </cell>
          <cell r="BL1490">
            <v>18</v>
          </cell>
          <cell r="BM1490">
            <v>18</v>
          </cell>
          <cell r="BN1490">
            <v>18</v>
          </cell>
          <cell r="BO1490">
            <v>18</v>
          </cell>
          <cell r="BP1490">
            <v>18</v>
          </cell>
          <cell r="BQ1490">
            <v>18</v>
          </cell>
          <cell r="BR1490">
            <v>18</v>
          </cell>
          <cell r="BS1490">
            <v>18</v>
          </cell>
          <cell r="BT1490">
            <v>18</v>
          </cell>
          <cell r="BU1490">
            <v>18</v>
          </cell>
          <cell r="BV1490">
            <v>18</v>
          </cell>
        </row>
        <row r="1491">
          <cell r="A1491" t="str">
            <v>MMA</v>
          </cell>
          <cell r="B1491" t="str">
            <v>RCHR</v>
          </cell>
          <cell r="D1491" t="str">
            <v>SHIFT B HC  - operators</v>
          </cell>
          <cell r="Z1491">
            <v>10</v>
          </cell>
          <cell r="AA1491">
            <v>10</v>
          </cell>
          <cell r="AB1491">
            <v>10</v>
          </cell>
          <cell r="AC1491">
            <v>10</v>
          </cell>
          <cell r="AD1491">
            <v>10</v>
          </cell>
          <cell r="AE1491">
            <v>11</v>
          </cell>
          <cell r="AF1491">
            <v>11</v>
          </cell>
          <cell r="AG1491">
            <v>11</v>
          </cell>
          <cell r="AH1491">
            <v>11</v>
          </cell>
          <cell r="AI1491">
            <v>11</v>
          </cell>
          <cell r="AJ1491">
            <v>11</v>
          </cell>
          <cell r="AK1491">
            <v>10</v>
          </cell>
          <cell r="AL1491">
            <v>10</v>
          </cell>
          <cell r="AM1491">
            <v>10</v>
          </cell>
          <cell r="AN1491">
            <v>10</v>
          </cell>
          <cell r="AO1491">
            <v>10</v>
          </cell>
          <cell r="AP1491">
            <v>10</v>
          </cell>
          <cell r="AQ1491">
            <v>10</v>
          </cell>
          <cell r="AR1491">
            <v>10</v>
          </cell>
          <cell r="AS1491">
            <v>10</v>
          </cell>
          <cell r="AT1491">
            <v>10</v>
          </cell>
          <cell r="AU1491">
            <v>10</v>
          </cell>
          <cell r="AV1491">
            <v>10</v>
          </cell>
          <cell r="AW1491">
            <v>10</v>
          </cell>
          <cell r="AX1491">
            <v>10</v>
          </cell>
          <cell r="AY1491">
            <v>10</v>
          </cell>
          <cell r="AZ1491">
            <v>10</v>
          </cell>
          <cell r="BA1491">
            <v>10</v>
          </cell>
          <cell r="BB1491">
            <v>10</v>
          </cell>
          <cell r="BC1491">
            <v>10</v>
          </cell>
          <cell r="BD1491">
            <v>10</v>
          </cell>
          <cell r="BE1491">
            <v>10</v>
          </cell>
          <cell r="BF1491">
            <v>10</v>
          </cell>
          <cell r="BG1491">
            <v>10</v>
          </cell>
          <cell r="BH1491">
            <v>10</v>
          </cell>
          <cell r="BI1491">
            <v>10</v>
          </cell>
          <cell r="BJ1491">
            <v>10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</row>
        <row r="1492">
          <cell r="A1492" t="str">
            <v>MMA</v>
          </cell>
          <cell r="B1492" t="str">
            <v>RCHR</v>
          </cell>
          <cell r="D1492" t="str">
            <v>SHIFT C HC  - operators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</row>
        <row r="1493">
          <cell r="A1493" t="str">
            <v>MMA</v>
          </cell>
          <cell r="B1493" t="str">
            <v>RCHR</v>
          </cell>
          <cell r="D1493" t="str">
            <v>Total HC</v>
          </cell>
          <cell r="Z1493">
            <v>20</v>
          </cell>
          <cell r="AA1493">
            <v>20</v>
          </cell>
          <cell r="AB1493">
            <v>20</v>
          </cell>
          <cell r="AC1493">
            <v>20</v>
          </cell>
          <cell r="AD1493">
            <v>20</v>
          </cell>
          <cell r="AE1493">
            <v>22</v>
          </cell>
          <cell r="AF1493">
            <v>22</v>
          </cell>
          <cell r="AG1493">
            <v>22</v>
          </cell>
          <cell r="AH1493">
            <v>22</v>
          </cell>
          <cell r="AI1493">
            <v>22</v>
          </cell>
          <cell r="AJ1493">
            <v>22</v>
          </cell>
          <cell r="AK1493">
            <v>20</v>
          </cell>
          <cell r="AL1493">
            <v>20</v>
          </cell>
          <cell r="AM1493">
            <v>20</v>
          </cell>
          <cell r="AN1493">
            <v>20</v>
          </cell>
          <cell r="AO1493">
            <v>20</v>
          </cell>
          <cell r="AP1493">
            <v>20</v>
          </cell>
          <cell r="AQ1493">
            <v>20</v>
          </cell>
          <cell r="AR1493">
            <v>20</v>
          </cell>
          <cell r="AS1493">
            <v>20</v>
          </cell>
          <cell r="AT1493">
            <v>20</v>
          </cell>
          <cell r="AU1493">
            <v>20</v>
          </cell>
          <cell r="AV1493">
            <v>20</v>
          </cell>
          <cell r="AW1493">
            <v>20</v>
          </cell>
          <cell r="AX1493">
            <v>20</v>
          </cell>
          <cell r="AY1493">
            <v>20</v>
          </cell>
          <cell r="AZ1493">
            <v>20</v>
          </cell>
          <cell r="BA1493">
            <v>20</v>
          </cell>
          <cell r="BB1493">
            <v>20</v>
          </cell>
          <cell r="BC1493">
            <v>20</v>
          </cell>
          <cell r="BD1493">
            <v>20</v>
          </cell>
          <cell r="BE1493">
            <v>20</v>
          </cell>
          <cell r="BF1493">
            <v>20</v>
          </cell>
          <cell r="BG1493">
            <v>20</v>
          </cell>
          <cell r="BH1493">
            <v>20</v>
          </cell>
          <cell r="BI1493">
            <v>20</v>
          </cell>
          <cell r="BJ1493">
            <v>20</v>
          </cell>
          <cell r="BK1493">
            <v>18</v>
          </cell>
          <cell r="BL1493">
            <v>18</v>
          </cell>
          <cell r="BM1493">
            <v>18</v>
          </cell>
          <cell r="BN1493">
            <v>18</v>
          </cell>
          <cell r="BO1493">
            <v>18</v>
          </cell>
          <cell r="BP1493">
            <v>18</v>
          </cell>
          <cell r="BQ1493">
            <v>18</v>
          </cell>
          <cell r="BR1493">
            <v>18</v>
          </cell>
          <cell r="BS1493">
            <v>18</v>
          </cell>
          <cell r="BT1493">
            <v>18</v>
          </cell>
          <cell r="BU1493">
            <v>18</v>
          </cell>
          <cell r="BV1493">
            <v>18</v>
          </cell>
        </row>
        <row r="1494">
          <cell r="A1494" t="str">
            <v>MMA</v>
          </cell>
          <cell r="B1494" t="str">
            <v>RCHR</v>
          </cell>
          <cell r="D1494" t="str">
            <v>SHIFT A HC  - efficiency</v>
          </cell>
          <cell r="Z1494">
            <v>0.85000000000000009</v>
          </cell>
          <cell r="AA1494">
            <v>0.90000000000000013</v>
          </cell>
          <cell r="AB1494">
            <v>0.95000000000000018</v>
          </cell>
          <cell r="AC1494">
            <v>1</v>
          </cell>
          <cell r="AD1494">
            <v>1</v>
          </cell>
          <cell r="AE1494">
            <v>1</v>
          </cell>
          <cell r="AF1494">
            <v>1</v>
          </cell>
          <cell r="AG1494">
            <v>1</v>
          </cell>
          <cell r="AH1494">
            <v>1</v>
          </cell>
          <cell r="AI1494">
            <v>1</v>
          </cell>
          <cell r="AJ1494">
            <v>1</v>
          </cell>
          <cell r="AK1494">
            <v>1</v>
          </cell>
          <cell r="AL1494">
            <v>1</v>
          </cell>
          <cell r="AM1494">
            <v>1</v>
          </cell>
          <cell r="AN1494">
            <v>1</v>
          </cell>
          <cell r="AO1494">
            <v>1</v>
          </cell>
          <cell r="AP1494">
            <v>1</v>
          </cell>
          <cell r="AQ1494">
            <v>1</v>
          </cell>
          <cell r="AR1494">
            <v>1</v>
          </cell>
          <cell r="AS1494">
            <v>1</v>
          </cell>
          <cell r="AT1494">
            <v>1</v>
          </cell>
          <cell r="AU1494">
            <v>1</v>
          </cell>
          <cell r="AV1494">
            <v>1</v>
          </cell>
          <cell r="AW1494">
            <v>1</v>
          </cell>
          <cell r="AX1494">
            <v>1</v>
          </cell>
          <cell r="AY1494">
            <v>1</v>
          </cell>
          <cell r="AZ1494">
            <v>1</v>
          </cell>
          <cell r="BA1494">
            <v>1</v>
          </cell>
          <cell r="BB1494">
            <v>1</v>
          </cell>
          <cell r="BC1494">
            <v>1</v>
          </cell>
          <cell r="BD1494">
            <v>1</v>
          </cell>
          <cell r="BE1494">
            <v>1</v>
          </cell>
          <cell r="BF1494">
            <v>1</v>
          </cell>
          <cell r="BG1494">
            <v>1</v>
          </cell>
          <cell r="BH1494">
            <v>1</v>
          </cell>
          <cell r="BI1494">
            <v>1</v>
          </cell>
          <cell r="BJ1494">
            <v>1</v>
          </cell>
          <cell r="BK1494">
            <v>1.2</v>
          </cell>
          <cell r="BL1494">
            <v>1.2</v>
          </cell>
          <cell r="BM1494">
            <v>1.2</v>
          </cell>
          <cell r="BN1494">
            <v>1.2</v>
          </cell>
          <cell r="BO1494">
            <v>1.2</v>
          </cell>
          <cell r="BP1494">
            <v>1.2</v>
          </cell>
          <cell r="BQ1494">
            <v>1.2</v>
          </cell>
          <cell r="BR1494">
            <v>1.2</v>
          </cell>
          <cell r="BS1494">
            <v>1.2</v>
          </cell>
          <cell r="BT1494">
            <v>1.2</v>
          </cell>
          <cell r="BU1494">
            <v>1.2</v>
          </cell>
          <cell r="BV1494">
            <v>1.2</v>
          </cell>
        </row>
        <row r="1495">
          <cell r="A1495" t="str">
            <v>MMA</v>
          </cell>
          <cell r="B1495" t="str">
            <v>RCHR</v>
          </cell>
          <cell r="D1495" t="str">
            <v>SHIFT B HC  - efficiency</v>
          </cell>
          <cell r="Z1495">
            <v>0.62</v>
          </cell>
          <cell r="AA1495">
            <v>0.64</v>
          </cell>
          <cell r="AB1495">
            <v>0.66</v>
          </cell>
          <cell r="AC1495">
            <v>0.68</v>
          </cell>
          <cell r="AD1495">
            <v>0.70000000000000007</v>
          </cell>
          <cell r="AE1495">
            <v>0.72000000000000008</v>
          </cell>
          <cell r="AF1495">
            <v>0.7400000000000001</v>
          </cell>
          <cell r="AG1495">
            <v>0.76000000000000012</v>
          </cell>
          <cell r="AH1495">
            <v>0.78000000000000014</v>
          </cell>
          <cell r="AI1495">
            <v>0.80000000000000016</v>
          </cell>
          <cell r="AJ1495">
            <v>0.82000000000000017</v>
          </cell>
          <cell r="AK1495">
            <v>0.84000000000000019</v>
          </cell>
          <cell r="AL1495">
            <v>0.86000000000000021</v>
          </cell>
          <cell r="AM1495">
            <v>0.88000000000000023</v>
          </cell>
          <cell r="AN1495">
            <v>0.90000000000000024</v>
          </cell>
          <cell r="AO1495">
            <v>0.92000000000000026</v>
          </cell>
          <cell r="AP1495">
            <v>0.94000000000000028</v>
          </cell>
          <cell r="AQ1495">
            <v>0.9600000000000003</v>
          </cell>
          <cell r="AR1495">
            <v>1</v>
          </cell>
          <cell r="AS1495">
            <v>1</v>
          </cell>
          <cell r="AT1495">
            <v>1</v>
          </cell>
          <cell r="AU1495">
            <v>1</v>
          </cell>
          <cell r="AV1495">
            <v>1</v>
          </cell>
          <cell r="AW1495">
            <v>1</v>
          </cell>
          <cell r="AX1495">
            <v>1</v>
          </cell>
          <cell r="AY1495">
            <v>1</v>
          </cell>
          <cell r="AZ1495">
            <v>1</v>
          </cell>
          <cell r="BA1495">
            <v>1</v>
          </cell>
          <cell r="BB1495">
            <v>1</v>
          </cell>
          <cell r="BC1495">
            <v>1</v>
          </cell>
          <cell r="BD1495">
            <v>1</v>
          </cell>
          <cell r="BE1495">
            <v>1</v>
          </cell>
          <cell r="BF1495">
            <v>1</v>
          </cell>
          <cell r="BG1495">
            <v>1</v>
          </cell>
          <cell r="BH1495">
            <v>1</v>
          </cell>
          <cell r="BI1495">
            <v>1</v>
          </cell>
          <cell r="BJ1495">
            <v>1</v>
          </cell>
          <cell r="BK1495">
            <v>1</v>
          </cell>
          <cell r="BL1495">
            <v>1</v>
          </cell>
          <cell r="BM1495">
            <v>1</v>
          </cell>
          <cell r="BN1495">
            <v>1</v>
          </cell>
          <cell r="BO1495">
            <v>1</v>
          </cell>
          <cell r="BP1495">
            <v>1</v>
          </cell>
          <cell r="BQ1495">
            <v>1</v>
          </cell>
          <cell r="BR1495">
            <v>1</v>
          </cell>
          <cell r="BS1495">
            <v>1</v>
          </cell>
          <cell r="BT1495">
            <v>1</v>
          </cell>
          <cell r="BU1495">
            <v>1</v>
          </cell>
          <cell r="BV1495">
            <v>1</v>
          </cell>
        </row>
        <row r="1496">
          <cell r="A1496" t="str">
            <v>MMA</v>
          </cell>
          <cell r="B1496" t="str">
            <v>RCHR</v>
          </cell>
          <cell r="D1496" t="str">
            <v>SHIFT C HC  - efficiency</v>
          </cell>
          <cell r="Z1496">
            <v>1</v>
          </cell>
          <cell r="AA1496">
            <v>1</v>
          </cell>
          <cell r="AB1496">
            <v>1</v>
          </cell>
          <cell r="AC1496">
            <v>1</v>
          </cell>
          <cell r="AD1496">
            <v>1</v>
          </cell>
          <cell r="AE1496">
            <v>1</v>
          </cell>
          <cell r="AF1496">
            <v>1</v>
          </cell>
          <cell r="AG1496">
            <v>1</v>
          </cell>
          <cell r="AH1496">
            <v>1</v>
          </cell>
          <cell r="AI1496">
            <v>1</v>
          </cell>
          <cell r="AJ1496">
            <v>1</v>
          </cell>
          <cell r="AK1496">
            <v>1</v>
          </cell>
          <cell r="AL1496">
            <v>1</v>
          </cell>
          <cell r="AM1496">
            <v>1</v>
          </cell>
          <cell r="AN1496">
            <v>1</v>
          </cell>
          <cell r="AO1496">
            <v>1</v>
          </cell>
          <cell r="AP1496">
            <v>1</v>
          </cell>
          <cell r="AQ1496">
            <v>1</v>
          </cell>
          <cell r="AR1496">
            <v>1</v>
          </cell>
          <cell r="AS1496">
            <v>1</v>
          </cell>
          <cell r="AT1496">
            <v>1</v>
          </cell>
          <cell r="AU1496">
            <v>1</v>
          </cell>
          <cell r="AV1496">
            <v>1</v>
          </cell>
          <cell r="AW1496">
            <v>1</v>
          </cell>
          <cell r="AX1496">
            <v>1</v>
          </cell>
          <cell r="AY1496">
            <v>1</v>
          </cell>
          <cell r="AZ1496">
            <v>1</v>
          </cell>
          <cell r="BA1496">
            <v>1</v>
          </cell>
          <cell r="BB1496">
            <v>1</v>
          </cell>
          <cell r="BC1496">
            <v>1</v>
          </cell>
          <cell r="BD1496">
            <v>1</v>
          </cell>
          <cell r="BE1496">
            <v>1</v>
          </cell>
          <cell r="BF1496">
            <v>1</v>
          </cell>
          <cell r="BG1496">
            <v>1</v>
          </cell>
          <cell r="BH1496">
            <v>1</v>
          </cell>
          <cell r="BI1496">
            <v>1</v>
          </cell>
          <cell r="BJ1496">
            <v>1</v>
          </cell>
          <cell r="BK1496">
            <v>1</v>
          </cell>
          <cell r="BL1496">
            <v>1</v>
          </cell>
          <cell r="BM1496">
            <v>1</v>
          </cell>
          <cell r="BN1496">
            <v>1</v>
          </cell>
          <cell r="BO1496">
            <v>1</v>
          </cell>
          <cell r="BP1496">
            <v>1</v>
          </cell>
          <cell r="BQ1496">
            <v>1</v>
          </cell>
          <cell r="BR1496">
            <v>1</v>
          </cell>
          <cell r="BS1496">
            <v>1</v>
          </cell>
          <cell r="BT1496">
            <v>1</v>
          </cell>
          <cell r="BU1496">
            <v>1</v>
          </cell>
          <cell r="BV1496">
            <v>1</v>
          </cell>
        </row>
        <row r="1497">
          <cell r="A1497" t="str">
            <v>MMA</v>
          </cell>
          <cell r="B1497" t="str">
            <v>RCHR</v>
          </cell>
          <cell r="D1497" t="str">
            <v>Total efficiency</v>
          </cell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</row>
        <row r="1498">
          <cell r="A1498" t="str">
            <v>MMA</v>
          </cell>
          <cell r="B1498" t="str">
            <v>RCHR</v>
          </cell>
          <cell r="D1498" t="str">
            <v>SHIFT A - output</v>
          </cell>
          <cell r="Z1498">
            <v>450</v>
          </cell>
          <cell r="AA1498">
            <v>476.47058823529414</v>
          </cell>
          <cell r="AB1498">
            <v>502.94117647058829</v>
          </cell>
          <cell r="AC1498">
            <v>529.41176470588232</v>
          </cell>
          <cell r="AD1498">
            <v>529.41176470588232</v>
          </cell>
          <cell r="AE1498">
            <v>582.35294117647049</v>
          </cell>
          <cell r="AF1498">
            <v>582.35294117647049</v>
          </cell>
          <cell r="AG1498">
            <v>582.35294117647049</v>
          </cell>
          <cell r="AH1498">
            <v>582.35294117647049</v>
          </cell>
          <cell r="AI1498">
            <v>582.35294117647049</v>
          </cell>
          <cell r="AJ1498">
            <v>582.35294117647049</v>
          </cell>
          <cell r="AK1498">
            <v>529.41176470588232</v>
          </cell>
          <cell r="AL1498">
            <v>529.41176470588232</v>
          </cell>
          <cell r="AM1498">
            <v>529.41176470588232</v>
          </cell>
          <cell r="AN1498">
            <v>529.41176470588232</v>
          </cell>
          <cell r="AO1498">
            <v>529.41176470588232</v>
          </cell>
          <cell r="AP1498">
            <v>529.41176470588232</v>
          </cell>
          <cell r="AQ1498">
            <v>529.41176470588232</v>
          </cell>
          <cell r="AR1498">
            <v>529.41176470588232</v>
          </cell>
          <cell r="AS1498">
            <v>529.41176470588232</v>
          </cell>
          <cell r="AT1498">
            <v>529.41176470588232</v>
          </cell>
          <cell r="AU1498">
            <v>529.41176470588232</v>
          </cell>
          <cell r="AV1498">
            <v>529.41176470588232</v>
          </cell>
          <cell r="AW1498">
            <v>529.41176470588232</v>
          </cell>
          <cell r="AX1498">
            <v>529.41176470588232</v>
          </cell>
          <cell r="AY1498">
            <v>529.41176470588232</v>
          </cell>
          <cell r="AZ1498">
            <v>529.41176470588232</v>
          </cell>
          <cell r="BA1498">
            <v>529.41176470588232</v>
          </cell>
          <cell r="BB1498">
            <v>529.41176470588232</v>
          </cell>
          <cell r="BC1498">
            <v>529.41176470588232</v>
          </cell>
          <cell r="BD1498">
            <v>529.41176470588232</v>
          </cell>
          <cell r="BE1498">
            <v>529.41176470588232</v>
          </cell>
          <cell r="BF1498">
            <v>529.41176470588232</v>
          </cell>
          <cell r="BG1498">
            <v>529.41176470588232</v>
          </cell>
          <cell r="BH1498">
            <v>529.41176470588232</v>
          </cell>
          <cell r="BI1498">
            <v>529.41176470588232</v>
          </cell>
          <cell r="BJ1498">
            <v>529.41176470588232</v>
          </cell>
          <cell r="BK1498">
            <v>1143.5294117647059</v>
          </cell>
          <cell r="BL1498">
            <v>1143.5294117647059</v>
          </cell>
          <cell r="BM1498">
            <v>1143.5294117647059</v>
          </cell>
          <cell r="BN1498">
            <v>1143.5294117647059</v>
          </cell>
          <cell r="BO1498">
            <v>1143.5294117647059</v>
          </cell>
          <cell r="BP1498">
            <v>1143.5294117647059</v>
          </cell>
          <cell r="BQ1498">
            <v>1143.5294117647059</v>
          </cell>
          <cell r="BR1498">
            <v>1143.5294117647059</v>
          </cell>
          <cell r="BS1498">
            <v>1143.5294117647059</v>
          </cell>
          <cell r="BT1498">
            <v>1143.5294117647059</v>
          </cell>
          <cell r="BU1498">
            <v>1143.5294117647059</v>
          </cell>
          <cell r="BV1498">
            <v>1143.5294117647059</v>
          </cell>
        </row>
        <row r="1499">
          <cell r="A1499" t="str">
            <v>MMA</v>
          </cell>
          <cell r="B1499" t="str">
            <v>RCHR</v>
          </cell>
          <cell r="D1499" t="str">
            <v>SHIFT B  - output</v>
          </cell>
          <cell r="Z1499">
            <v>328.23529411764702</v>
          </cell>
          <cell r="AA1499">
            <v>338.8235294117647</v>
          </cell>
          <cell r="AB1499">
            <v>349.41176470588232</v>
          </cell>
          <cell r="AC1499">
            <v>360</v>
          </cell>
          <cell r="AD1499">
            <v>370.58823529411768</v>
          </cell>
          <cell r="AE1499">
            <v>419.29411764705878</v>
          </cell>
          <cell r="AF1499">
            <v>430.94117647058823</v>
          </cell>
          <cell r="AG1499">
            <v>442.58823529411762</v>
          </cell>
          <cell r="AH1499">
            <v>454.23529411764707</v>
          </cell>
          <cell r="AI1499">
            <v>465.88235294117646</v>
          </cell>
          <cell r="AJ1499">
            <v>477.52941176470591</v>
          </cell>
          <cell r="AK1499">
            <v>444.70588235294127</v>
          </cell>
          <cell r="AL1499">
            <v>455.2941176470589</v>
          </cell>
          <cell r="AM1499">
            <v>465.88235294117658</v>
          </cell>
          <cell r="AN1499">
            <v>476.4705882352942</v>
          </cell>
          <cell r="AO1499">
            <v>487.05882352941188</v>
          </cell>
          <cell r="AP1499">
            <v>497.64705882352951</v>
          </cell>
          <cell r="AQ1499">
            <v>508.23529411764719</v>
          </cell>
          <cell r="AR1499">
            <v>529.41176470588232</v>
          </cell>
          <cell r="AS1499">
            <v>529.41176470588232</v>
          </cell>
          <cell r="AT1499">
            <v>529.41176470588232</v>
          </cell>
          <cell r="AU1499">
            <v>529.41176470588232</v>
          </cell>
          <cell r="AV1499">
            <v>529.41176470588232</v>
          </cell>
          <cell r="AW1499">
            <v>529.41176470588232</v>
          </cell>
          <cell r="AX1499">
            <v>529.41176470588232</v>
          </cell>
          <cell r="AY1499">
            <v>529.41176470588232</v>
          </cell>
          <cell r="AZ1499">
            <v>529.41176470588232</v>
          </cell>
          <cell r="BA1499">
            <v>529.41176470588232</v>
          </cell>
          <cell r="BB1499">
            <v>529.41176470588232</v>
          </cell>
          <cell r="BC1499">
            <v>529.41176470588232</v>
          </cell>
          <cell r="BD1499">
            <v>529.41176470588232</v>
          </cell>
          <cell r="BE1499">
            <v>529.41176470588232</v>
          </cell>
          <cell r="BF1499">
            <v>529.41176470588232</v>
          </cell>
          <cell r="BG1499">
            <v>529.41176470588232</v>
          </cell>
          <cell r="BH1499">
            <v>529.41176470588232</v>
          </cell>
          <cell r="BI1499">
            <v>529.41176470588232</v>
          </cell>
          <cell r="BJ1499">
            <v>529.41176470588232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</row>
        <row r="1500">
          <cell r="A1500" t="str">
            <v>MMA</v>
          </cell>
          <cell r="B1500" t="str">
            <v>RCHR</v>
          </cell>
          <cell r="D1500" t="str">
            <v>SHIFT C  - output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</row>
        <row r="1501">
          <cell r="A1501" t="str">
            <v>MMA</v>
          </cell>
          <cell r="B1501" t="str">
            <v>RCHR</v>
          </cell>
          <cell r="D1501" t="str">
            <v>Est. Output (Pcs day)</v>
          </cell>
          <cell r="E1501">
            <v>8.5</v>
          </cell>
          <cell r="Z1501">
            <v>778.23529411764707</v>
          </cell>
          <cell r="AA1501">
            <v>815.29411764705878</v>
          </cell>
          <cell r="AB1501">
            <v>852.35294117647061</v>
          </cell>
          <cell r="AC1501">
            <v>889.41176470588232</v>
          </cell>
          <cell r="AD1501">
            <v>900</v>
          </cell>
          <cell r="AE1501">
            <v>1001.6470588235293</v>
          </cell>
          <cell r="AF1501">
            <v>1013.2941176470588</v>
          </cell>
          <cell r="AG1501">
            <v>1024.9411764705881</v>
          </cell>
          <cell r="AH1501">
            <v>1036.5882352941176</v>
          </cell>
          <cell r="AI1501">
            <v>1048.2352941176468</v>
          </cell>
          <cell r="AJ1501">
            <v>1059.8823529411764</v>
          </cell>
          <cell r="AK1501">
            <v>974.11764705882365</v>
          </cell>
          <cell r="AL1501">
            <v>984.70588235294122</v>
          </cell>
          <cell r="AM1501">
            <v>995.2941176470589</v>
          </cell>
          <cell r="AN1501">
            <v>1005.8823529411766</v>
          </cell>
          <cell r="AO1501">
            <v>1016.4705882352941</v>
          </cell>
          <cell r="AP1501">
            <v>1027.0588235294117</v>
          </cell>
          <cell r="AQ1501">
            <v>1037.6470588235295</v>
          </cell>
          <cell r="AR1501">
            <v>1058.8235294117646</v>
          </cell>
          <cell r="AS1501">
            <v>1058.8235294117646</v>
          </cell>
          <cell r="AT1501">
            <v>1058.8235294117646</v>
          </cell>
          <cell r="AU1501">
            <v>1058.8235294117646</v>
          </cell>
          <cell r="AV1501">
            <v>1058.8235294117646</v>
          </cell>
          <cell r="AW1501">
            <v>1058.8235294117646</v>
          </cell>
          <cell r="AX1501">
            <v>1058.8235294117646</v>
          </cell>
          <cell r="AY1501">
            <v>1058.8235294117646</v>
          </cell>
          <cell r="AZ1501">
            <v>1058.8235294117646</v>
          </cell>
          <cell r="BA1501">
            <v>1058.8235294117646</v>
          </cell>
          <cell r="BB1501">
            <v>1058.8235294117646</v>
          </cell>
          <cell r="BC1501">
            <v>1058.8235294117646</v>
          </cell>
          <cell r="BD1501">
            <v>1058.8235294117646</v>
          </cell>
          <cell r="BE1501">
            <v>1058.8235294117646</v>
          </cell>
          <cell r="BF1501">
            <v>1058.8235294117646</v>
          </cell>
          <cell r="BG1501">
            <v>1058.8235294117646</v>
          </cell>
          <cell r="BH1501">
            <v>1058.8235294117646</v>
          </cell>
          <cell r="BI1501">
            <v>1058.8235294117646</v>
          </cell>
          <cell r="BJ1501">
            <v>1058.8235294117646</v>
          </cell>
          <cell r="BK1501">
            <v>1143.5294117647059</v>
          </cell>
          <cell r="BL1501">
            <v>1143.5294117647059</v>
          </cell>
          <cell r="BM1501">
            <v>1143.5294117647059</v>
          </cell>
          <cell r="BN1501">
            <v>1143.5294117647059</v>
          </cell>
          <cell r="BO1501">
            <v>1143.5294117647059</v>
          </cell>
          <cell r="BP1501">
            <v>1143.5294117647059</v>
          </cell>
          <cell r="BQ1501">
            <v>1143.5294117647059</v>
          </cell>
          <cell r="BR1501">
            <v>1143.5294117647059</v>
          </cell>
          <cell r="BS1501">
            <v>1143.5294117647059</v>
          </cell>
          <cell r="BT1501">
            <v>1143.5294117647059</v>
          </cell>
          <cell r="BU1501">
            <v>1143.5294117647059</v>
          </cell>
          <cell r="BV1501">
            <v>1143.5294117647059</v>
          </cell>
        </row>
        <row r="1502">
          <cell r="A1502" t="str">
            <v>MMA</v>
          </cell>
          <cell r="B1502" t="str">
            <v>RCHR</v>
          </cell>
          <cell r="D1502" t="str">
            <v>Weekly Output PLAN</v>
          </cell>
          <cell r="E1502" t="str">
            <v>SEW</v>
          </cell>
          <cell r="Z1502">
            <v>3112.9411764705883</v>
          </cell>
          <cell r="AA1502">
            <v>4076.4705882352937</v>
          </cell>
          <cell r="AB1502">
            <v>4261.7647058823532</v>
          </cell>
          <cell r="AC1502">
            <v>4447.0588235294117</v>
          </cell>
          <cell r="AD1502">
            <v>2700</v>
          </cell>
          <cell r="AE1502">
            <v>5008.2352941176468</v>
          </cell>
          <cell r="AF1502">
            <v>5066.4705882352937</v>
          </cell>
          <cell r="AG1502">
            <v>5124.7058823529405</v>
          </cell>
          <cell r="AH1502">
            <v>5182.9411764705874</v>
          </cell>
          <cell r="AI1502">
            <v>5241.1764705882342</v>
          </cell>
          <cell r="AJ1502">
            <v>5299.411764705882</v>
          </cell>
          <cell r="AK1502">
            <v>3896.4705882352946</v>
          </cell>
          <cell r="AL1502">
            <v>3938.8235294117649</v>
          </cell>
          <cell r="AM1502">
            <v>4976.4705882352946</v>
          </cell>
          <cell r="AN1502">
            <v>4023.5294117647063</v>
          </cell>
          <cell r="AO1502">
            <v>5082.3529411764703</v>
          </cell>
          <cell r="AP1502">
            <v>5135.2941176470586</v>
          </cell>
          <cell r="AQ1502">
            <v>5188.2352941176478</v>
          </cell>
          <cell r="AR1502">
            <v>5294.1176470588234</v>
          </cell>
          <cell r="AS1502">
            <v>5294.1176470588234</v>
          </cell>
          <cell r="AT1502">
            <v>5294.1176470588234</v>
          </cell>
          <cell r="AU1502">
            <v>5294.1176470588234</v>
          </cell>
          <cell r="AV1502">
            <v>5294.1176470588234</v>
          </cell>
          <cell r="AW1502">
            <v>5294.1176470588234</v>
          </cell>
          <cell r="AX1502">
            <v>5294.1176470588234</v>
          </cell>
          <cell r="AY1502">
            <v>5294.1176470588234</v>
          </cell>
          <cell r="AZ1502">
            <v>0</v>
          </cell>
          <cell r="BA1502">
            <v>0</v>
          </cell>
          <cell r="BB1502">
            <v>5294.1176470588234</v>
          </cell>
          <cell r="BC1502">
            <v>5294.1176470588234</v>
          </cell>
          <cell r="BD1502">
            <v>5294.1176470588234</v>
          </cell>
          <cell r="BE1502">
            <v>5294.1176470588234</v>
          </cell>
          <cell r="BF1502">
            <v>5294.1176470588234</v>
          </cell>
          <cell r="BG1502">
            <v>5294.1176470588234</v>
          </cell>
          <cell r="BH1502">
            <v>5294.1176470588234</v>
          </cell>
          <cell r="BI1502">
            <v>5294.1176470588234</v>
          </cell>
          <cell r="BJ1502">
            <v>5294.1176470588234</v>
          </cell>
          <cell r="BK1502">
            <v>5717.6470588235297</v>
          </cell>
          <cell r="BL1502">
            <v>5717.6470588235297</v>
          </cell>
          <cell r="BM1502">
            <v>5717.6470588235297</v>
          </cell>
          <cell r="BN1502">
            <v>5717.6470588235297</v>
          </cell>
          <cell r="BO1502">
            <v>5717.6470588235297</v>
          </cell>
          <cell r="BP1502">
            <v>5717.6470588235297</v>
          </cell>
          <cell r="BQ1502">
            <v>20583.529411764706</v>
          </cell>
          <cell r="BR1502">
            <v>20583.529411764706</v>
          </cell>
          <cell r="BS1502">
            <v>20583.529411764706</v>
          </cell>
          <cell r="BT1502">
            <v>20583.529411764706</v>
          </cell>
          <cell r="BU1502">
            <v>20583.529411764706</v>
          </cell>
          <cell r="BV1502">
            <v>20583.529411764706</v>
          </cell>
        </row>
        <row r="1503">
          <cell r="A1503" t="str">
            <v>MMA</v>
          </cell>
          <cell r="B1503" t="str">
            <v>RCHR</v>
          </cell>
          <cell r="D1503" t="str">
            <v>PVC</v>
          </cell>
          <cell r="E1503">
            <v>7.7247000000000003</v>
          </cell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</row>
        <row r="1504">
          <cell r="A1504" t="str">
            <v>MMA</v>
          </cell>
          <cell r="B1504" t="str">
            <v>RCHR</v>
          </cell>
          <cell r="D1504" t="str">
            <v>LTH</v>
          </cell>
          <cell r="E1504">
            <v>8.7507000000000001</v>
          </cell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</row>
        <row r="1505">
          <cell r="A1505" t="str">
            <v>MMA</v>
          </cell>
          <cell r="B1505" t="str">
            <v>RCHR</v>
          </cell>
          <cell r="D1505" t="str">
            <v>PO</v>
          </cell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</row>
        <row r="1506">
          <cell r="A1506" t="str">
            <v>MMA</v>
          </cell>
          <cell r="B1506" t="str">
            <v>RCHR</v>
          </cell>
          <cell r="D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</row>
        <row r="1507">
          <cell r="A1507" t="str">
            <v>MMA</v>
          </cell>
          <cell r="B1507" t="str">
            <v>RCHR</v>
          </cell>
          <cell r="D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</row>
        <row r="1508">
          <cell r="A1508" t="str">
            <v>MMA</v>
          </cell>
          <cell r="B1508" t="str">
            <v>RCHR</v>
          </cell>
          <cell r="D1508" t="str">
            <v>Weekly Output PLAN - SUM of models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</row>
        <row r="1509">
          <cell r="A1509" t="str">
            <v>MMA</v>
          </cell>
          <cell r="B1509" t="str">
            <v>RCHR</v>
          </cell>
          <cell r="D1509" t="str">
            <v>Weekly Output CHECK with TO time multiple</v>
          </cell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</row>
        <row r="1510">
          <cell r="A1510" t="str">
            <v>MMA</v>
          </cell>
          <cell r="B1510" t="str">
            <v>RCHR</v>
          </cell>
          <cell r="D1510" t="str">
            <v>Weekly Output ACT</v>
          </cell>
          <cell r="Z1510">
            <v>3112.9411764705883</v>
          </cell>
          <cell r="AA1510">
            <v>4076.4705882352937</v>
          </cell>
          <cell r="AB1510">
            <v>4261.7647058823532</v>
          </cell>
          <cell r="AC1510">
            <v>4447.0588235294117</v>
          </cell>
          <cell r="AD1510">
            <v>2700</v>
          </cell>
          <cell r="AE1510">
            <v>5008.2352941176468</v>
          </cell>
          <cell r="AF1510">
            <v>5066.4705882352937</v>
          </cell>
          <cell r="AG1510">
            <v>5124.7058823529405</v>
          </cell>
          <cell r="AH1510">
            <v>5182.9411764705874</v>
          </cell>
          <cell r="AI1510">
            <v>5241.1764705882342</v>
          </cell>
          <cell r="AJ1510">
            <v>5299.411764705882</v>
          </cell>
          <cell r="AK1510">
            <v>3896.4705882352946</v>
          </cell>
          <cell r="AL1510">
            <v>3938.8235294117649</v>
          </cell>
          <cell r="AM1510">
            <v>4976.4705882352946</v>
          </cell>
          <cell r="AN1510">
            <v>4023.5294117647063</v>
          </cell>
          <cell r="AO1510">
            <v>5082.3529411764703</v>
          </cell>
          <cell r="AP1510">
            <v>5135.2941176470586</v>
          </cell>
          <cell r="AQ1510">
            <v>5188.2352941176478</v>
          </cell>
          <cell r="AR1510">
            <v>5294.1176470588234</v>
          </cell>
          <cell r="AS1510">
            <v>5294.1176470588234</v>
          </cell>
          <cell r="AT1510">
            <v>5294.1176470588234</v>
          </cell>
          <cell r="AU1510">
            <v>5294.1176470588234</v>
          </cell>
          <cell r="AV1510">
            <v>5294.1176470588234</v>
          </cell>
          <cell r="AW1510">
            <v>5294.1176470588234</v>
          </cell>
          <cell r="AX1510">
            <v>5294.1176470588234</v>
          </cell>
          <cell r="AY1510">
            <v>5294.1176470588234</v>
          </cell>
          <cell r="AZ1510">
            <v>0</v>
          </cell>
          <cell r="BA1510">
            <v>0</v>
          </cell>
          <cell r="BB1510">
            <v>5294.1176470588234</v>
          </cell>
          <cell r="BC1510">
            <v>5294.1176470588234</v>
          </cell>
          <cell r="BD1510">
            <v>5294.1176470588234</v>
          </cell>
          <cell r="BE1510">
            <v>5294.1176470588234</v>
          </cell>
          <cell r="BF1510">
            <v>5294.1176470588234</v>
          </cell>
          <cell r="BG1510">
            <v>5294.1176470588234</v>
          </cell>
          <cell r="BH1510">
            <v>5294.1176470588234</v>
          </cell>
          <cell r="BI1510">
            <v>5294.1176470588234</v>
          </cell>
          <cell r="BJ1510">
            <v>5294.1176470588234</v>
          </cell>
          <cell r="BK1510">
            <v>5717.6470588235297</v>
          </cell>
          <cell r="BL1510">
            <v>5717.6470588235297</v>
          </cell>
          <cell r="BM1510">
            <v>5717.6470588235297</v>
          </cell>
          <cell r="BN1510">
            <v>5717.6470588235297</v>
          </cell>
          <cell r="BO1510">
            <v>5717.6470588235297</v>
          </cell>
          <cell r="BP1510">
            <v>5717.6470588235297</v>
          </cell>
          <cell r="BQ1510">
            <v>20583.529411764706</v>
          </cell>
          <cell r="BR1510">
            <v>20583.529411764706</v>
          </cell>
          <cell r="BS1510">
            <v>20583.529411764706</v>
          </cell>
          <cell r="BT1510">
            <v>20583.529411764706</v>
          </cell>
          <cell r="BU1510">
            <v>20583.529411764706</v>
          </cell>
          <cell r="BV1510">
            <v>20583.529411764706</v>
          </cell>
        </row>
        <row r="1511">
          <cell r="A1511" t="str">
            <v>MMA</v>
          </cell>
          <cell r="B1511" t="str">
            <v>RCHR</v>
          </cell>
          <cell r="D1511" t="str">
            <v>PVC</v>
          </cell>
          <cell r="Z1511">
            <v>4187.0300751879695</v>
          </cell>
          <cell r="AA1511">
            <v>4313.9097744360897</v>
          </cell>
          <cell r="AB1511">
            <v>4440.78947368421</v>
          </cell>
          <cell r="AC1511">
            <v>4567.6691729323302</v>
          </cell>
          <cell r="AD1511">
            <v>2816.7293233082705</v>
          </cell>
          <cell r="AE1511">
            <v>4821.4285714285716</v>
          </cell>
          <cell r="AF1511">
            <v>4948.3082706766918</v>
          </cell>
          <cell r="AG1511">
            <v>5075.187969924812</v>
          </cell>
          <cell r="AH1511">
            <v>5202.0676691729313</v>
          </cell>
          <cell r="AI1511">
            <v>5075.1879699248111</v>
          </cell>
          <cell r="AJ1511">
            <v>5075.1879699248111</v>
          </cell>
          <cell r="AK1511">
            <v>4060.1503759398493</v>
          </cell>
          <cell r="AL1511">
            <v>4060.1503759398493</v>
          </cell>
          <cell r="AM1511">
            <v>5075.1879699248111</v>
          </cell>
          <cell r="AN1511">
            <v>4060.1503759398493</v>
          </cell>
          <cell r="AO1511">
            <v>5075.1879699248111</v>
          </cell>
          <cell r="AP1511">
            <v>5075.1879699248111</v>
          </cell>
          <cell r="AQ1511">
            <v>5075.1879699248111</v>
          </cell>
          <cell r="AR1511">
            <v>5075.1879699248111</v>
          </cell>
          <cell r="AS1511">
            <v>5075.1879699248111</v>
          </cell>
          <cell r="AT1511">
            <v>5075.1879699248111</v>
          </cell>
          <cell r="AU1511">
            <v>5075.1879699248111</v>
          </cell>
          <cell r="AV1511">
            <v>5075.1879699248111</v>
          </cell>
          <cell r="AW1511">
            <v>5075.1879699248111</v>
          </cell>
          <cell r="AX1511">
            <v>5075.1879699248111</v>
          </cell>
          <cell r="AY1511">
            <v>5075.1879699248111</v>
          </cell>
          <cell r="AZ1511">
            <v>0</v>
          </cell>
          <cell r="BA1511">
            <v>0</v>
          </cell>
          <cell r="BB1511">
            <v>5075.1879699248111</v>
          </cell>
          <cell r="BC1511">
            <v>5075.1879699248111</v>
          </cell>
          <cell r="BD1511">
            <v>5075.1879699248111</v>
          </cell>
          <cell r="BE1511">
            <v>5075.1879699248111</v>
          </cell>
          <cell r="BF1511">
            <v>5075.1879699248111</v>
          </cell>
          <cell r="BG1511">
            <v>5075.1879699248111</v>
          </cell>
          <cell r="BH1511">
            <v>5075.1879699248111</v>
          </cell>
          <cell r="BI1511">
            <v>5075.1879699248111</v>
          </cell>
          <cell r="BJ1511">
            <v>5075.1879699248111</v>
          </cell>
          <cell r="BK1511">
            <v>6090.225563909773</v>
          </cell>
          <cell r="BL1511">
            <v>6090.225563909773</v>
          </cell>
          <cell r="BM1511">
            <v>6090.225563909773</v>
          </cell>
          <cell r="BN1511">
            <v>6090.225563909773</v>
          </cell>
          <cell r="BO1511">
            <v>6090.225563909773</v>
          </cell>
          <cell r="BP1511">
            <v>6090.225563909773</v>
          </cell>
          <cell r="BQ1511">
            <v>7308.2706766917281</v>
          </cell>
          <cell r="BR1511">
            <v>7308.2706766917281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</row>
        <row r="1512">
          <cell r="A1512" t="str">
            <v>MMA</v>
          </cell>
          <cell r="B1512" t="str">
            <v>RCHR</v>
          </cell>
          <cell r="D1512" t="str">
            <v>LTH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</row>
        <row r="1513">
          <cell r="A1513" t="str">
            <v>MMA</v>
          </cell>
          <cell r="B1513" t="str">
            <v>RCHR</v>
          </cell>
          <cell r="D1513" t="str">
            <v>PO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</row>
        <row r="1514">
          <cell r="A1514" t="str">
            <v>MMA</v>
          </cell>
          <cell r="B1514" t="str">
            <v>RCHR</v>
          </cell>
          <cell r="D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</row>
        <row r="1515">
          <cell r="A1515" t="str">
            <v>MMA</v>
          </cell>
          <cell r="B1515" t="str">
            <v>RCHR</v>
          </cell>
          <cell r="D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</row>
        <row r="1516">
          <cell r="A1516" t="str">
            <v>MMA</v>
          </cell>
          <cell r="B1516" t="str">
            <v>RCHR</v>
          </cell>
          <cell r="D1516" t="str">
            <v>Weekly demand</v>
          </cell>
          <cell r="Z1516">
            <v>4187.0300751879695</v>
          </cell>
          <cell r="AA1516">
            <v>4313.9097744360897</v>
          </cell>
          <cell r="AB1516">
            <v>4440.78947368421</v>
          </cell>
          <cell r="AC1516">
            <v>4567.6691729323302</v>
          </cell>
          <cell r="AD1516">
            <v>2816.7293233082705</v>
          </cell>
          <cell r="AE1516">
            <v>4821.4285714285716</v>
          </cell>
          <cell r="AF1516">
            <v>4948.3082706766918</v>
          </cell>
          <cell r="AG1516">
            <v>5075.187969924812</v>
          </cell>
          <cell r="AH1516">
            <v>5202.0676691729313</v>
          </cell>
          <cell r="AI1516">
            <v>5075.1879699248111</v>
          </cell>
          <cell r="AJ1516">
            <v>5075.1879699248111</v>
          </cell>
          <cell r="AK1516">
            <v>4060.1503759398493</v>
          </cell>
          <cell r="AL1516">
            <v>4060.1503759398493</v>
          </cell>
          <cell r="AM1516">
            <v>5075.1879699248111</v>
          </cell>
          <cell r="AN1516">
            <v>4060.1503759398493</v>
          </cell>
          <cell r="AO1516">
            <v>5075.1879699248111</v>
          </cell>
          <cell r="AP1516">
            <v>5075.1879699248111</v>
          </cell>
          <cell r="AQ1516">
            <v>5075.1879699248111</v>
          </cell>
          <cell r="AR1516">
            <v>5075.1879699248111</v>
          </cell>
          <cell r="AS1516">
            <v>5075.1879699248111</v>
          </cell>
          <cell r="AT1516">
            <v>5075.1879699248111</v>
          </cell>
          <cell r="AU1516">
            <v>5075.1879699248111</v>
          </cell>
          <cell r="AV1516">
            <v>5075.1879699248111</v>
          </cell>
          <cell r="AW1516">
            <v>5075.1879699248111</v>
          </cell>
          <cell r="AX1516">
            <v>5075.1879699248111</v>
          </cell>
          <cell r="AY1516">
            <v>5075.1879699248111</v>
          </cell>
          <cell r="AZ1516">
            <v>0</v>
          </cell>
          <cell r="BA1516">
            <v>0</v>
          </cell>
          <cell r="BB1516">
            <v>5075.1879699248111</v>
          </cell>
          <cell r="BC1516">
            <v>5075.1879699248111</v>
          </cell>
          <cell r="BD1516">
            <v>5075.1879699248111</v>
          </cell>
          <cell r="BE1516">
            <v>5075.1879699248111</v>
          </cell>
          <cell r="BF1516">
            <v>5075.1879699248111</v>
          </cell>
          <cell r="BG1516">
            <v>5075.1879699248111</v>
          </cell>
          <cell r="BH1516">
            <v>5075.1879699248111</v>
          </cell>
          <cell r="BI1516">
            <v>5075.1879699248111</v>
          </cell>
          <cell r="BJ1516">
            <v>5075.1879699248111</v>
          </cell>
          <cell r="BK1516">
            <v>6090.225563909773</v>
          </cell>
          <cell r="BL1516">
            <v>6090.225563909773</v>
          </cell>
          <cell r="BM1516">
            <v>6090.225563909773</v>
          </cell>
          <cell r="BN1516">
            <v>6090.225563909773</v>
          </cell>
          <cell r="BO1516">
            <v>6090.225563909773</v>
          </cell>
          <cell r="BP1516">
            <v>6090.225563909773</v>
          </cell>
          <cell r="BQ1516">
            <v>7308.2706766917281</v>
          </cell>
          <cell r="BR1516">
            <v>7308.2706766917281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</row>
        <row r="1517">
          <cell r="A1517" t="str">
            <v>MMA</v>
          </cell>
          <cell r="B1517" t="str">
            <v>RCHR</v>
          </cell>
          <cell r="D1517" t="str">
            <v>Stock Target</v>
          </cell>
          <cell r="Z1517">
            <v>700</v>
          </cell>
          <cell r="AA1517">
            <v>700</v>
          </cell>
          <cell r="AB1517">
            <v>700</v>
          </cell>
          <cell r="AC1517">
            <v>700</v>
          </cell>
          <cell r="AD1517">
            <v>700</v>
          </cell>
          <cell r="AE1517">
            <v>700</v>
          </cell>
          <cell r="AF1517">
            <v>700</v>
          </cell>
          <cell r="AG1517">
            <v>700</v>
          </cell>
          <cell r="AH1517">
            <v>700</v>
          </cell>
          <cell r="AI1517">
            <v>700</v>
          </cell>
          <cell r="AJ1517">
            <v>2528</v>
          </cell>
          <cell r="AK1517">
            <v>2529</v>
          </cell>
          <cell r="AL1517">
            <v>2530</v>
          </cell>
          <cell r="AM1517">
            <v>2531</v>
          </cell>
          <cell r="AN1517">
            <v>2532</v>
          </cell>
          <cell r="AO1517">
            <v>2533</v>
          </cell>
          <cell r="AP1517">
            <v>2534</v>
          </cell>
          <cell r="AQ1517">
            <v>2535</v>
          </cell>
          <cell r="AR1517">
            <v>2536</v>
          </cell>
          <cell r="AS1517">
            <v>2537</v>
          </cell>
          <cell r="AT1517">
            <v>2538</v>
          </cell>
          <cell r="AU1517">
            <v>2539</v>
          </cell>
          <cell r="AV1517">
            <v>2540</v>
          </cell>
          <cell r="AW1517">
            <v>2541</v>
          </cell>
          <cell r="AX1517">
            <v>2542</v>
          </cell>
          <cell r="AY1517">
            <v>2543</v>
          </cell>
          <cell r="AZ1517">
            <v>2544</v>
          </cell>
          <cell r="BA1517">
            <v>2545</v>
          </cell>
          <cell r="BB1517">
            <v>2546</v>
          </cell>
          <cell r="BC1517">
            <v>2547</v>
          </cell>
          <cell r="BD1517">
            <v>2548</v>
          </cell>
          <cell r="BE1517">
            <v>2549</v>
          </cell>
          <cell r="BF1517">
            <v>2550</v>
          </cell>
          <cell r="BG1517">
            <v>2551</v>
          </cell>
          <cell r="BH1517">
            <v>2552</v>
          </cell>
          <cell r="BI1517">
            <v>2553</v>
          </cell>
          <cell r="BJ1517">
            <v>2554</v>
          </cell>
          <cell r="BK1517">
            <v>2555</v>
          </cell>
          <cell r="BL1517">
            <v>2556</v>
          </cell>
          <cell r="BM1517">
            <v>2557</v>
          </cell>
          <cell r="BN1517">
            <v>2558</v>
          </cell>
          <cell r="BO1517">
            <v>2559</v>
          </cell>
          <cell r="BP1517">
            <v>2560</v>
          </cell>
          <cell r="BQ1517">
            <v>2561</v>
          </cell>
          <cell r="BR1517">
            <v>2562</v>
          </cell>
          <cell r="BS1517">
            <v>2563</v>
          </cell>
          <cell r="BT1517">
            <v>2564</v>
          </cell>
          <cell r="BU1517">
            <v>2565</v>
          </cell>
          <cell r="BV1517">
            <v>2566</v>
          </cell>
        </row>
        <row r="1518">
          <cell r="A1518" t="str">
            <v>MMA</v>
          </cell>
          <cell r="B1518" t="str">
            <v>RCHR</v>
          </cell>
          <cell r="D1518" t="str">
            <v>PVC</v>
          </cell>
          <cell r="Z1518">
            <v>685</v>
          </cell>
          <cell r="AA1518">
            <v>-3628.9097744360897</v>
          </cell>
          <cell r="AB1518">
            <v>-8069.6992481202997</v>
          </cell>
          <cell r="AC1518">
            <v>-12637.36842105263</v>
          </cell>
          <cell r="AD1518">
            <v>-15454.097744360901</v>
          </cell>
          <cell r="AE1518">
            <v>-20275.526315789473</v>
          </cell>
          <cell r="AF1518">
            <v>-25223.834586466164</v>
          </cell>
          <cell r="AG1518">
            <v>-30299.022556390977</v>
          </cell>
          <cell r="AH1518">
            <v>-35501.090225563908</v>
          </cell>
          <cell r="AI1518">
            <v>-40576.278195488718</v>
          </cell>
          <cell r="AJ1518">
            <v>-45651.466165413527</v>
          </cell>
          <cell r="AK1518">
            <v>-49711.616541353374</v>
          </cell>
          <cell r="AL1518">
            <v>-53771.766917293222</v>
          </cell>
          <cell r="AM1518">
            <v>-58846.954887218031</v>
          </cell>
          <cell r="AN1518">
            <v>-62907.105263157879</v>
          </cell>
          <cell r="AO1518">
            <v>-67982.293233082688</v>
          </cell>
          <cell r="AP1518">
            <v>-73057.481203007497</v>
          </cell>
          <cell r="AQ1518">
            <v>-78132.669172932307</v>
          </cell>
          <cell r="AR1518">
            <v>-83207.857142857116</v>
          </cell>
          <cell r="AS1518">
            <v>-88283.045112781925</v>
          </cell>
          <cell r="AT1518">
            <v>-93358.233082706734</v>
          </cell>
          <cell r="AU1518">
            <v>-98433.421052631544</v>
          </cell>
          <cell r="AV1518">
            <v>-103508.60902255635</v>
          </cell>
          <cell r="AW1518">
            <v>-108583.79699248116</v>
          </cell>
          <cell r="AX1518">
            <v>-113658.98496240597</v>
          </cell>
          <cell r="AY1518">
            <v>-118734.17293233078</v>
          </cell>
          <cell r="AZ1518">
            <v>-118734.17293233078</v>
          </cell>
          <cell r="BA1518">
            <v>-118734.17293233078</v>
          </cell>
          <cell r="BB1518">
            <v>-123809.36090225559</v>
          </cell>
          <cell r="BC1518">
            <v>-128884.5488721804</v>
          </cell>
          <cell r="BD1518">
            <v>-133959.73684210522</v>
          </cell>
          <cell r="BE1518">
            <v>-139034.92481203005</v>
          </cell>
          <cell r="BF1518">
            <v>-144110.11278195487</v>
          </cell>
          <cell r="BG1518">
            <v>-149185.30075187969</v>
          </cell>
          <cell r="BH1518">
            <v>-154260.48872180452</v>
          </cell>
          <cell r="BI1518">
            <v>-159335.67669172934</v>
          </cell>
          <cell r="BJ1518">
            <v>-164410.86466165417</v>
          </cell>
          <cell r="BK1518">
            <v>-170501.09022556394</v>
          </cell>
          <cell r="BL1518">
            <v>-176591.31578947371</v>
          </cell>
          <cell r="BM1518">
            <v>-182681.54135338348</v>
          </cell>
          <cell r="BN1518">
            <v>-188771.76691729325</v>
          </cell>
          <cell r="BO1518">
            <v>-194861.99248120302</v>
          </cell>
          <cell r="BP1518">
            <v>-200952.21804511279</v>
          </cell>
          <cell r="BQ1518">
            <v>-208260.48872180452</v>
          </cell>
          <cell r="BR1518">
            <v>-215568.75939849624</v>
          </cell>
          <cell r="BS1518">
            <v>-215568.75939849624</v>
          </cell>
          <cell r="BT1518">
            <v>-215568.75939849624</v>
          </cell>
          <cell r="BU1518">
            <v>-215568.75939849624</v>
          </cell>
          <cell r="BV1518">
            <v>-215568.75939849624</v>
          </cell>
        </row>
        <row r="1519">
          <cell r="A1519" t="str">
            <v>MMA</v>
          </cell>
          <cell r="B1519" t="str">
            <v>RCHR</v>
          </cell>
          <cell r="D1519" t="str">
            <v>LTH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</row>
        <row r="1520">
          <cell r="A1520" t="str">
            <v>MMA</v>
          </cell>
          <cell r="B1520" t="str">
            <v>RCHR</v>
          </cell>
          <cell r="D1520" t="str">
            <v>PO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</row>
        <row r="1521">
          <cell r="A1521" t="str">
            <v>MMA</v>
          </cell>
          <cell r="B1521" t="str">
            <v>RCHR</v>
          </cell>
          <cell r="D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</row>
        <row r="1522">
          <cell r="A1522" t="str">
            <v>MMA</v>
          </cell>
          <cell r="B1522" t="str">
            <v>RCHR</v>
          </cell>
          <cell r="D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</row>
        <row r="1523">
          <cell r="A1523" t="str">
            <v>MMA</v>
          </cell>
          <cell r="B1523" t="str">
            <v>RCHR</v>
          </cell>
          <cell r="D1523" t="str">
            <v>STOCK</v>
          </cell>
          <cell r="Z1523">
            <v>685</v>
          </cell>
          <cell r="AA1523">
            <v>447.56081379920397</v>
          </cell>
          <cell r="AB1523">
            <v>268.53604599734717</v>
          </cell>
          <cell r="AC1523">
            <v>147.9256965944287</v>
          </cell>
          <cell r="AD1523">
            <v>31.196373286158178</v>
          </cell>
          <cell r="AE1523">
            <v>218.00309597523301</v>
          </cell>
          <cell r="AF1523">
            <v>336.16541353383491</v>
          </cell>
          <cell r="AG1523">
            <v>385.68332596196342</v>
          </cell>
          <cell r="AH1523">
            <v>366.55683325961945</v>
          </cell>
          <cell r="AI1523">
            <v>532.54533392304256</v>
          </cell>
          <cell r="AJ1523">
            <v>756.76912870411343</v>
          </cell>
          <cell r="AK1523">
            <v>593.08934099955877</v>
          </cell>
          <cell r="AL1523">
            <v>471.76249447147438</v>
          </cell>
          <cell r="AM1523">
            <v>373.04511278195787</v>
          </cell>
          <cell r="AN1523">
            <v>336.42414860681492</v>
          </cell>
          <cell r="AO1523">
            <v>343.58911985847408</v>
          </cell>
          <cell r="AP1523">
            <v>403.69526758072152</v>
          </cell>
          <cell r="AQ1523">
            <v>516.74259177355816</v>
          </cell>
          <cell r="AR1523">
            <v>735.67226890757047</v>
          </cell>
          <cell r="AS1523">
            <v>954.60194604158278</v>
          </cell>
          <cell r="AT1523">
            <v>1173.5316231755951</v>
          </cell>
          <cell r="AU1523">
            <v>1392.4613003096074</v>
          </cell>
          <cell r="AV1523">
            <v>1611.3909774436197</v>
          </cell>
          <cell r="AW1523">
            <v>1830.320654577632</v>
          </cell>
          <cell r="AX1523">
            <v>2049.2503317116443</v>
          </cell>
          <cell r="AY1523">
            <v>2268.1800088456566</v>
          </cell>
          <cell r="AZ1523">
            <v>2268.1800088456566</v>
          </cell>
          <cell r="BA1523">
            <v>2268.1800088456566</v>
          </cell>
          <cell r="BB1523">
            <v>2487.1096859796689</v>
          </cell>
          <cell r="BC1523">
            <v>2706.0393631136812</v>
          </cell>
          <cell r="BD1523">
            <v>2924.9690402476936</v>
          </cell>
          <cell r="BE1523">
            <v>3143.8987173817059</v>
          </cell>
          <cell r="BF1523">
            <v>3362.8283945157182</v>
          </cell>
          <cell r="BG1523">
            <v>3581.7580716497305</v>
          </cell>
          <cell r="BH1523">
            <v>3800.6877487837428</v>
          </cell>
          <cell r="BI1523">
            <v>4019.6174259177551</v>
          </cell>
          <cell r="BJ1523">
            <v>4238.5471030517674</v>
          </cell>
          <cell r="BK1523">
            <v>3865.9685979655242</v>
          </cell>
          <cell r="BL1523">
            <v>3493.3900928792809</v>
          </cell>
          <cell r="BM1523">
            <v>3120.8115877930377</v>
          </cell>
          <cell r="BN1523">
            <v>2748.2330827067944</v>
          </cell>
          <cell r="BO1523">
            <v>2375.6545776205512</v>
          </cell>
          <cell r="BP1523">
            <v>2003.076072534308</v>
          </cell>
          <cell r="BQ1523">
            <v>15278.334807607287</v>
          </cell>
          <cell r="BR1523">
            <v>28553.593542680264</v>
          </cell>
          <cell r="BS1523">
            <v>49137.122954444974</v>
          </cell>
          <cell r="BT1523">
            <v>69720.652366209688</v>
          </cell>
          <cell r="BU1523">
            <v>90304.181777974387</v>
          </cell>
          <cell r="BV1523">
            <v>110887.71118973909</v>
          </cell>
        </row>
        <row r="1524">
          <cell r="A1524" t="str">
            <v>Blank</v>
          </cell>
          <cell r="B1524" t="str">
            <v>Blank</v>
          </cell>
          <cell r="D1524" t="str">
            <v>Blank</v>
          </cell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</row>
        <row r="1525">
          <cell r="A1525" t="str">
            <v>MMA</v>
          </cell>
          <cell r="B1525" t="str">
            <v>3RD ROW</v>
          </cell>
          <cell r="D1525" t="str">
            <v>Work days</v>
          </cell>
          <cell r="Z1525">
            <v>5</v>
          </cell>
          <cell r="AA1525">
            <v>5</v>
          </cell>
          <cell r="AB1525">
            <v>5</v>
          </cell>
          <cell r="AC1525">
            <v>5</v>
          </cell>
          <cell r="AD1525">
            <v>3</v>
          </cell>
          <cell r="AE1525">
            <v>6</v>
          </cell>
          <cell r="AF1525">
            <v>6</v>
          </cell>
          <cell r="AG1525">
            <v>5</v>
          </cell>
          <cell r="AH1525">
            <v>5</v>
          </cell>
          <cell r="AI1525">
            <v>5</v>
          </cell>
          <cell r="AJ1525">
            <v>5</v>
          </cell>
          <cell r="AK1525">
            <v>4</v>
          </cell>
          <cell r="AL1525">
            <v>4</v>
          </cell>
          <cell r="AM1525">
            <v>5</v>
          </cell>
          <cell r="AN1525">
            <v>4</v>
          </cell>
          <cell r="AO1525">
            <v>5</v>
          </cell>
          <cell r="AP1525">
            <v>5</v>
          </cell>
          <cell r="AQ1525">
            <v>5</v>
          </cell>
          <cell r="AR1525">
            <v>5</v>
          </cell>
          <cell r="AS1525">
            <v>5</v>
          </cell>
          <cell r="AT1525">
            <v>5</v>
          </cell>
          <cell r="AU1525">
            <v>5</v>
          </cell>
          <cell r="AV1525">
            <v>5</v>
          </cell>
          <cell r="AW1525">
            <v>5</v>
          </cell>
          <cell r="AX1525">
            <v>5</v>
          </cell>
          <cell r="AY1525">
            <v>5</v>
          </cell>
          <cell r="AZ1525">
            <v>0</v>
          </cell>
          <cell r="BA1525">
            <v>0</v>
          </cell>
          <cell r="BB1525">
            <v>5</v>
          </cell>
          <cell r="BC1525">
            <v>5</v>
          </cell>
          <cell r="BD1525">
            <v>5</v>
          </cell>
          <cell r="BE1525">
            <v>5</v>
          </cell>
          <cell r="BF1525">
            <v>5</v>
          </cell>
          <cell r="BG1525">
            <v>5</v>
          </cell>
          <cell r="BH1525">
            <v>5</v>
          </cell>
          <cell r="BI1525">
            <v>5</v>
          </cell>
          <cell r="BJ1525">
            <v>5</v>
          </cell>
          <cell r="BK1525">
            <v>5</v>
          </cell>
          <cell r="BL1525">
            <v>5</v>
          </cell>
          <cell r="BM1525">
            <v>5</v>
          </cell>
          <cell r="BN1525">
            <v>5</v>
          </cell>
          <cell r="BO1525">
            <v>5</v>
          </cell>
          <cell r="BP1525">
            <v>5</v>
          </cell>
          <cell r="BQ1525">
            <v>5</v>
          </cell>
          <cell r="BR1525">
            <v>5</v>
          </cell>
          <cell r="BS1525">
            <v>5</v>
          </cell>
          <cell r="BT1525">
            <v>5</v>
          </cell>
          <cell r="BU1525">
            <v>5</v>
          </cell>
          <cell r="BV1525">
            <v>5</v>
          </cell>
        </row>
        <row r="1526">
          <cell r="A1526" t="str">
            <v>MMA</v>
          </cell>
          <cell r="B1526" t="str">
            <v>3RD ROW</v>
          </cell>
          <cell r="D1526" t="str">
            <v>SHIFT A HC - operators</v>
          </cell>
          <cell r="E1526" t="str">
            <v>ELI INCL FROM 01/01/26 (2OP+1ELI per shift)</v>
          </cell>
          <cell r="Z1526">
            <v>2</v>
          </cell>
          <cell r="AA1526">
            <v>3</v>
          </cell>
          <cell r="AB1526">
            <v>3</v>
          </cell>
          <cell r="AC1526">
            <v>3</v>
          </cell>
          <cell r="AD1526">
            <v>3</v>
          </cell>
          <cell r="AE1526">
            <v>3</v>
          </cell>
          <cell r="AF1526">
            <v>3</v>
          </cell>
          <cell r="AG1526">
            <v>2</v>
          </cell>
          <cell r="AH1526">
            <v>3</v>
          </cell>
          <cell r="AI1526">
            <v>3</v>
          </cell>
          <cell r="AJ1526">
            <v>3</v>
          </cell>
          <cell r="AK1526">
            <v>3</v>
          </cell>
          <cell r="AL1526">
            <v>2</v>
          </cell>
          <cell r="AM1526">
            <v>3</v>
          </cell>
          <cell r="AN1526">
            <v>2</v>
          </cell>
          <cell r="AO1526">
            <v>2</v>
          </cell>
          <cell r="AP1526">
            <v>2</v>
          </cell>
          <cell r="AQ1526">
            <v>2</v>
          </cell>
          <cell r="AR1526">
            <v>2</v>
          </cell>
          <cell r="AS1526">
            <v>2</v>
          </cell>
          <cell r="AT1526">
            <v>2</v>
          </cell>
          <cell r="AU1526">
            <v>2</v>
          </cell>
          <cell r="AV1526">
            <v>2</v>
          </cell>
          <cell r="AW1526">
            <v>2</v>
          </cell>
          <cell r="AX1526">
            <v>2</v>
          </cell>
          <cell r="AY1526">
            <v>2</v>
          </cell>
          <cell r="AZ1526">
            <v>2</v>
          </cell>
          <cell r="BA1526">
            <v>2</v>
          </cell>
          <cell r="BB1526">
            <v>2</v>
          </cell>
          <cell r="BC1526">
            <v>2</v>
          </cell>
          <cell r="BD1526">
            <v>2</v>
          </cell>
          <cell r="BE1526">
            <v>2</v>
          </cell>
          <cell r="BF1526">
            <v>2</v>
          </cell>
          <cell r="BG1526">
            <v>2</v>
          </cell>
          <cell r="BH1526">
            <v>2</v>
          </cell>
          <cell r="BI1526">
            <v>2</v>
          </cell>
          <cell r="BJ1526">
            <v>2</v>
          </cell>
          <cell r="BK1526">
            <v>3</v>
          </cell>
          <cell r="BL1526">
            <v>3</v>
          </cell>
          <cell r="BM1526">
            <v>3</v>
          </cell>
          <cell r="BN1526">
            <v>3</v>
          </cell>
          <cell r="BO1526">
            <v>3</v>
          </cell>
          <cell r="BP1526">
            <v>3</v>
          </cell>
          <cell r="BQ1526">
            <v>3</v>
          </cell>
          <cell r="BR1526">
            <v>3</v>
          </cell>
          <cell r="BS1526">
            <v>3</v>
          </cell>
          <cell r="BT1526">
            <v>3</v>
          </cell>
          <cell r="BU1526">
            <v>3</v>
          </cell>
          <cell r="BV1526">
            <v>3</v>
          </cell>
        </row>
        <row r="1527">
          <cell r="A1527" t="str">
            <v>MMA</v>
          </cell>
          <cell r="B1527" t="str">
            <v>3RD ROW</v>
          </cell>
          <cell r="D1527" t="str">
            <v>SHIFT B HC  - operators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</row>
        <row r="1528">
          <cell r="A1528" t="str">
            <v>MMA</v>
          </cell>
          <cell r="B1528" t="str">
            <v>3RD ROW</v>
          </cell>
          <cell r="D1528" t="str">
            <v>SHIFT C HC  - operators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</row>
        <row r="1529">
          <cell r="A1529" t="str">
            <v>MMA</v>
          </cell>
          <cell r="B1529" t="str">
            <v>3RD ROW</v>
          </cell>
          <cell r="D1529" t="str">
            <v>Total HC</v>
          </cell>
          <cell r="Z1529">
            <v>2</v>
          </cell>
          <cell r="AA1529">
            <v>3</v>
          </cell>
          <cell r="AB1529">
            <v>3</v>
          </cell>
          <cell r="AC1529">
            <v>3</v>
          </cell>
          <cell r="AD1529">
            <v>3</v>
          </cell>
          <cell r="AE1529">
            <v>3</v>
          </cell>
          <cell r="AF1529">
            <v>3</v>
          </cell>
          <cell r="AG1529">
            <v>2</v>
          </cell>
          <cell r="AH1529">
            <v>3</v>
          </cell>
          <cell r="AI1529">
            <v>3</v>
          </cell>
          <cell r="AJ1529">
            <v>3</v>
          </cell>
          <cell r="AK1529">
            <v>3</v>
          </cell>
          <cell r="AL1529">
            <v>2</v>
          </cell>
          <cell r="AM1529">
            <v>3</v>
          </cell>
          <cell r="AN1529">
            <v>2</v>
          </cell>
          <cell r="AO1529">
            <v>2</v>
          </cell>
          <cell r="AP1529">
            <v>2</v>
          </cell>
          <cell r="AQ1529">
            <v>2</v>
          </cell>
          <cell r="AR1529">
            <v>2</v>
          </cell>
          <cell r="AS1529">
            <v>2</v>
          </cell>
          <cell r="AT1529">
            <v>2</v>
          </cell>
          <cell r="AU1529">
            <v>2</v>
          </cell>
          <cell r="AV1529">
            <v>2</v>
          </cell>
          <cell r="AW1529">
            <v>2</v>
          </cell>
          <cell r="AX1529">
            <v>2</v>
          </cell>
          <cell r="AY1529">
            <v>2</v>
          </cell>
          <cell r="AZ1529">
            <v>2</v>
          </cell>
          <cell r="BA1529">
            <v>2</v>
          </cell>
          <cell r="BB1529">
            <v>2</v>
          </cell>
          <cell r="BC1529">
            <v>2</v>
          </cell>
          <cell r="BD1529">
            <v>2</v>
          </cell>
          <cell r="BE1529">
            <v>2</v>
          </cell>
          <cell r="BF1529">
            <v>2</v>
          </cell>
          <cell r="BG1529">
            <v>2</v>
          </cell>
          <cell r="BH1529">
            <v>2</v>
          </cell>
          <cell r="BI1529">
            <v>2</v>
          </cell>
          <cell r="BJ1529">
            <v>2</v>
          </cell>
          <cell r="BK1529">
            <v>3</v>
          </cell>
          <cell r="BL1529">
            <v>3</v>
          </cell>
          <cell r="BM1529">
            <v>3</v>
          </cell>
          <cell r="BN1529">
            <v>3</v>
          </cell>
          <cell r="BO1529">
            <v>3</v>
          </cell>
          <cell r="BP1529">
            <v>3</v>
          </cell>
          <cell r="BQ1529">
            <v>3</v>
          </cell>
          <cell r="BR1529">
            <v>3</v>
          </cell>
          <cell r="BS1529">
            <v>3</v>
          </cell>
          <cell r="BT1529">
            <v>3</v>
          </cell>
          <cell r="BU1529">
            <v>3</v>
          </cell>
          <cell r="BV1529">
            <v>3</v>
          </cell>
        </row>
        <row r="1530">
          <cell r="A1530" t="str">
            <v>MMA</v>
          </cell>
          <cell r="B1530" t="str">
            <v>3RD ROW</v>
          </cell>
          <cell r="D1530" t="str">
            <v>SHIFT A HC  - efficiency</v>
          </cell>
          <cell r="Z1530">
            <v>0.6</v>
          </cell>
          <cell r="AA1530">
            <v>0.6</v>
          </cell>
          <cell r="AB1530">
            <v>0.6</v>
          </cell>
          <cell r="AC1530">
            <v>0.6</v>
          </cell>
          <cell r="AD1530">
            <v>0.6</v>
          </cell>
          <cell r="AE1530">
            <v>0.6</v>
          </cell>
          <cell r="AF1530">
            <v>0.6</v>
          </cell>
          <cell r="AG1530">
            <v>0.6</v>
          </cell>
          <cell r="AH1530">
            <v>0.6</v>
          </cell>
          <cell r="AI1530">
            <v>0.6</v>
          </cell>
          <cell r="AJ1530">
            <v>0.6</v>
          </cell>
          <cell r="AK1530">
            <v>0.6</v>
          </cell>
          <cell r="AL1530">
            <v>0.6</v>
          </cell>
          <cell r="AM1530">
            <v>0.6</v>
          </cell>
          <cell r="AN1530">
            <v>0.6</v>
          </cell>
          <cell r="AO1530">
            <v>0.6</v>
          </cell>
          <cell r="AP1530">
            <v>0.6</v>
          </cell>
          <cell r="AQ1530">
            <v>0.6</v>
          </cell>
          <cell r="AR1530">
            <v>0.6</v>
          </cell>
          <cell r="AS1530">
            <v>0.6</v>
          </cell>
          <cell r="AT1530">
            <v>0.6</v>
          </cell>
          <cell r="AU1530">
            <v>0.6</v>
          </cell>
          <cell r="AV1530">
            <v>0.6</v>
          </cell>
          <cell r="AW1530">
            <v>0.6</v>
          </cell>
          <cell r="AX1530">
            <v>0.6</v>
          </cell>
          <cell r="AY1530">
            <v>0.6</v>
          </cell>
          <cell r="AZ1530">
            <v>0.6</v>
          </cell>
          <cell r="BA1530">
            <v>0.6</v>
          </cell>
          <cell r="BB1530">
            <v>0.6</v>
          </cell>
          <cell r="BC1530">
            <v>0.6</v>
          </cell>
          <cell r="BD1530">
            <v>0.6</v>
          </cell>
          <cell r="BE1530">
            <v>0.6</v>
          </cell>
          <cell r="BF1530">
            <v>0.6</v>
          </cell>
          <cell r="BG1530">
            <v>0.6</v>
          </cell>
          <cell r="BH1530">
            <v>0.6</v>
          </cell>
          <cell r="BI1530">
            <v>0.6</v>
          </cell>
          <cell r="BJ1530">
            <v>0.6</v>
          </cell>
          <cell r="BK1530">
            <v>1</v>
          </cell>
          <cell r="BL1530">
            <v>1</v>
          </cell>
          <cell r="BM1530">
            <v>1</v>
          </cell>
          <cell r="BN1530">
            <v>1</v>
          </cell>
          <cell r="BO1530">
            <v>1</v>
          </cell>
          <cell r="BP1530">
            <v>1</v>
          </cell>
          <cell r="BQ1530">
            <v>1</v>
          </cell>
          <cell r="BR1530">
            <v>1</v>
          </cell>
          <cell r="BS1530">
            <v>1</v>
          </cell>
          <cell r="BT1530">
            <v>1</v>
          </cell>
          <cell r="BU1530">
            <v>1</v>
          </cell>
          <cell r="BV1530">
            <v>1</v>
          </cell>
        </row>
        <row r="1531">
          <cell r="A1531" t="str">
            <v>MMA</v>
          </cell>
          <cell r="B1531" t="str">
            <v>3RD ROW</v>
          </cell>
          <cell r="D1531" t="str">
            <v>SHIFT B HC  - efficiency</v>
          </cell>
          <cell r="Z1531">
            <v>1</v>
          </cell>
          <cell r="AA1531">
            <v>1</v>
          </cell>
          <cell r="AB1531">
            <v>1</v>
          </cell>
          <cell r="AC1531">
            <v>1</v>
          </cell>
          <cell r="AD1531">
            <v>1</v>
          </cell>
          <cell r="AE1531">
            <v>1</v>
          </cell>
          <cell r="AF1531">
            <v>1</v>
          </cell>
          <cell r="AG1531">
            <v>1</v>
          </cell>
          <cell r="AH1531">
            <v>1</v>
          </cell>
          <cell r="AI1531">
            <v>1</v>
          </cell>
          <cell r="AJ1531">
            <v>1</v>
          </cell>
          <cell r="AK1531">
            <v>1</v>
          </cell>
          <cell r="AL1531">
            <v>1</v>
          </cell>
          <cell r="AM1531">
            <v>1</v>
          </cell>
          <cell r="AN1531">
            <v>1</v>
          </cell>
          <cell r="AO1531">
            <v>1</v>
          </cell>
          <cell r="AP1531">
            <v>1</v>
          </cell>
          <cell r="AQ1531">
            <v>1</v>
          </cell>
          <cell r="AR1531">
            <v>1</v>
          </cell>
          <cell r="AS1531">
            <v>1</v>
          </cell>
          <cell r="AT1531">
            <v>1</v>
          </cell>
          <cell r="AU1531">
            <v>1</v>
          </cell>
          <cell r="AV1531">
            <v>1</v>
          </cell>
          <cell r="AW1531">
            <v>1</v>
          </cell>
          <cell r="AX1531">
            <v>1</v>
          </cell>
          <cell r="AY1531">
            <v>1</v>
          </cell>
          <cell r="AZ1531">
            <v>1</v>
          </cell>
          <cell r="BA1531">
            <v>1</v>
          </cell>
          <cell r="BB1531">
            <v>1</v>
          </cell>
          <cell r="BC1531">
            <v>1</v>
          </cell>
          <cell r="BD1531">
            <v>1</v>
          </cell>
          <cell r="BE1531">
            <v>1</v>
          </cell>
          <cell r="BF1531">
            <v>1</v>
          </cell>
          <cell r="BG1531">
            <v>1</v>
          </cell>
          <cell r="BH1531">
            <v>1</v>
          </cell>
          <cell r="BI1531">
            <v>1</v>
          </cell>
          <cell r="BJ1531">
            <v>1</v>
          </cell>
          <cell r="BK1531">
            <v>1</v>
          </cell>
          <cell r="BL1531">
            <v>1</v>
          </cell>
          <cell r="BM1531">
            <v>1</v>
          </cell>
          <cell r="BN1531">
            <v>1</v>
          </cell>
          <cell r="BO1531">
            <v>1</v>
          </cell>
          <cell r="BP1531">
            <v>1</v>
          </cell>
          <cell r="BQ1531">
            <v>1</v>
          </cell>
          <cell r="BR1531">
            <v>1</v>
          </cell>
          <cell r="BS1531">
            <v>1</v>
          </cell>
          <cell r="BT1531">
            <v>1</v>
          </cell>
          <cell r="BU1531">
            <v>1</v>
          </cell>
          <cell r="BV1531">
            <v>1</v>
          </cell>
        </row>
        <row r="1532">
          <cell r="A1532" t="str">
            <v>MMA</v>
          </cell>
          <cell r="B1532" t="str">
            <v>3RD ROW</v>
          </cell>
          <cell r="D1532" t="str">
            <v>SHIFT C HC  - efficiency</v>
          </cell>
          <cell r="Z1532">
            <v>1</v>
          </cell>
          <cell r="AA1532">
            <v>1</v>
          </cell>
          <cell r="AB1532">
            <v>1</v>
          </cell>
          <cell r="AC1532">
            <v>1</v>
          </cell>
          <cell r="AD1532">
            <v>1</v>
          </cell>
          <cell r="AE1532">
            <v>1</v>
          </cell>
          <cell r="AF1532">
            <v>1</v>
          </cell>
          <cell r="AG1532">
            <v>1</v>
          </cell>
          <cell r="AH1532">
            <v>1</v>
          </cell>
          <cell r="AI1532">
            <v>1</v>
          </cell>
          <cell r="AJ1532">
            <v>1</v>
          </cell>
          <cell r="AK1532">
            <v>1</v>
          </cell>
          <cell r="AL1532">
            <v>1</v>
          </cell>
          <cell r="AM1532">
            <v>1</v>
          </cell>
          <cell r="AN1532">
            <v>1</v>
          </cell>
          <cell r="AO1532">
            <v>1</v>
          </cell>
          <cell r="AP1532">
            <v>1</v>
          </cell>
          <cell r="AQ1532">
            <v>1</v>
          </cell>
          <cell r="AR1532">
            <v>1</v>
          </cell>
          <cell r="AS1532">
            <v>1</v>
          </cell>
          <cell r="AT1532">
            <v>1</v>
          </cell>
          <cell r="AU1532">
            <v>1</v>
          </cell>
          <cell r="AV1532">
            <v>1</v>
          </cell>
          <cell r="AW1532">
            <v>1</v>
          </cell>
          <cell r="AX1532">
            <v>1</v>
          </cell>
          <cell r="AY1532">
            <v>1</v>
          </cell>
          <cell r="AZ1532">
            <v>1</v>
          </cell>
          <cell r="BA1532">
            <v>1</v>
          </cell>
          <cell r="BB1532">
            <v>1</v>
          </cell>
          <cell r="BC1532">
            <v>1</v>
          </cell>
          <cell r="BD1532">
            <v>1</v>
          </cell>
          <cell r="BE1532">
            <v>1</v>
          </cell>
          <cell r="BF1532">
            <v>1</v>
          </cell>
          <cell r="BG1532">
            <v>1</v>
          </cell>
          <cell r="BH1532">
            <v>1</v>
          </cell>
          <cell r="BI1532">
            <v>1</v>
          </cell>
          <cell r="BJ1532">
            <v>1</v>
          </cell>
          <cell r="BK1532">
            <v>1</v>
          </cell>
          <cell r="BL1532">
            <v>1</v>
          </cell>
          <cell r="BM1532">
            <v>1</v>
          </cell>
          <cell r="BN1532">
            <v>1</v>
          </cell>
          <cell r="BO1532">
            <v>1</v>
          </cell>
          <cell r="BP1532">
            <v>1</v>
          </cell>
          <cell r="BQ1532">
            <v>1</v>
          </cell>
          <cell r="BR1532">
            <v>1</v>
          </cell>
          <cell r="BS1532">
            <v>1</v>
          </cell>
          <cell r="BT1532">
            <v>1</v>
          </cell>
          <cell r="BU1532">
            <v>1</v>
          </cell>
          <cell r="BV1532">
            <v>1</v>
          </cell>
        </row>
        <row r="1533">
          <cell r="A1533" t="str">
            <v>MMA</v>
          </cell>
          <cell r="B1533" t="str">
            <v>3RD ROW</v>
          </cell>
          <cell r="D1533" t="str">
            <v>Total efficiency</v>
          </cell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</row>
        <row r="1534">
          <cell r="A1534" t="str">
            <v>MMA</v>
          </cell>
          <cell r="B1534" t="str">
            <v>3RD ROW</v>
          </cell>
          <cell r="D1534" t="str">
            <v>SHIFT A - output</v>
          </cell>
          <cell r="E1534">
            <v>200</v>
          </cell>
          <cell r="Z1534">
            <v>137.05583756345177</v>
          </cell>
          <cell r="AA1534">
            <v>205.58375634517765</v>
          </cell>
          <cell r="AB1534">
            <v>205.58375634517765</v>
          </cell>
          <cell r="AC1534">
            <v>205.58375634517765</v>
          </cell>
          <cell r="AD1534">
            <v>205.58375634517765</v>
          </cell>
          <cell r="AE1534">
            <v>205.58375634517765</v>
          </cell>
          <cell r="AF1534">
            <v>205.58375634517765</v>
          </cell>
          <cell r="AG1534">
            <v>137.05583756345177</v>
          </cell>
          <cell r="AH1534">
            <v>205.58375634517765</v>
          </cell>
          <cell r="AI1534">
            <v>205.58375634517765</v>
          </cell>
          <cell r="AJ1534">
            <v>205.58375634517765</v>
          </cell>
          <cell r="AK1534">
            <v>205.58375634517765</v>
          </cell>
          <cell r="AL1534">
            <v>137.05583756345177</v>
          </cell>
          <cell r="AM1534">
            <v>205.58375634517765</v>
          </cell>
          <cell r="AN1534">
            <v>137.05583756345177</v>
          </cell>
          <cell r="AO1534">
            <v>137.05583756345177</v>
          </cell>
          <cell r="AP1534">
            <v>137.05583756345177</v>
          </cell>
          <cell r="AQ1534">
            <v>137.05583756345177</v>
          </cell>
          <cell r="AR1534">
            <v>137.05583756345177</v>
          </cell>
          <cell r="AS1534">
            <v>137.05583756345177</v>
          </cell>
          <cell r="AT1534">
            <v>137.05583756345177</v>
          </cell>
          <cell r="AU1534">
            <v>137.05583756345177</v>
          </cell>
          <cell r="AV1534">
            <v>137.05583756345177</v>
          </cell>
          <cell r="AW1534">
            <v>137.05583756345177</v>
          </cell>
          <cell r="AX1534">
            <v>137.05583756345177</v>
          </cell>
          <cell r="AY1534">
            <v>137.05583756345177</v>
          </cell>
          <cell r="AZ1534">
            <v>137.05583756345177</v>
          </cell>
          <cell r="BA1534">
            <v>137.05583756345177</v>
          </cell>
          <cell r="BB1534">
            <v>137.05583756345177</v>
          </cell>
          <cell r="BC1534">
            <v>137.05583756345177</v>
          </cell>
          <cell r="BD1534">
            <v>137.05583756345177</v>
          </cell>
          <cell r="BE1534">
            <v>137.05583756345177</v>
          </cell>
          <cell r="BF1534">
            <v>137.05583756345177</v>
          </cell>
          <cell r="BG1534">
            <v>137.05583756345177</v>
          </cell>
          <cell r="BH1534">
            <v>137.05583756345177</v>
          </cell>
          <cell r="BI1534">
            <v>137.05583756345177</v>
          </cell>
          <cell r="BJ1534">
            <v>137.05583756345177</v>
          </cell>
          <cell r="BK1534">
            <v>342.63959390862942</v>
          </cell>
          <cell r="BL1534">
            <v>342.63959390862942</v>
          </cell>
          <cell r="BM1534">
            <v>342.63959390862942</v>
          </cell>
          <cell r="BN1534">
            <v>342.63959390862942</v>
          </cell>
          <cell r="BO1534">
            <v>342.63959390862942</v>
          </cell>
          <cell r="BP1534">
            <v>342.63959390862942</v>
          </cell>
          <cell r="BQ1534">
            <v>342.63959390862942</v>
          </cell>
          <cell r="BR1534">
            <v>342.63959390862942</v>
          </cell>
          <cell r="BS1534">
            <v>342.63959390862942</v>
          </cell>
          <cell r="BT1534">
            <v>342.63959390862942</v>
          </cell>
          <cell r="BU1534">
            <v>342.63959390862942</v>
          </cell>
          <cell r="BV1534">
            <v>342.63959390862942</v>
          </cell>
        </row>
        <row r="1535">
          <cell r="A1535" t="str">
            <v>MMA</v>
          </cell>
          <cell r="B1535" t="str">
            <v>3RD ROW</v>
          </cell>
          <cell r="D1535" t="str">
            <v>SHIFT B  - output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</row>
        <row r="1536">
          <cell r="A1536" t="str">
            <v>MMA</v>
          </cell>
          <cell r="B1536" t="str">
            <v>3RD ROW</v>
          </cell>
          <cell r="D1536" t="str">
            <v>SHIFT C  - output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</row>
        <row r="1537">
          <cell r="A1537" t="str">
            <v>MMA</v>
          </cell>
          <cell r="B1537" t="str">
            <v>3RD ROW</v>
          </cell>
          <cell r="D1537" t="str">
            <v>Est. Output (Pcs day)</v>
          </cell>
          <cell r="E1537">
            <v>3.94</v>
          </cell>
          <cell r="Z1537">
            <v>137.05583756345177</v>
          </cell>
          <cell r="AA1537">
            <v>205.58375634517765</v>
          </cell>
          <cell r="AB1537">
            <v>205.58375634517765</v>
          </cell>
          <cell r="AC1537">
            <v>205.58375634517765</v>
          </cell>
          <cell r="AD1537">
            <v>205.58375634517765</v>
          </cell>
          <cell r="AE1537">
            <v>205.58375634517765</v>
          </cell>
          <cell r="AF1537">
            <v>205.58375634517765</v>
          </cell>
          <cell r="AG1537">
            <v>137.05583756345177</v>
          </cell>
          <cell r="AH1537">
            <v>205.58375634517765</v>
          </cell>
          <cell r="AI1537">
            <v>205.58375634517765</v>
          </cell>
          <cell r="AJ1537">
            <v>205.58375634517765</v>
          </cell>
          <cell r="AK1537">
            <v>205.58375634517765</v>
          </cell>
          <cell r="AL1537">
            <v>137.05583756345177</v>
          </cell>
          <cell r="AM1537">
            <v>205.58375634517765</v>
          </cell>
          <cell r="AN1537">
            <v>137.05583756345177</v>
          </cell>
          <cell r="AO1537">
            <v>137.05583756345177</v>
          </cell>
          <cell r="AP1537">
            <v>137.05583756345177</v>
          </cell>
          <cell r="AQ1537">
            <v>137.05583756345177</v>
          </cell>
          <cell r="AR1537">
            <v>137.05583756345177</v>
          </cell>
          <cell r="AS1537">
            <v>137.05583756345177</v>
          </cell>
          <cell r="AT1537">
            <v>137.05583756345177</v>
          </cell>
          <cell r="AU1537">
            <v>137.05583756345177</v>
          </cell>
          <cell r="AV1537">
            <v>137.05583756345177</v>
          </cell>
          <cell r="AW1537">
            <v>137.05583756345177</v>
          </cell>
          <cell r="AX1537">
            <v>137.05583756345177</v>
          </cell>
          <cell r="AY1537">
            <v>137.05583756345177</v>
          </cell>
          <cell r="AZ1537">
            <v>137.05583756345177</v>
          </cell>
          <cell r="BA1537">
            <v>137.05583756345177</v>
          </cell>
          <cell r="BB1537">
            <v>137.05583756345177</v>
          </cell>
          <cell r="BC1537">
            <v>137.05583756345177</v>
          </cell>
          <cell r="BD1537">
            <v>137.05583756345177</v>
          </cell>
          <cell r="BE1537">
            <v>137.05583756345177</v>
          </cell>
          <cell r="BF1537">
            <v>137.05583756345177</v>
          </cell>
          <cell r="BG1537">
            <v>137.05583756345177</v>
          </cell>
          <cell r="BH1537">
            <v>137.05583756345177</v>
          </cell>
          <cell r="BI1537">
            <v>137.05583756345177</v>
          </cell>
          <cell r="BJ1537">
            <v>137.05583756345177</v>
          </cell>
          <cell r="BK1537">
            <v>342.63959390862942</v>
          </cell>
          <cell r="BL1537">
            <v>342.63959390862942</v>
          </cell>
          <cell r="BM1537">
            <v>342.63959390862942</v>
          </cell>
          <cell r="BN1537">
            <v>342.63959390862942</v>
          </cell>
          <cell r="BO1537">
            <v>342.63959390862942</v>
          </cell>
          <cell r="BP1537">
            <v>342.63959390862942</v>
          </cell>
          <cell r="BQ1537">
            <v>342.63959390862942</v>
          </cell>
          <cell r="BR1537">
            <v>342.63959390862942</v>
          </cell>
          <cell r="BS1537">
            <v>342.63959390862942</v>
          </cell>
          <cell r="BT1537">
            <v>342.63959390862942</v>
          </cell>
          <cell r="BU1537">
            <v>342.63959390862942</v>
          </cell>
          <cell r="BV1537">
            <v>342.63959390862942</v>
          </cell>
        </row>
        <row r="1538">
          <cell r="A1538" t="str">
            <v>MMA</v>
          </cell>
          <cell r="B1538" t="str">
            <v>3RD ROW</v>
          </cell>
          <cell r="D1538" t="str">
            <v>Weekly Output PLAN</v>
          </cell>
          <cell r="E1538" t="str">
            <v>ASSY</v>
          </cell>
          <cell r="Z1538">
            <v>685.27918781725884</v>
          </cell>
          <cell r="AA1538">
            <v>1027.9187817258883</v>
          </cell>
          <cell r="AB1538">
            <v>1027.9187817258883</v>
          </cell>
          <cell r="AC1538">
            <v>1027.9187817258883</v>
          </cell>
          <cell r="AD1538">
            <v>616.75126903553291</v>
          </cell>
          <cell r="AE1538">
            <v>1233.5025380710658</v>
          </cell>
          <cell r="AF1538">
            <v>1233.5025380710658</v>
          </cell>
          <cell r="AG1538">
            <v>685.27918781725884</v>
          </cell>
          <cell r="AH1538">
            <v>1027.9187817258883</v>
          </cell>
          <cell r="AI1538">
            <v>1027.9187817258883</v>
          </cell>
          <cell r="AJ1538">
            <v>1027.9187817258883</v>
          </cell>
          <cell r="AK1538">
            <v>822.33502538071059</v>
          </cell>
          <cell r="AL1538">
            <v>548.2233502538071</v>
          </cell>
          <cell r="AM1538">
            <v>1027.9187817258883</v>
          </cell>
          <cell r="AN1538">
            <v>548.2233502538071</v>
          </cell>
          <cell r="AO1538">
            <v>685.27918781725884</v>
          </cell>
          <cell r="AP1538">
            <v>685.27918781725884</v>
          </cell>
          <cell r="AQ1538">
            <v>685.27918781725884</v>
          </cell>
          <cell r="AR1538">
            <v>685.27918781725884</v>
          </cell>
          <cell r="AS1538">
            <v>685.27918781725884</v>
          </cell>
          <cell r="AT1538">
            <v>685.27918781725884</v>
          </cell>
          <cell r="AU1538">
            <v>685.27918781725884</v>
          </cell>
          <cell r="AV1538">
            <v>685.27918781725884</v>
          </cell>
          <cell r="AW1538">
            <v>685.27918781725884</v>
          </cell>
          <cell r="AX1538">
            <v>685.27918781725884</v>
          </cell>
          <cell r="AY1538">
            <v>685.27918781725884</v>
          </cell>
          <cell r="AZ1538">
            <v>0</v>
          </cell>
          <cell r="BA1538">
            <v>0</v>
          </cell>
          <cell r="BB1538">
            <v>685.27918781725884</v>
          </cell>
          <cell r="BC1538">
            <v>685.27918781725884</v>
          </cell>
          <cell r="BD1538">
            <v>685.27918781725884</v>
          </cell>
          <cell r="BE1538">
            <v>685.27918781725884</v>
          </cell>
          <cell r="BF1538">
            <v>685.27918781725884</v>
          </cell>
          <cell r="BG1538">
            <v>685.27918781725884</v>
          </cell>
          <cell r="BH1538">
            <v>685.27918781725884</v>
          </cell>
          <cell r="BI1538">
            <v>685.27918781725884</v>
          </cell>
          <cell r="BJ1538">
            <v>685.27918781725884</v>
          </cell>
          <cell r="BK1538">
            <v>1713.1979695431471</v>
          </cell>
          <cell r="BL1538">
            <v>1713.1979695431471</v>
          </cell>
          <cell r="BM1538">
            <v>1713.1979695431471</v>
          </cell>
          <cell r="BN1538">
            <v>1713.1979695431471</v>
          </cell>
          <cell r="BO1538">
            <v>1713.1979695431471</v>
          </cell>
          <cell r="BP1538">
            <v>1713.1979695431471</v>
          </cell>
          <cell r="BQ1538">
            <v>1713.1979695431471</v>
          </cell>
          <cell r="BR1538">
            <v>1713.1979695431471</v>
          </cell>
          <cell r="BS1538">
            <v>1713.1979695431471</v>
          </cell>
          <cell r="BT1538">
            <v>1713.1979695431471</v>
          </cell>
          <cell r="BU1538">
            <v>1713.1979695431471</v>
          </cell>
          <cell r="BV1538">
            <v>1713.1979695431471</v>
          </cell>
        </row>
        <row r="1539">
          <cell r="A1539" t="str">
            <v>MMA</v>
          </cell>
          <cell r="B1539" t="str">
            <v>3RD ROW</v>
          </cell>
          <cell r="D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</row>
        <row r="1540">
          <cell r="A1540" t="str">
            <v>MMA</v>
          </cell>
          <cell r="B1540" t="str">
            <v>3RD ROW</v>
          </cell>
          <cell r="D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</row>
        <row r="1541">
          <cell r="A1541" t="str">
            <v>MMA</v>
          </cell>
          <cell r="B1541" t="str">
            <v>3RD ROW</v>
          </cell>
          <cell r="D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</row>
        <row r="1542">
          <cell r="A1542" t="str">
            <v>MMA</v>
          </cell>
          <cell r="B1542" t="str">
            <v>3RD ROW</v>
          </cell>
          <cell r="D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</row>
        <row r="1543">
          <cell r="A1543" t="str">
            <v>MMA</v>
          </cell>
          <cell r="B1543" t="str">
            <v>3RD ROW</v>
          </cell>
          <cell r="D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</row>
        <row r="1544">
          <cell r="A1544" t="str">
            <v>MMA</v>
          </cell>
          <cell r="B1544" t="str">
            <v>3RD ROW</v>
          </cell>
          <cell r="D1544" t="str">
            <v>Weekly Output PLAN - SUM of models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  <cell r="BK1544">
            <v>0</v>
          </cell>
          <cell r="BL1544">
            <v>0</v>
          </cell>
          <cell r="BM1544">
            <v>0</v>
          </cell>
          <cell r="BN1544">
            <v>0</v>
          </cell>
          <cell r="BO1544">
            <v>0</v>
          </cell>
          <cell r="BP1544">
            <v>0</v>
          </cell>
          <cell r="BQ1544">
            <v>0</v>
          </cell>
          <cell r="BR1544">
            <v>0</v>
          </cell>
          <cell r="BS1544">
            <v>0</v>
          </cell>
          <cell r="BT1544">
            <v>0</v>
          </cell>
          <cell r="BU1544">
            <v>0</v>
          </cell>
          <cell r="BV1544">
            <v>0</v>
          </cell>
        </row>
        <row r="1545">
          <cell r="A1545" t="str">
            <v>MMA</v>
          </cell>
          <cell r="B1545" t="str">
            <v>3RD ROW</v>
          </cell>
          <cell r="D1545" t="str">
            <v>Weekly Output CHECK with TO time multiple</v>
          </cell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</row>
        <row r="1546">
          <cell r="A1546" t="str">
            <v>MMA</v>
          </cell>
          <cell r="B1546" t="str">
            <v>3RD ROW</v>
          </cell>
          <cell r="D1546" t="str">
            <v>Weekly Output ACT</v>
          </cell>
          <cell r="Z1546">
            <v>685.27918781725884</v>
          </cell>
          <cell r="AA1546">
            <v>1027.9187817258883</v>
          </cell>
          <cell r="AB1546">
            <v>1027.9187817258883</v>
          </cell>
          <cell r="AC1546">
            <v>1027.9187817258883</v>
          </cell>
          <cell r="AD1546">
            <v>616.75126903553291</v>
          </cell>
          <cell r="AE1546">
            <v>1233.5025380710658</v>
          </cell>
          <cell r="AF1546">
            <v>1233.5025380710658</v>
          </cell>
          <cell r="AG1546">
            <v>685.27918781725884</v>
          </cell>
          <cell r="AH1546">
            <v>1027.9187817258883</v>
          </cell>
          <cell r="AI1546">
            <v>1027.9187817258883</v>
          </cell>
          <cell r="AJ1546">
            <v>1027.9187817258883</v>
          </cell>
          <cell r="AK1546">
            <v>822.33502538071059</v>
          </cell>
          <cell r="AL1546">
            <v>548.2233502538071</v>
          </cell>
          <cell r="AM1546">
            <v>1027.9187817258883</v>
          </cell>
          <cell r="AN1546">
            <v>548.2233502538071</v>
          </cell>
          <cell r="AO1546">
            <v>685.27918781725884</v>
          </cell>
          <cell r="AP1546">
            <v>685.27918781725884</v>
          </cell>
          <cell r="AQ1546">
            <v>685.27918781725884</v>
          </cell>
          <cell r="AR1546">
            <v>685.27918781725884</v>
          </cell>
          <cell r="AS1546">
            <v>685.27918781725884</v>
          </cell>
          <cell r="AT1546">
            <v>685.27918781725884</v>
          </cell>
          <cell r="AU1546">
            <v>685.27918781725884</v>
          </cell>
          <cell r="AV1546">
            <v>685.27918781725884</v>
          </cell>
          <cell r="AW1546">
            <v>685.27918781725884</v>
          </cell>
          <cell r="AX1546">
            <v>685.27918781725884</v>
          </cell>
          <cell r="AY1546">
            <v>685.27918781725884</v>
          </cell>
          <cell r="AZ1546">
            <v>0</v>
          </cell>
          <cell r="BA1546">
            <v>0</v>
          </cell>
          <cell r="BB1546">
            <v>685.27918781725884</v>
          </cell>
          <cell r="BC1546">
            <v>685.27918781725884</v>
          </cell>
          <cell r="BD1546">
            <v>685.27918781725884</v>
          </cell>
          <cell r="BE1546">
            <v>685.27918781725884</v>
          </cell>
          <cell r="BF1546">
            <v>685.27918781725884</v>
          </cell>
          <cell r="BG1546">
            <v>685.27918781725884</v>
          </cell>
          <cell r="BH1546">
            <v>685.27918781725884</v>
          </cell>
          <cell r="BI1546">
            <v>685.27918781725884</v>
          </cell>
          <cell r="BJ1546">
            <v>685.27918781725884</v>
          </cell>
          <cell r="BK1546">
            <v>1713.1979695431471</v>
          </cell>
          <cell r="BL1546">
            <v>1713.1979695431471</v>
          </cell>
          <cell r="BM1546">
            <v>1713.1979695431471</v>
          </cell>
          <cell r="BN1546">
            <v>1713.1979695431471</v>
          </cell>
          <cell r="BO1546">
            <v>1713.1979695431471</v>
          </cell>
          <cell r="BP1546">
            <v>1713.1979695431471</v>
          </cell>
          <cell r="BQ1546">
            <v>1713.1979695431471</v>
          </cell>
          <cell r="BR1546">
            <v>1713.1979695431471</v>
          </cell>
          <cell r="BS1546">
            <v>1713.1979695431471</v>
          </cell>
          <cell r="BT1546">
            <v>1713.1979695431471</v>
          </cell>
          <cell r="BU1546">
            <v>1713.1979695431471</v>
          </cell>
          <cell r="BV1546">
            <v>1713.1979695431471</v>
          </cell>
        </row>
        <row r="1547">
          <cell r="A1547" t="str">
            <v>MMA</v>
          </cell>
          <cell r="B1547" t="str">
            <v>3RD ROW</v>
          </cell>
          <cell r="D1547">
            <v>0</v>
          </cell>
          <cell r="Z1547">
            <v>1480</v>
          </cell>
          <cell r="AA1547">
            <v>960</v>
          </cell>
          <cell r="AB1547">
            <v>1060</v>
          </cell>
          <cell r="AC1547">
            <v>2281</v>
          </cell>
          <cell r="AD1547">
            <v>980</v>
          </cell>
          <cell r="AE1547">
            <v>1076</v>
          </cell>
          <cell r="AF1547">
            <v>1582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747.43333333333339</v>
          </cell>
          <cell r="BB1547">
            <v>859.7750000000002</v>
          </cell>
          <cell r="BC1547">
            <v>859.7750000000002</v>
          </cell>
          <cell r="BD1547">
            <v>859.7750000000002</v>
          </cell>
          <cell r="BE1547">
            <v>859.7750000000002</v>
          </cell>
          <cell r="BF1547">
            <v>1133.1444444444442</v>
          </cell>
          <cell r="BG1547">
            <v>1133.1444444444442</v>
          </cell>
          <cell r="BH1547">
            <v>1133.1444444444442</v>
          </cell>
          <cell r="BI1547">
            <v>1133.1444444444442</v>
          </cell>
          <cell r="BJ1547">
            <v>566.57222222222003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</row>
        <row r="1548">
          <cell r="A1548" t="str">
            <v>MMA</v>
          </cell>
          <cell r="B1548" t="str">
            <v>3RD ROW</v>
          </cell>
          <cell r="D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</row>
        <row r="1549">
          <cell r="A1549" t="str">
            <v>MMA</v>
          </cell>
          <cell r="B1549" t="str">
            <v>3RD ROW</v>
          </cell>
          <cell r="D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</row>
        <row r="1550">
          <cell r="A1550" t="str">
            <v>MMA</v>
          </cell>
          <cell r="B1550" t="str">
            <v>3RD ROW</v>
          </cell>
          <cell r="D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</row>
        <row r="1551">
          <cell r="A1551" t="str">
            <v>MMA</v>
          </cell>
          <cell r="B1551" t="str">
            <v>3RD ROW</v>
          </cell>
          <cell r="D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</row>
        <row r="1552">
          <cell r="A1552" t="str">
            <v>MMA</v>
          </cell>
          <cell r="B1552" t="str">
            <v>3RD ROW</v>
          </cell>
          <cell r="D1552" t="str">
            <v>Weekly demand</v>
          </cell>
          <cell r="Z1552">
            <v>1480</v>
          </cell>
          <cell r="AA1552">
            <v>960</v>
          </cell>
          <cell r="AB1552">
            <v>1060</v>
          </cell>
          <cell r="AC1552">
            <v>2281</v>
          </cell>
          <cell r="AD1552">
            <v>980</v>
          </cell>
          <cell r="AE1552">
            <v>1076</v>
          </cell>
          <cell r="AF1552">
            <v>1582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747.43333333333339</v>
          </cell>
          <cell r="BB1552">
            <v>859.7750000000002</v>
          </cell>
          <cell r="BC1552">
            <v>859.7750000000002</v>
          </cell>
          <cell r="BD1552">
            <v>859.7750000000002</v>
          </cell>
          <cell r="BE1552">
            <v>859.7750000000002</v>
          </cell>
          <cell r="BF1552">
            <v>1133.1444444444442</v>
          </cell>
          <cell r="BG1552">
            <v>1133.1444444444442</v>
          </cell>
          <cell r="BH1552">
            <v>1133.1444444444442</v>
          </cell>
          <cell r="BI1552">
            <v>1133.1444444444442</v>
          </cell>
          <cell r="BJ1552">
            <v>566.57222222222003</v>
          </cell>
          <cell r="BK1552">
            <v>0</v>
          </cell>
          <cell r="BL1552">
            <v>18744.683333333331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</row>
        <row r="1553">
          <cell r="A1553" t="str">
            <v>MMA</v>
          </cell>
          <cell r="B1553" t="str">
            <v>3RD ROW</v>
          </cell>
          <cell r="D1553" t="str">
            <v>Stock Target</v>
          </cell>
          <cell r="Z1553">
            <v>1000</v>
          </cell>
          <cell r="AA1553">
            <v>1000</v>
          </cell>
          <cell r="AB1553">
            <v>1000</v>
          </cell>
          <cell r="AC1553">
            <v>1000</v>
          </cell>
          <cell r="AD1553">
            <v>1000</v>
          </cell>
          <cell r="AE1553">
            <v>1000</v>
          </cell>
          <cell r="AF1553">
            <v>1000</v>
          </cell>
          <cell r="AG1553">
            <v>1000</v>
          </cell>
          <cell r="AH1553">
            <v>1000</v>
          </cell>
          <cell r="AI1553">
            <v>1000</v>
          </cell>
          <cell r="AJ1553">
            <v>2528</v>
          </cell>
          <cell r="AK1553">
            <v>2529</v>
          </cell>
          <cell r="AL1553">
            <v>2530</v>
          </cell>
          <cell r="AM1553">
            <v>2531</v>
          </cell>
          <cell r="AN1553">
            <v>2532</v>
          </cell>
          <cell r="AO1553">
            <v>2533</v>
          </cell>
          <cell r="AP1553">
            <v>2534</v>
          </cell>
          <cell r="AQ1553">
            <v>2535</v>
          </cell>
          <cell r="AR1553">
            <v>2536</v>
          </cell>
          <cell r="AS1553">
            <v>2537</v>
          </cell>
          <cell r="AT1553">
            <v>2538</v>
          </cell>
          <cell r="AU1553">
            <v>2539</v>
          </cell>
          <cell r="AV1553">
            <v>2540</v>
          </cell>
          <cell r="AW1553">
            <v>2541</v>
          </cell>
          <cell r="AX1553">
            <v>2542</v>
          </cell>
          <cell r="AY1553">
            <v>2543</v>
          </cell>
          <cell r="AZ1553">
            <v>2544</v>
          </cell>
          <cell r="BA1553">
            <v>2545</v>
          </cell>
          <cell r="BB1553">
            <v>2546</v>
          </cell>
          <cell r="BC1553">
            <v>2547</v>
          </cell>
          <cell r="BD1553">
            <v>2548</v>
          </cell>
          <cell r="BE1553">
            <v>2549</v>
          </cell>
          <cell r="BF1553">
            <v>2550</v>
          </cell>
          <cell r="BG1553">
            <v>2551</v>
          </cell>
          <cell r="BH1553">
            <v>2552</v>
          </cell>
          <cell r="BI1553">
            <v>2553</v>
          </cell>
          <cell r="BJ1553">
            <v>2554</v>
          </cell>
          <cell r="BK1553">
            <v>2555</v>
          </cell>
          <cell r="BL1553">
            <v>2556</v>
          </cell>
          <cell r="BM1553">
            <v>2557</v>
          </cell>
          <cell r="BN1553">
            <v>2558</v>
          </cell>
          <cell r="BO1553">
            <v>2559</v>
          </cell>
          <cell r="BP1553">
            <v>2560</v>
          </cell>
          <cell r="BQ1553">
            <v>2561</v>
          </cell>
          <cell r="BR1553">
            <v>2562</v>
          </cell>
          <cell r="BS1553">
            <v>2563</v>
          </cell>
          <cell r="BT1553">
            <v>2564</v>
          </cell>
          <cell r="BU1553">
            <v>2565</v>
          </cell>
          <cell r="BV1553">
            <v>2566</v>
          </cell>
        </row>
        <row r="1554">
          <cell r="A1554" t="str">
            <v>MMA</v>
          </cell>
          <cell r="B1554" t="str">
            <v>3RD ROW</v>
          </cell>
          <cell r="D1554">
            <v>0</v>
          </cell>
          <cell r="Z1554">
            <v>1901</v>
          </cell>
          <cell r="AA1554">
            <v>941</v>
          </cell>
          <cell r="AB1554">
            <v>-119</v>
          </cell>
          <cell r="AC1554">
            <v>-2400</v>
          </cell>
          <cell r="AD1554">
            <v>-3380</v>
          </cell>
          <cell r="AE1554">
            <v>-4456</v>
          </cell>
          <cell r="AF1554">
            <v>-6038</v>
          </cell>
          <cell r="AG1554">
            <v>-6038</v>
          </cell>
          <cell r="AH1554">
            <v>-6038</v>
          </cell>
          <cell r="AI1554">
            <v>-6038</v>
          </cell>
          <cell r="AJ1554">
            <v>-6038</v>
          </cell>
          <cell r="AK1554">
            <v>-6038</v>
          </cell>
          <cell r="AL1554">
            <v>-6038</v>
          </cell>
          <cell r="AM1554">
            <v>-6038</v>
          </cell>
          <cell r="AN1554">
            <v>-6038</v>
          </cell>
          <cell r="AO1554">
            <v>-6038</v>
          </cell>
          <cell r="AP1554">
            <v>-6038</v>
          </cell>
          <cell r="AQ1554">
            <v>-6038</v>
          </cell>
          <cell r="AR1554">
            <v>-6038</v>
          </cell>
          <cell r="AS1554">
            <v>-6038</v>
          </cell>
          <cell r="AT1554">
            <v>-6038</v>
          </cell>
          <cell r="AU1554">
            <v>-6038</v>
          </cell>
          <cell r="AV1554">
            <v>-6038</v>
          </cell>
          <cell r="AW1554">
            <v>-6038</v>
          </cell>
          <cell r="AX1554">
            <v>-6038</v>
          </cell>
          <cell r="AY1554">
            <v>-6038</v>
          </cell>
          <cell r="AZ1554">
            <v>-6038</v>
          </cell>
          <cell r="BA1554">
            <v>-6785.4333333333334</v>
          </cell>
          <cell r="BB1554">
            <v>-7645.2083333333339</v>
          </cell>
          <cell r="BC1554">
            <v>-8504.9833333333336</v>
          </cell>
          <cell r="BD1554">
            <v>-9364.7583333333332</v>
          </cell>
          <cell r="BE1554">
            <v>-10224.533333333333</v>
          </cell>
          <cell r="BF1554">
            <v>-11357.677777777777</v>
          </cell>
          <cell r="BG1554">
            <v>-12490.822222222221</v>
          </cell>
          <cell r="BH1554">
            <v>-13623.966666666665</v>
          </cell>
          <cell r="BI1554">
            <v>-14757.111111111109</v>
          </cell>
          <cell r="BJ1554">
            <v>-15323.683333333329</v>
          </cell>
          <cell r="BK1554">
            <v>-15323.683333333329</v>
          </cell>
          <cell r="BL1554">
            <v>-15323.683333333329</v>
          </cell>
          <cell r="BM1554">
            <v>-15323.683333333329</v>
          </cell>
          <cell r="BN1554">
            <v>-15323.683333333329</v>
          </cell>
          <cell r="BO1554">
            <v>-15323.683333333329</v>
          </cell>
          <cell r="BP1554">
            <v>-15323.683333333329</v>
          </cell>
          <cell r="BQ1554">
            <v>-15323.683333333329</v>
          </cell>
          <cell r="BR1554">
            <v>-15323.683333333329</v>
          </cell>
          <cell r="BS1554">
            <v>-15323.683333333329</v>
          </cell>
          <cell r="BT1554">
            <v>-15323.683333333329</v>
          </cell>
          <cell r="BU1554">
            <v>-15323.683333333329</v>
          </cell>
          <cell r="BV1554">
            <v>-15323.683333333329</v>
          </cell>
        </row>
        <row r="1555">
          <cell r="A1555" t="str">
            <v>MMA</v>
          </cell>
          <cell r="B1555" t="str">
            <v>3RD ROW</v>
          </cell>
          <cell r="D1555" t="str">
            <v>PO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</row>
        <row r="1556">
          <cell r="A1556" t="str">
            <v>MMA</v>
          </cell>
          <cell r="B1556" t="str">
            <v>3RD ROW</v>
          </cell>
          <cell r="D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</row>
        <row r="1557">
          <cell r="A1557" t="str">
            <v>MMA</v>
          </cell>
          <cell r="B1557" t="str">
            <v>3RD ROW</v>
          </cell>
          <cell r="D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</row>
        <row r="1558">
          <cell r="A1558" t="str">
            <v>MMA</v>
          </cell>
          <cell r="B1558" t="str">
            <v>3RD ROW</v>
          </cell>
          <cell r="D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A1559" t="str">
            <v>MMA</v>
          </cell>
          <cell r="B1559" t="str">
            <v>3RD ROW</v>
          </cell>
          <cell r="D1559" t="str">
            <v>STOCK</v>
          </cell>
          <cell r="Z1559">
            <v>1901</v>
          </cell>
          <cell r="AA1559">
            <v>1968.9187817258883</v>
          </cell>
          <cell r="AB1559">
            <v>1936.8375634517765</v>
          </cell>
          <cell r="AC1559">
            <v>683.7563451776648</v>
          </cell>
          <cell r="AD1559">
            <v>320.50761421319771</v>
          </cell>
          <cell r="AE1559">
            <v>478.01015228426354</v>
          </cell>
          <cell r="AF1559">
            <v>129.51269035532937</v>
          </cell>
          <cell r="AG1559">
            <v>814.79187817258821</v>
          </cell>
          <cell r="AH1559">
            <v>1842.7106598984765</v>
          </cell>
          <cell r="AI1559">
            <v>2870.6294416243645</v>
          </cell>
          <cell r="AJ1559">
            <v>3898.5482233502526</v>
          </cell>
          <cell r="AK1559">
            <v>4720.8832487309628</v>
          </cell>
          <cell r="AL1559">
            <v>5269.1065989847702</v>
          </cell>
          <cell r="AM1559">
            <v>6297.0253807106583</v>
          </cell>
          <cell r="AN1559">
            <v>6845.2487309644657</v>
          </cell>
          <cell r="AO1559">
            <v>7530.527918781725</v>
          </cell>
          <cell r="AP1559">
            <v>8215.8071065989843</v>
          </cell>
          <cell r="AQ1559">
            <v>8901.0862944162436</v>
          </cell>
          <cell r="AR1559">
            <v>9586.3654822335029</v>
          </cell>
          <cell r="AS1559">
            <v>10271.644670050762</v>
          </cell>
          <cell r="AT1559">
            <v>10956.923857868022</v>
          </cell>
          <cell r="AU1559">
            <v>11642.203045685281</v>
          </cell>
          <cell r="AV1559">
            <v>12327.48223350254</v>
          </cell>
          <cell r="AW1559">
            <v>13012.761421319799</v>
          </cell>
          <cell r="AX1559">
            <v>13698.040609137059</v>
          </cell>
          <cell r="AY1559">
            <v>14383.319796954318</v>
          </cell>
          <cell r="AZ1559">
            <v>14383.319796954318</v>
          </cell>
          <cell r="BA1559">
            <v>13635.886463620984</v>
          </cell>
          <cell r="BB1559">
            <v>13461.390651438243</v>
          </cell>
          <cell r="BC1559">
            <v>13286.894839255503</v>
          </cell>
          <cell r="BD1559">
            <v>13112.399027072763</v>
          </cell>
          <cell r="BE1559">
            <v>12937.903214890022</v>
          </cell>
          <cell r="BF1559">
            <v>12490.037958262837</v>
          </cell>
          <cell r="BG1559">
            <v>12042.172701635653</v>
          </cell>
          <cell r="BH1559">
            <v>11594.307445008468</v>
          </cell>
          <cell r="BI1559">
            <v>11146.442188381283</v>
          </cell>
          <cell r="BJ1559">
            <v>11265.149153976323</v>
          </cell>
          <cell r="BK1559">
            <v>12978.34712351947</v>
          </cell>
          <cell r="BL1559">
            <v>-4053.1382402707131</v>
          </cell>
          <cell r="BM1559">
            <v>-2339.9402707275658</v>
          </cell>
          <cell r="BN1559">
            <v>-626.74230118441869</v>
          </cell>
          <cell r="BO1559">
            <v>1086.4556683587284</v>
          </cell>
          <cell r="BP1559">
            <v>2799.6536379018753</v>
          </cell>
          <cell r="BQ1559">
            <v>4512.8516074450226</v>
          </cell>
          <cell r="BR1559">
            <v>6226.04957698817</v>
          </cell>
          <cell r="BS1559">
            <v>7939.2475465313173</v>
          </cell>
          <cell r="BT1559">
            <v>9652.4455160744637</v>
          </cell>
          <cell r="BU1559">
            <v>11365.643485617611</v>
          </cell>
          <cell r="BV1559">
            <v>13078.841455160758</v>
          </cell>
        </row>
        <row r="1560">
          <cell r="A1560" t="str">
            <v>Blank</v>
          </cell>
          <cell r="B1560" t="str">
            <v>Blank</v>
          </cell>
          <cell r="D1560" t="str">
            <v>Blank</v>
          </cell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</row>
        <row r="1561">
          <cell r="A1561" t="str">
            <v>MMA</v>
          </cell>
          <cell r="B1561" t="str">
            <v>3RD ROW</v>
          </cell>
          <cell r="D1561" t="str">
            <v>Work days</v>
          </cell>
          <cell r="Z1561">
            <v>5</v>
          </cell>
          <cell r="AA1561">
            <v>5</v>
          </cell>
          <cell r="AB1561">
            <v>5</v>
          </cell>
          <cell r="AC1561">
            <v>5</v>
          </cell>
          <cell r="AD1561">
            <v>3</v>
          </cell>
          <cell r="AE1561">
            <v>6</v>
          </cell>
          <cell r="AF1561">
            <v>6</v>
          </cell>
          <cell r="AG1561">
            <v>5</v>
          </cell>
          <cell r="AH1561">
            <v>5</v>
          </cell>
          <cell r="AI1561">
            <v>5</v>
          </cell>
          <cell r="AJ1561">
            <v>6</v>
          </cell>
          <cell r="AK1561">
            <v>4</v>
          </cell>
          <cell r="AL1561">
            <v>4</v>
          </cell>
          <cell r="AM1561">
            <v>5</v>
          </cell>
          <cell r="AN1561">
            <v>4</v>
          </cell>
          <cell r="AO1561">
            <v>5</v>
          </cell>
          <cell r="AP1561">
            <v>5</v>
          </cell>
          <cell r="AQ1561">
            <v>5</v>
          </cell>
          <cell r="AR1561">
            <v>5</v>
          </cell>
          <cell r="AS1561">
            <v>5</v>
          </cell>
          <cell r="AT1561">
            <v>5</v>
          </cell>
          <cell r="AU1561">
            <v>5</v>
          </cell>
          <cell r="AV1561">
            <v>5</v>
          </cell>
          <cell r="AW1561">
            <v>5</v>
          </cell>
          <cell r="AX1561">
            <v>5</v>
          </cell>
          <cell r="AY1561">
            <v>5</v>
          </cell>
          <cell r="AZ1561">
            <v>0</v>
          </cell>
          <cell r="BA1561">
            <v>0</v>
          </cell>
          <cell r="BB1561">
            <v>5</v>
          </cell>
          <cell r="BC1561">
            <v>5</v>
          </cell>
          <cell r="BD1561">
            <v>5</v>
          </cell>
          <cell r="BE1561">
            <v>5</v>
          </cell>
          <cell r="BF1561">
            <v>5</v>
          </cell>
          <cell r="BG1561">
            <v>5</v>
          </cell>
          <cell r="BH1561">
            <v>5</v>
          </cell>
          <cell r="BI1561">
            <v>5</v>
          </cell>
          <cell r="BJ1561">
            <v>5</v>
          </cell>
          <cell r="BK1561">
            <v>5</v>
          </cell>
          <cell r="BL1561">
            <v>5</v>
          </cell>
          <cell r="BM1561">
            <v>5</v>
          </cell>
          <cell r="BN1561">
            <v>5</v>
          </cell>
          <cell r="BO1561">
            <v>5</v>
          </cell>
          <cell r="BP1561">
            <v>5</v>
          </cell>
          <cell r="BQ1561">
            <v>5</v>
          </cell>
          <cell r="BR1561">
            <v>5</v>
          </cell>
          <cell r="BS1561">
            <v>5</v>
          </cell>
          <cell r="BT1561">
            <v>5</v>
          </cell>
          <cell r="BU1561">
            <v>5</v>
          </cell>
          <cell r="BV1561">
            <v>5</v>
          </cell>
        </row>
        <row r="1562">
          <cell r="A1562" t="str">
            <v>MMA</v>
          </cell>
          <cell r="B1562" t="str">
            <v>3RD ROW</v>
          </cell>
          <cell r="D1562" t="str">
            <v>SHIFT A HC - operators</v>
          </cell>
          <cell r="Z1562">
            <v>3</v>
          </cell>
          <cell r="AA1562">
            <v>3</v>
          </cell>
          <cell r="AB1562">
            <v>3</v>
          </cell>
          <cell r="AC1562">
            <v>3</v>
          </cell>
          <cell r="AD1562">
            <v>3</v>
          </cell>
          <cell r="AE1562">
            <v>3</v>
          </cell>
          <cell r="AF1562">
            <v>3</v>
          </cell>
          <cell r="AG1562">
            <v>3</v>
          </cell>
          <cell r="AH1562">
            <v>3</v>
          </cell>
          <cell r="AI1562">
            <v>3</v>
          </cell>
          <cell r="AJ1562">
            <v>3</v>
          </cell>
          <cell r="AK1562">
            <v>3</v>
          </cell>
          <cell r="AL1562">
            <v>3</v>
          </cell>
          <cell r="AM1562">
            <v>3</v>
          </cell>
          <cell r="AN1562">
            <v>3</v>
          </cell>
          <cell r="AO1562">
            <v>3</v>
          </cell>
          <cell r="AP1562">
            <v>3</v>
          </cell>
          <cell r="AQ1562">
            <v>3</v>
          </cell>
          <cell r="AR1562">
            <v>3</v>
          </cell>
          <cell r="AS1562">
            <v>3</v>
          </cell>
          <cell r="AT1562">
            <v>3</v>
          </cell>
          <cell r="AU1562">
            <v>3</v>
          </cell>
          <cell r="AV1562">
            <v>3</v>
          </cell>
          <cell r="AW1562">
            <v>3</v>
          </cell>
          <cell r="AX1562">
            <v>3</v>
          </cell>
          <cell r="AY1562">
            <v>3</v>
          </cell>
          <cell r="AZ1562">
            <v>3</v>
          </cell>
          <cell r="BA1562">
            <v>3</v>
          </cell>
          <cell r="BB1562">
            <v>3</v>
          </cell>
          <cell r="BC1562">
            <v>3</v>
          </cell>
          <cell r="BD1562">
            <v>3</v>
          </cell>
          <cell r="BE1562">
            <v>3</v>
          </cell>
          <cell r="BF1562">
            <v>3</v>
          </cell>
          <cell r="BG1562">
            <v>3</v>
          </cell>
          <cell r="BH1562">
            <v>3</v>
          </cell>
          <cell r="BI1562">
            <v>3</v>
          </cell>
          <cell r="BJ1562">
            <v>3</v>
          </cell>
          <cell r="BK1562">
            <v>3</v>
          </cell>
          <cell r="BL1562">
            <v>3</v>
          </cell>
          <cell r="BM1562">
            <v>3</v>
          </cell>
          <cell r="BN1562">
            <v>3</v>
          </cell>
          <cell r="BO1562">
            <v>3</v>
          </cell>
          <cell r="BP1562">
            <v>3</v>
          </cell>
          <cell r="BQ1562">
            <v>3</v>
          </cell>
          <cell r="BR1562">
            <v>3</v>
          </cell>
          <cell r="BS1562">
            <v>3</v>
          </cell>
          <cell r="BT1562">
            <v>3</v>
          </cell>
          <cell r="BU1562">
            <v>3</v>
          </cell>
          <cell r="BV1562">
            <v>3</v>
          </cell>
        </row>
        <row r="1563">
          <cell r="A1563" t="str">
            <v>MMA</v>
          </cell>
          <cell r="B1563" t="str">
            <v>3RD ROW</v>
          </cell>
          <cell r="D1563" t="str">
            <v>SHIFT B HC  - operators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A1564" t="str">
            <v>MMA</v>
          </cell>
          <cell r="B1564" t="str">
            <v>3RD ROW</v>
          </cell>
          <cell r="D1564" t="str">
            <v>SHIFT C HC  - operators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A1565" t="str">
            <v>MMA</v>
          </cell>
          <cell r="B1565" t="str">
            <v>3RD ROW</v>
          </cell>
          <cell r="D1565" t="str">
            <v>Total HC</v>
          </cell>
          <cell r="Z1565">
            <v>3</v>
          </cell>
          <cell r="AA1565">
            <v>3</v>
          </cell>
          <cell r="AB1565">
            <v>3</v>
          </cell>
          <cell r="AC1565">
            <v>3</v>
          </cell>
          <cell r="AD1565">
            <v>3</v>
          </cell>
          <cell r="AE1565">
            <v>3</v>
          </cell>
          <cell r="AF1565">
            <v>3</v>
          </cell>
          <cell r="AG1565">
            <v>3</v>
          </cell>
          <cell r="AH1565">
            <v>3</v>
          </cell>
          <cell r="AI1565">
            <v>3</v>
          </cell>
          <cell r="AJ1565">
            <v>3</v>
          </cell>
          <cell r="AK1565">
            <v>3</v>
          </cell>
          <cell r="AL1565">
            <v>3</v>
          </cell>
          <cell r="AM1565">
            <v>3</v>
          </cell>
          <cell r="AN1565">
            <v>3</v>
          </cell>
          <cell r="AO1565">
            <v>3</v>
          </cell>
          <cell r="AP1565">
            <v>3</v>
          </cell>
          <cell r="AQ1565">
            <v>3</v>
          </cell>
          <cell r="AR1565">
            <v>3</v>
          </cell>
          <cell r="AS1565">
            <v>3</v>
          </cell>
          <cell r="AT1565">
            <v>3</v>
          </cell>
          <cell r="AU1565">
            <v>3</v>
          </cell>
          <cell r="AV1565">
            <v>3</v>
          </cell>
          <cell r="AW1565">
            <v>3</v>
          </cell>
          <cell r="AX1565">
            <v>3</v>
          </cell>
          <cell r="AY1565">
            <v>3</v>
          </cell>
          <cell r="AZ1565">
            <v>3</v>
          </cell>
          <cell r="BA1565">
            <v>3</v>
          </cell>
          <cell r="BB1565">
            <v>3</v>
          </cell>
          <cell r="BC1565">
            <v>3</v>
          </cell>
          <cell r="BD1565">
            <v>3</v>
          </cell>
          <cell r="BE1565">
            <v>3</v>
          </cell>
          <cell r="BF1565">
            <v>3</v>
          </cell>
          <cell r="BG1565">
            <v>3</v>
          </cell>
          <cell r="BH1565">
            <v>3</v>
          </cell>
          <cell r="BI1565">
            <v>3</v>
          </cell>
          <cell r="BJ1565">
            <v>3</v>
          </cell>
          <cell r="BK1565">
            <v>3</v>
          </cell>
          <cell r="BL1565">
            <v>3</v>
          </cell>
          <cell r="BM1565">
            <v>3</v>
          </cell>
          <cell r="BN1565">
            <v>3</v>
          </cell>
          <cell r="BO1565">
            <v>3</v>
          </cell>
          <cell r="BP1565">
            <v>3</v>
          </cell>
          <cell r="BQ1565">
            <v>3</v>
          </cell>
          <cell r="BR1565">
            <v>3</v>
          </cell>
          <cell r="BS1565">
            <v>3</v>
          </cell>
          <cell r="BT1565">
            <v>3</v>
          </cell>
          <cell r="BU1565">
            <v>3</v>
          </cell>
          <cell r="BV1565">
            <v>3</v>
          </cell>
        </row>
        <row r="1566">
          <cell r="A1566" t="str">
            <v>MMA</v>
          </cell>
          <cell r="B1566" t="str">
            <v>3RD ROW</v>
          </cell>
          <cell r="D1566" t="str">
            <v>SHIFT A HC  - efficiency</v>
          </cell>
          <cell r="Z1566">
            <v>0.9</v>
          </cell>
          <cell r="AA1566">
            <v>0.95000000000000007</v>
          </cell>
          <cell r="AB1566">
            <v>1.05</v>
          </cell>
          <cell r="AC1566">
            <v>1</v>
          </cell>
          <cell r="AD1566">
            <v>1</v>
          </cell>
          <cell r="AE1566">
            <v>1</v>
          </cell>
          <cell r="AF1566">
            <v>1</v>
          </cell>
          <cell r="AG1566">
            <v>1</v>
          </cell>
          <cell r="AH1566">
            <v>1</v>
          </cell>
          <cell r="AI1566">
            <v>1</v>
          </cell>
          <cell r="AJ1566">
            <v>1</v>
          </cell>
          <cell r="AK1566">
            <v>1</v>
          </cell>
          <cell r="AL1566">
            <v>1</v>
          </cell>
          <cell r="AM1566">
            <v>1</v>
          </cell>
          <cell r="AN1566">
            <v>1</v>
          </cell>
          <cell r="AO1566">
            <v>1</v>
          </cell>
          <cell r="AP1566">
            <v>1</v>
          </cell>
          <cell r="AQ1566">
            <v>1</v>
          </cell>
          <cell r="AR1566">
            <v>1</v>
          </cell>
          <cell r="AS1566">
            <v>1</v>
          </cell>
          <cell r="AT1566">
            <v>1</v>
          </cell>
          <cell r="AU1566">
            <v>1</v>
          </cell>
          <cell r="AV1566">
            <v>1</v>
          </cell>
          <cell r="AW1566">
            <v>1</v>
          </cell>
          <cell r="AX1566">
            <v>1</v>
          </cell>
          <cell r="AY1566">
            <v>1</v>
          </cell>
          <cell r="AZ1566">
            <v>1</v>
          </cell>
          <cell r="BA1566">
            <v>1</v>
          </cell>
          <cell r="BB1566">
            <v>1</v>
          </cell>
          <cell r="BC1566">
            <v>1</v>
          </cell>
          <cell r="BD1566">
            <v>1</v>
          </cell>
          <cell r="BE1566">
            <v>1</v>
          </cell>
          <cell r="BF1566">
            <v>1</v>
          </cell>
          <cell r="BG1566">
            <v>1</v>
          </cell>
          <cell r="BH1566">
            <v>1</v>
          </cell>
          <cell r="BI1566">
            <v>1</v>
          </cell>
          <cell r="BJ1566">
            <v>1</v>
          </cell>
          <cell r="BK1566">
            <v>1.2</v>
          </cell>
          <cell r="BL1566">
            <v>1.2</v>
          </cell>
          <cell r="BM1566">
            <v>1.2</v>
          </cell>
          <cell r="BN1566">
            <v>1.2</v>
          </cell>
          <cell r="BO1566">
            <v>1.2</v>
          </cell>
          <cell r="BP1566">
            <v>1.2</v>
          </cell>
          <cell r="BQ1566">
            <v>1.2</v>
          </cell>
          <cell r="BR1566">
            <v>1.2</v>
          </cell>
          <cell r="BS1566">
            <v>1.2</v>
          </cell>
          <cell r="BT1566">
            <v>1.2</v>
          </cell>
          <cell r="BU1566">
            <v>1.2</v>
          </cell>
          <cell r="BV1566">
            <v>1.2</v>
          </cell>
        </row>
        <row r="1567">
          <cell r="A1567" t="str">
            <v>MMA</v>
          </cell>
          <cell r="B1567" t="str">
            <v>3RD ROW</v>
          </cell>
          <cell r="D1567" t="str">
            <v>SHIFT B HC  - efficiency</v>
          </cell>
          <cell r="Z1567">
            <v>0.9</v>
          </cell>
          <cell r="AA1567">
            <v>0.95000000000000007</v>
          </cell>
          <cell r="AB1567">
            <v>1</v>
          </cell>
          <cell r="AC1567">
            <v>1.05</v>
          </cell>
          <cell r="AD1567">
            <v>1.1000000000000001</v>
          </cell>
          <cell r="AE1567">
            <v>1.1500000000000001</v>
          </cell>
          <cell r="AF1567">
            <v>1.2000000000000002</v>
          </cell>
          <cell r="AG1567">
            <v>1.2500000000000002</v>
          </cell>
          <cell r="AH1567">
            <v>1.3000000000000003</v>
          </cell>
          <cell r="AI1567">
            <v>1.3500000000000003</v>
          </cell>
          <cell r="AJ1567">
            <v>1</v>
          </cell>
          <cell r="AK1567">
            <v>1</v>
          </cell>
          <cell r="AL1567">
            <v>1</v>
          </cell>
          <cell r="AM1567">
            <v>1</v>
          </cell>
          <cell r="AN1567">
            <v>1</v>
          </cell>
          <cell r="AO1567">
            <v>1</v>
          </cell>
          <cell r="AP1567">
            <v>1</v>
          </cell>
          <cell r="AQ1567">
            <v>1</v>
          </cell>
          <cell r="AR1567">
            <v>1</v>
          </cell>
          <cell r="AS1567">
            <v>1</v>
          </cell>
          <cell r="AT1567">
            <v>1</v>
          </cell>
          <cell r="AU1567">
            <v>1</v>
          </cell>
          <cell r="AV1567">
            <v>1</v>
          </cell>
          <cell r="AW1567">
            <v>1</v>
          </cell>
          <cell r="AX1567">
            <v>1</v>
          </cell>
          <cell r="AY1567">
            <v>1</v>
          </cell>
          <cell r="AZ1567">
            <v>1</v>
          </cell>
          <cell r="BA1567">
            <v>1</v>
          </cell>
          <cell r="BB1567">
            <v>1</v>
          </cell>
          <cell r="BC1567">
            <v>1</v>
          </cell>
          <cell r="BD1567">
            <v>1</v>
          </cell>
          <cell r="BE1567">
            <v>1</v>
          </cell>
          <cell r="BF1567">
            <v>1</v>
          </cell>
          <cell r="BG1567">
            <v>1</v>
          </cell>
          <cell r="BH1567">
            <v>1</v>
          </cell>
          <cell r="BI1567">
            <v>1</v>
          </cell>
          <cell r="BJ1567">
            <v>1</v>
          </cell>
          <cell r="BK1567">
            <v>1</v>
          </cell>
          <cell r="BL1567">
            <v>1</v>
          </cell>
          <cell r="BM1567">
            <v>1</v>
          </cell>
          <cell r="BN1567">
            <v>1</v>
          </cell>
          <cell r="BO1567">
            <v>1</v>
          </cell>
          <cell r="BP1567">
            <v>1</v>
          </cell>
          <cell r="BQ1567">
            <v>1</v>
          </cell>
          <cell r="BR1567">
            <v>1</v>
          </cell>
          <cell r="BS1567">
            <v>1</v>
          </cell>
          <cell r="BT1567">
            <v>1</v>
          </cell>
          <cell r="BU1567">
            <v>1</v>
          </cell>
          <cell r="BV1567">
            <v>1</v>
          </cell>
        </row>
        <row r="1568">
          <cell r="A1568" t="str">
            <v>MMA</v>
          </cell>
          <cell r="B1568" t="str">
            <v>3RD ROW</v>
          </cell>
          <cell r="D1568" t="str">
            <v>SHIFT C HC  - efficiency</v>
          </cell>
          <cell r="Z1568">
            <v>1</v>
          </cell>
          <cell r="AA1568">
            <v>1</v>
          </cell>
          <cell r="AB1568">
            <v>1</v>
          </cell>
          <cell r="AC1568">
            <v>1</v>
          </cell>
          <cell r="AD1568">
            <v>1</v>
          </cell>
          <cell r="AE1568">
            <v>1</v>
          </cell>
          <cell r="AF1568">
            <v>1</v>
          </cell>
          <cell r="AG1568">
            <v>1</v>
          </cell>
          <cell r="AH1568">
            <v>1</v>
          </cell>
          <cell r="AI1568">
            <v>1</v>
          </cell>
          <cell r="AJ1568">
            <v>1</v>
          </cell>
          <cell r="AK1568">
            <v>1</v>
          </cell>
          <cell r="AL1568">
            <v>1</v>
          </cell>
          <cell r="AM1568">
            <v>1</v>
          </cell>
          <cell r="AN1568">
            <v>1</v>
          </cell>
          <cell r="AO1568">
            <v>1</v>
          </cell>
          <cell r="AP1568">
            <v>1</v>
          </cell>
          <cell r="AQ1568">
            <v>1</v>
          </cell>
          <cell r="AR1568">
            <v>1</v>
          </cell>
          <cell r="AS1568">
            <v>1</v>
          </cell>
          <cell r="AT1568">
            <v>1</v>
          </cell>
          <cell r="AU1568">
            <v>1</v>
          </cell>
          <cell r="AV1568">
            <v>1</v>
          </cell>
          <cell r="AW1568">
            <v>1</v>
          </cell>
          <cell r="AX1568">
            <v>1</v>
          </cell>
          <cell r="AY1568">
            <v>1</v>
          </cell>
          <cell r="AZ1568">
            <v>1</v>
          </cell>
          <cell r="BA1568">
            <v>1</v>
          </cell>
          <cell r="BB1568">
            <v>1</v>
          </cell>
          <cell r="BC1568">
            <v>1</v>
          </cell>
          <cell r="BD1568">
            <v>1</v>
          </cell>
          <cell r="BE1568">
            <v>1</v>
          </cell>
          <cell r="BF1568">
            <v>1</v>
          </cell>
          <cell r="BG1568">
            <v>1</v>
          </cell>
          <cell r="BH1568">
            <v>1</v>
          </cell>
          <cell r="BI1568">
            <v>1</v>
          </cell>
          <cell r="BJ1568">
            <v>1</v>
          </cell>
          <cell r="BK1568">
            <v>1</v>
          </cell>
          <cell r="BL1568">
            <v>1</v>
          </cell>
          <cell r="BM1568">
            <v>1</v>
          </cell>
          <cell r="BN1568">
            <v>1</v>
          </cell>
          <cell r="BO1568">
            <v>1</v>
          </cell>
          <cell r="BP1568">
            <v>1</v>
          </cell>
          <cell r="BQ1568">
            <v>1</v>
          </cell>
          <cell r="BR1568">
            <v>1</v>
          </cell>
          <cell r="BS1568">
            <v>1</v>
          </cell>
          <cell r="BT1568">
            <v>1</v>
          </cell>
          <cell r="BU1568">
            <v>1</v>
          </cell>
          <cell r="BV1568">
            <v>1</v>
          </cell>
        </row>
        <row r="1569">
          <cell r="A1569" t="str">
            <v>MMA</v>
          </cell>
          <cell r="B1569" t="str">
            <v>3RD ROW</v>
          </cell>
          <cell r="D1569" t="str">
            <v>Total efficiency</v>
          </cell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</row>
        <row r="1570">
          <cell r="A1570" t="str">
            <v>MMA</v>
          </cell>
          <cell r="B1570" t="str">
            <v>3RD ROW</v>
          </cell>
          <cell r="D1570" t="str">
            <v>SHIFT A - output</v>
          </cell>
          <cell r="Z1570">
            <v>167.41071428571428</v>
          </cell>
          <cell r="AA1570">
            <v>176.71130952380955</v>
          </cell>
          <cell r="AB1570">
            <v>195.3125</v>
          </cell>
          <cell r="AC1570">
            <v>186.01190476190476</v>
          </cell>
          <cell r="AD1570">
            <v>186.01190476190476</v>
          </cell>
          <cell r="AE1570">
            <v>186.01190476190476</v>
          </cell>
          <cell r="AF1570">
            <v>186.01190476190476</v>
          </cell>
          <cell r="AG1570">
            <v>186.01190476190476</v>
          </cell>
          <cell r="AH1570">
            <v>186.01190476190476</v>
          </cell>
          <cell r="AI1570">
            <v>186.01190476190476</v>
          </cell>
          <cell r="AJ1570">
            <v>186.01190476190476</v>
          </cell>
          <cell r="AK1570">
            <v>186.01190476190476</v>
          </cell>
          <cell r="AL1570">
            <v>186.01190476190476</v>
          </cell>
          <cell r="AM1570">
            <v>186.01190476190476</v>
          </cell>
          <cell r="AN1570">
            <v>186.01190476190476</v>
          </cell>
          <cell r="AO1570">
            <v>186.01190476190476</v>
          </cell>
          <cell r="AP1570">
            <v>186.01190476190476</v>
          </cell>
          <cell r="AQ1570">
            <v>186.01190476190476</v>
          </cell>
          <cell r="AR1570">
            <v>186.01190476190476</v>
          </cell>
          <cell r="AS1570">
            <v>186.01190476190476</v>
          </cell>
          <cell r="AT1570">
            <v>186.01190476190476</v>
          </cell>
          <cell r="AU1570">
            <v>186.01190476190476</v>
          </cell>
          <cell r="AV1570">
            <v>186.01190476190476</v>
          </cell>
          <cell r="AW1570">
            <v>186.01190476190476</v>
          </cell>
          <cell r="AX1570">
            <v>186.01190476190476</v>
          </cell>
          <cell r="AY1570">
            <v>186.01190476190476</v>
          </cell>
          <cell r="AZ1570">
            <v>186.01190476190476</v>
          </cell>
          <cell r="BA1570">
            <v>186.01190476190476</v>
          </cell>
          <cell r="BB1570">
            <v>186.01190476190476</v>
          </cell>
          <cell r="BC1570">
            <v>186.01190476190476</v>
          </cell>
          <cell r="BD1570">
            <v>186.01190476190476</v>
          </cell>
          <cell r="BE1570">
            <v>186.01190476190476</v>
          </cell>
          <cell r="BF1570">
            <v>186.01190476190476</v>
          </cell>
          <cell r="BG1570">
            <v>186.01190476190476</v>
          </cell>
          <cell r="BH1570">
            <v>186.01190476190476</v>
          </cell>
          <cell r="BI1570">
            <v>186.01190476190476</v>
          </cell>
          <cell r="BJ1570">
            <v>186.01190476190476</v>
          </cell>
          <cell r="BK1570">
            <v>223.21428571428569</v>
          </cell>
          <cell r="BL1570">
            <v>223.21428571428569</v>
          </cell>
          <cell r="BM1570">
            <v>223.21428571428569</v>
          </cell>
          <cell r="BN1570">
            <v>223.21428571428569</v>
          </cell>
          <cell r="BO1570">
            <v>223.21428571428569</v>
          </cell>
          <cell r="BP1570">
            <v>223.21428571428569</v>
          </cell>
          <cell r="BQ1570">
            <v>223.21428571428569</v>
          </cell>
          <cell r="BR1570">
            <v>223.21428571428569</v>
          </cell>
          <cell r="BS1570">
            <v>223.21428571428569</v>
          </cell>
          <cell r="BT1570">
            <v>223.21428571428569</v>
          </cell>
          <cell r="BU1570">
            <v>223.21428571428569</v>
          </cell>
          <cell r="BV1570">
            <v>223.21428571428569</v>
          </cell>
        </row>
        <row r="1571">
          <cell r="A1571" t="str">
            <v>MMA</v>
          </cell>
          <cell r="B1571" t="str">
            <v>3RD ROW</v>
          </cell>
          <cell r="D1571" t="str">
            <v>SHIFT B  - output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A1572" t="str">
            <v>MMA</v>
          </cell>
          <cell r="B1572" t="str">
            <v>3RD ROW</v>
          </cell>
          <cell r="D1572" t="str">
            <v>SHIFT C  - output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A1573" t="str">
            <v>MMA</v>
          </cell>
          <cell r="B1573" t="str">
            <v>3RD ROW</v>
          </cell>
          <cell r="D1573" t="str">
            <v>Est. Output (Pcs day)</v>
          </cell>
          <cell r="E1573">
            <v>7.2576000000000001</v>
          </cell>
          <cell r="Z1573">
            <v>167.41071428571428</v>
          </cell>
          <cell r="AA1573">
            <v>176.71130952380955</v>
          </cell>
          <cell r="AB1573">
            <v>195.3125</v>
          </cell>
          <cell r="AC1573">
            <v>186.01190476190476</v>
          </cell>
          <cell r="AD1573">
            <v>186.01190476190476</v>
          </cell>
          <cell r="AE1573">
            <v>186.01190476190476</v>
          </cell>
          <cell r="AF1573">
            <v>186.01190476190476</v>
          </cell>
          <cell r="AG1573">
            <v>186.01190476190476</v>
          </cell>
          <cell r="AH1573">
            <v>186.01190476190476</v>
          </cell>
          <cell r="AI1573">
            <v>186.01190476190476</v>
          </cell>
          <cell r="AJ1573">
            <v>186.01190476190476</v>
          </cell>
          <cell r="AK1573">
            <v>186.01190476190476</v>
          </cell>
          <cell r="AL1573">
            <v>186.01190476190476</v>
          </cell>
          <cell r="AM1573">
            <v>186.01190476190476</v>
          </cell>
          <cell r="AN1573">
            <v>186.01190476190476</v>
          </cell>
          <cell r="AO1573">
            <v>186.01190476190476</v>
          </cell>
          <cell r="AP1573">
            <v>186.01190476190476</v>
          </cell>
          <cell r="AQ1573">
            <v>186.01190476190476</v>
          </cell>
          <cell r="AR1573">
            <v>186.01190476190476</v>
          </cell>
          <cell r="AS1573">
            <v>186.01190476190476</v>
          </cell>
          <cell r="AT1573">
            <v>186.01190476190476</v>
          </cell>
          <cell r="AU1573">
            <v>186.01190476190476</v>
          </cell>
          <cell r="AV1573">
            <v>186.01190476190476</v>
          </cell>
          <cell r="AW1573">
            <v>186.01190476190476</v>
          </cell>
          <cell r="AX1573">
            <v>186.01190476190476</v>
          </cell>
          <cell r="AY1573">
            <v>186.01190476190476</v>
          </cell>
          <cell r="AZ1573">
            <v>186.01190476190476</v>
          </cell>
          <cell r="BA1573">
            <v>186.01190476190476</v>
          </cell>
          <cell r="BB1573">
            <v>186.01190476190476</v>
          </cell>
          <cell r="BC1573">
            <v>186.01190476190476</v>
          </cell>
          <cell r="BD1573">
            <v>186.01190476190476</v>
          </cell>
          <cell r="BE1573">
            <v>186.01190476190476</v>
          </cell>
          <cell r="BF1573">
            <v>186.01190476190476</v>
          </cell>
          <cell r="BG1573">
            <v>186.01190476190476</v>
          </cell>
          <cell r="BH1573">
            <v>186.01190476190476</v>
          </cell>
          <cell r="BI1573">
            <v>186.01190476190476</v>
          </cell>
          <cell r="BJ1573">
            <v>186.01190476190476</v>
          </cell>
          <cell r="BK1573">
            <v>223.21428571428569</v>
          </cell>
          <cell r="BL1573">
            <v>223.21428571428569</v>
          </cell>
          <cell r="BM1573">
            <v>223.21428571428569</v>
          </cell>
          <cell r="BN1573">
            <v>223.21428571428569</v>
          </cell>
          <cell r="BO1573">
            <v>223.21428571428569</v>
          </cell>
          <cell r="BP1573">
            <v>223.21428571428569</v>
          </cell>
          <cell r="BQ1573">
            <v>223.21428571428569</v>
          </cell>
          <cell r="BR1573">
            <v>223.21428571428569</v>
          </cell>
          <cell r="BS1573">
            <v>223.21428571428569</v>
          </cell>
          <cell r="BT1573">
            <v>223.21428571428569</v>
          </cell>
          <cell r="BU1573">
            <v>223.21428571428569</v>
          </cell>
          <cell r="BV1573">
            <v>223.21428571428569</v>
          </cell>
        </row>
        <row r="1574">
          <cell r="A1574" t="str">
            <v>MMA</v>
          </cell>
          <cell r="B1574" t="str">
            <v>3RD ROW</v>
          </cell>
          <cell r="D1574" t="str">
            <v>Weekly Output PLAN</v>
          </cell>
          <cell r="E1574" t="str">
            <v>SEW</v>
          </cell>
          <cell r="Z1574">
            <v>837.05357142857133</v>
          </cell>
          <cell r="AA1574">
            <v>883.55654761904771</v>
          </cell>
          <cell r="AB1574">
            <v>976.5625</v>
          </cell>
          <cell r="AC1574">
            <v>930.05952380952385</v>
          </cell>
          <cell r="AD1574">
            <v>558.03571428571422</v>
          </cell>
          <cell r="AE1574">
            <v>1116.0714285714284</v>
          </cell>
          <cell r="AF1574">
            <v>1116.0714285714284</v>
          </cell>
          <cell r="AG1574">
            <v>930.05952380952385</v>
          </cell>
          <cell r="AH1574">
            <v>930.05952380952385</v>
          </cell>
          <cell r="AI1574">
            <v>930.05952380952385</v>
          </cell>
          <cell r="AJ1574">
            <v>1116.0714285714284</v>
          </cell>
          <cell r="AK1574">
            <v>744.04761904761904</v>
          </cell>
          <cell r="AL1574">
            <v>744.04761904761904</v>
          </cell>
          <cell r="AM1574">
            <v>930.05952380952385</v>
          </cell>
          <cell r="AN1574">
            <v>744.04761904761904</v>
          </cell>
          <cell r="AO1574">
            <v>930.05952380952385</v>
          </cell>
          <cell r="AP1574">
            <v>930.05952380952385</v>
          </cell>
          <cell r="AQ1574">
            <v>930.05952380952385</v>
          </cell>
          <cell r="AR1574">
            <v>930.05952380952385</v>
          </cell>
          <cell r="AS1574">
            <v>930.05952380952385</v>
          </cell>
          <cell r="AT1574">
            <v>930.05952380952385</v>
          </cell>
          <cell r="AU1574">
            <v>930.05952380952385</v>
          </cell>
          <cell r="AV1574">
            <v>930.05952380952385</v>
          </cell>
          <cell r="AW1574">
            <v>930.05952380952385</v>
          </cell>
          <cell r="AX1574">
            <v>930.05952380952385</v>
          </cell>
          <cell r="AY1574">
            <v>930.05952380952385</v>
          </cell>
          <cell r="AZ1574">
            <v>0</v>
          </cell>
          <cell r="BA1574">
            <v>0</v>
          </cell>
          <cell r="BB1574">
            <v>930.05952380952385</v>
          </cell>
          <cell r="BC1574">
            <v>930.05952380952385</v>
          </cell>
          <cell r="BD1574">
            <v>930.05952380952385</v>
          </cell>
          <cell r="BE1574">
            <v>930.05952380952385</v>
          </cell>
          <cell r="BF1574">
            <v>930.05952380952385</v>
          </cell>
          <cell r="BG1574">
            <v>930.05952380952385</v>
          </cell>
          <cell r="BH1574">
            <v>930.05952380952385</v>
          </cell>
          <cell r="BI1574">
            <v>930.05952380952385</v>
          </cell>
          <cell r="BJ1574">
            <v>930.05952380952385</v>
          </cell>
          <cell r="BK1574">
            <v>1116.0714285714284</v>
          </cell>
          <cell r="BL1574">
            <v>1116.0714285714284</v>
          </cell>
          <cell r="BM1574">
            <v>1116.0714285714284</v>
          </cell>
          <cell r="BN1574">
            <v>1116.0714285714284</v>
          </cell>
          <cell r="BO1574">
            <v>1116.0714285714284</v>
          </cell>
          <cell r="BP1574">
            <v>1116.0714285714284</v>
          </cell>
          <cell r="BQ1574">
            <v>1116.0714285714284</v>
          </cell>
          <cell r="BR1574">
            <v>1116.0714285714284</v>
          </cell>
          <cell r="BS1574">
            <v>1116.0714285714284</v>
          </cell>
          <cell r="BT1574">
            <v>1116.0714285714284</v>
          </cell>
          <cell r="BU1574">
            <v>1116.0714285714284</v>
          </cell>
          <cell r="BV1574">
            <v>1116.0714285714284</v>
          </cell>
        </row>
        <row r="1575">
          <cell r="A1575" t="str">
            <v>MMA</v>
          </cell>
          <cell r="B1575" t="str">
            <v>3RD ROW</v>
          </cell>
          <cell r="D1575" t="str">
            <v>3RD ROW</v>
          </cell>
          <cell r="E1575">
            <v>7.2576000000000001</v>
          </cell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</row>
        <row r="1576">
          <cell r="A1576" t="str">
            <v>MMA</v>
          </cell>
          <cell r="B1576" t="str">
            <v>3RD ROW</v>
          </cell>
          <cell r="D1576" t="str">
            <v>PO</v>
          </cell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</row>
        <row r="1577">
          <cell r="A1577" t="str">
            <v>MMA</v>
          </cell>
          <cell r="B1577" t="str">
            <v>3RD ROW</v>
          </cell>
          <cell r="D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</row>
        <row r="1578">
          <cell r="A1578" t="str">
            <v>MMA</v>
          </cell>
          <cell r="B1578" t="str">
            <v>3RD ROW</v>
          </cell>
          <cell r="D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</row>
        <row r="1579">
          <cell r="A1579" t="str">
            <v>MMA</v>
          </cell>
          <cell r="B1579" t="str">
            <v>3RD ROW</v>
          </cell>
          <cell r="D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</row>
        <row r="1580">
          <cell r="A1580" t="str">
            <v>MMA</v>
          </cell>
          <cell r="B1580" t="str">
            <v>3RD ROW</v>
          </cell>
          <cell r="D1580" t="str">
            <v>Weekly Output PLAN - SUM of models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A1581" t="str">
            <v>MMA</v>
          </cell>
          <cell r="B1581" t="str">
            <v>3RD ROW</v>
          </cell>
          <cell r="D1581" t="str">
            <v>Weekly Output CHECK with TO time multiple</v>
          </cell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</row>
        <row r="1582">
          <cell r="A1582" t="str">
            <v>MMA</v>
          </cell>
          <cell r="B1582" t="str">
            <v>3RD ROW</v>
          </cell>
          <cell r="D1582" t="str">
            <v>Weekly Output ACT</v>
          </cell>
          <cell r="Z1582">
            <v>837.05357142857133</v>
          </cell>
          <cell r="AA1582">
            <v>883.55654761904771</v>
          </cell>
          <cell r="AB1582">
            <v>976.5625</v>
          </cell>
          <cell r="AC1582">
            <v>930.05952380952385</v>
          </cell>
          <cell r="AD1582">
            <v>558.03571428571422</v>
          </cell>
          <cell r="AE1582">
            <v>1116.0714285714284</v>
          </cell>
          <cell r="AF1582">
            <v>1116.0714285714284</v>
          </cell>
          <cell r="AG1582">
            <v>930.05952380952385</v>
          </cell>
          <cell r="AH1582">
            <v>930.05952380952385</v>
          </cell>
          <cell r="AI1582">
            <v>930.05952380952385</v>
          </cell>
          <cell r="AJ1582">
            <v>1116.0714285714284</v>
          </cell>
          <cell r="AK1582">
            <v>744.04761904761904</v>
          </cell>
          <cell r="AL1582">
            <v>744.04761904761904</v>
          </cell>
          <cell r="AM1582">
            <v>930.05952380952385</v>
          </cell>
          <cell r="AN1582">
            <v>744.04761904761904</v>
          </cell>
          <cell r="AO1582">
            <v>930.05952380952385</v>
          </cell>
          <cell r="AP1582">
            <v>930.05952380952385</v>
          </cell>
          <cell r="AQ1582">
            <v>930.05952380952385</v>
          </cell>
          <cell r="AR1582">
            <v>930.05952380952385</v>
          </cell>
          <cell r="AS1582">
            <v>930.05952380952385</v>
          </cell>
          <cell r="AT1582">
            <v>930.05952380952385</v>
          </cell>
          <cell r="AU1582">
            <v>930.05952380952385</v>
          </cell>
          <cell r="AV1582">
            <v>930.05952380952385</v>
          </cell>
          <cell r="AW1582">
            <v>930.05952380952385</v>
          </cell>
          <cell r="AX1582">
            <v>930.05952380952385</v>
          </cell>
          <cell r="AY1582">
            <v>930.05952380952385</v>
          </cell>
          <cell r="AZ1582">
            <v>0</v>
          </cell>
          <cell r="BA1582">
            <v>0</v>
          </cell>
          <cell r="BB1582">
            <v>930.05952380952385</v>
          </cell>
          <cell r="BC1582">
            <v>930.05952380952385</v>
          </cell>
          <cell r="BD1582">
            <v>930.05952380952385</v>
          </cell>
          <cell r="BE1582">
            <v>930.05952380952385</v>
          </cell>
          <cell r="BF1582">
            <v>930.05952380952385</v>
          </cell>
          <cell r="BG1582">
            <v>930.05952380952385</v>
          </cell>
          <cell r="BH1582">
            <v>930.05952380952385</v>
          </cell>
          <cell r="BI1582">
            <v>930.05952380952385</v>
          </cell>
          <cell r="BJ1582">
            <v>930.05952380952385</v>
          </cell>
          <cell r="BK1582">
            <v>1116.0714285714284</v>
          </cell>
          <cell r="BL1582">
            <v>1116.0714285714284</v>
          </cell>
          <cell r="BM1582">
            <v>1116.0714285714284</v>
          </cell>
          <cell r="BN1582">
            <v>1116.0714285714284</v>
          </cell>
          <cell r="BO1582">
            <v>1116.0714285714284</v>
          </cell>
          <cell r="BP1582">
            <v>1116.0714285714284</v>
          </cell>
          <cell r="BQ1582">
            <v>1116.0714285714284</v>
          </cell>
          <cell r="BR1582">
            <v>1116.0714285714284</v>
          </cell>
          <cell r="BS1582">
            <v>1116.0714285714284</v>
          </cell>
          <cell r="BT1582">
            <v>1116.0714285714284</v>
          </cell>
          <cell r="BU1582">
            <v>1116.0714285714284</v>
          </cell>
          <cell r="BV1582">
            <v>1116.0714285714284</v>
          </cell>
        </row>
        <row r="1583">
          <cell r="A1583" t="str">
            <v>MMA</v>
          </cell>
          <cell r="B1583" t="str">
            <v>3RD ROW</v>
          </cell>
          <cell r="D1583" t="str">
            <v>3RD ROW</v>
          </cell>
          <cell r="Z1583">
            <v>685.27918781725884</v>
          </cell>
          <cell r="AA1583">
            <v>1027.9187817258883</v>
          </cell>
          <cell r="AB1583">
            <v>1027.9187817258883</v>
          </cell>
          <cell r="AC1583">
            <v>1027.9187817258883</v>
          </cell>
          <cell r="AD1583">
            <v>616.75126903553291</v>
          </cell>
          <cell r="AE1583">
            <v>1233.5025380710658</v>
          </cell>
          <cell r="AF1583">
            <v>1233.5025380710658</v>
          </cell>
          <cell r="AG1583">
            <v>685.27918781725884</v>
          </cell>
          <cell r="AH1583">
            <v>1027.9187817258883</v>
          </cell>
          <cell r="AI1583">
            <v>1027.9187817258883</v>
          </cell>
          <cell r="AJ1583">
            <v>1027.9187817258883</v>
          </cell>
          <cell r="AK1583">
            <v>822.33502538071059</v>
          </cell>
          <cell r="AL1583">
            <v>548.2233502538071</v>
          </cell>
          <cell r="AM1583">
            <v>1027.9187817258883</v>
          </cell>
          <cell r="AN1583">
            <v>548.2233502538071</v>
          </cell>
          <cell r="AO1583">
            <v>685.27918781725884</v>
          </cell>
          <cell r="AP1583">
            <v>685.27918781725884</v>
          </cell>
          <cell r="AQ1583">
            <v>685.27918781725884</v>
          </cell>
          <cell r="AR1583">
            <v>685.27918781725884</v>
          </cell>
          <cell r="AS1583">
            <v>685.27918781725884</v>
          </cell>
          <cell r="AT1583">
            <v>685.27918781725884</v>
          </cell>
          <cell r="AU1583">
            <v>685.27918781725884</v>
          </cell>
          <cell r="AV1583">
            <v>685.27918781725884</v>
          </cell>
          <cell r="AW1583">
            <v>685.27918781725884</v>
          </cell>
          <cell r="AX1583">
            <v>685.27918781725884</v>
          </cell>
          <cell r="AY1583">
            <v>685.27918781725884</v>
          </cell>
          <cell r="AZ1583">
            <v>0</v>
          </cell>
          <cell r="BA1583">
            <v>0</v>
          </cell>
          <cell r="BB1583">
            <v>685.27918781725884</v>
          </cell>
          <cell r="BC1583">
            <v>685.27918781725884</v>
          </cell>
          <cell r="BD1583">
            <v>685.27918781725884</v>
          </cell>
          <cell r="BE1583">
            <v>685.27918781725884</v>
          </cell>
          <cell r="BF1583">
            <v>685.27918781725884</v>
          </cell>
          <cell r="BG1583">
            <v>685.27918781725884</v>
          </cell>
          <cell r="BH1583">
            <v>685.27918781725884</v>
          </cell>
          <cell r="BI1583">
            <v>685.27918781725884</v>
          </cell>
          <cell r="BJ1583">
            <v>685.27918781725884</v>
          </cell>
          <cell r="BK1583">
            <v>1713.1979695431471</v>
          </cell>
          <cell r="BL1583">
            <v>1713.1979695431471</v>
          </cell>
          <cell r="BM1583">
            <v>1713.1979695431471</v>
          </cell>
          <cell r="BN1583">
            <v>1713.1979695431471</v>
          </cell>
          <cell r="BO1583">
            <v>1713.1979695431471</v>
          </cell>
          <cell r="BP1583">
            <v>1713.1979695431471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A1584" t="str">
            <v>MMA</v>
          </cell>
          <cell r="B1584" t="str">
            <v>3RD ROW</v>
          </cell>
          <cell r="D1584" t="str">
            <v>PO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A1585" t="str">
            <v>MMA</v>
          </cell>
          <cell r="B1585" t="str">
            <v>3RD ROW</v>
          </cell>
          <cell r="D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A1586" t="str">
            <v>MMA</v>
          </cell>
          <cell r="B1586" t="str">
            <v>3RD ROW</v>
          </cell>
          <cell r="D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A1587" t="str">
            <v>MMA</v>
          </cell>
          <cell r="B1587" t="str">
            <v>3RD ROW</v>
          </cell>
          <cell r="D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A1588" t="str">
            <v>MMA</v>
          </cell>
          <cell r="B1588" t="str">
            <v>3RD ROW</v>
          </cell>
          <cell r="D1588" t="str">
            <v>Weekly demand</v>
          </cell>
          <cell r="Z1588">
            <v>685.27918781725884</v>
          </cell>
          <cell r="AA1588">
            <v>1027.9187817258883</v>
          </cell>
          <cell r="AB1588">
            <v>1027.9187817258883</v>
          </cell>
          <cell r="AC1588">
            <v>1027.9187817258883</v>
          </cell>
          <cell r="AD1588">
            <v>616.75126903553291</v>
          </cell>
          <cell r="AE1588">
            <v>1233.5025380710658</v>
          </cell>
          <cell r="AF1588">
            <v>1233.5025380710658</v>
          </cell>
          <cell r="AG1588">
            <v>685.27918781725884</v>
          </cell>
          <cell r="AH1588">
            <v>1027.9187817258883</v>
          </cell>
          <cell r="AI1588">
            <v>1027.9187817258883</v>
          </cell>
          <cell r="AJ1588">
            <v>1027.9187817258883</v>
          </cell>
          <cell r="AK1588">
            <v>822.33502538071059</v>
          </cell>
          <cell r="AL1588">
            <v>548.2233502538071</v>
          </cell>
          <cell r="AM1588">
            <v>1027.9187817258883</v>
          </cell>
          <cell r="AN1588">
            <v>548.2233502538071</v>
          </cell>
          <cell r="AO1588">
            <v>685.27918781725884</v>
          </cell>
          <cell r="AP1588">
            <v>685.27918781725884</v>
          </cell>
          <cell r="AQ1588">
            <v>685.27918781725884</v>
          </cell>
          <cell r="AR1588">
            <v>685.27918781725884</v>
          </cell>
          <cell r="AS1588">
            <v>685.27918781725884</v>
          </cell>
          <cell r="AT1588">
            <v>685.27918781725884</v>
          </cell>
          <cell r="AU1588">
            <v>685.27918781725884</v>
          </cell>
          <cell r="AV1588">
            <v>685.27918781725884</v>
          </cell>
          <cell r="AW1588">
            <v>685.27918781725884</v>
          </cell>
          <cell r="AX1588">
            <v>685.27918781725884</v>
          </cell>
          <cell r="AY1588">
            <v>685.27918781725884</v>
          </cell>
          <cell r="AZ1588">
            <v>0</v>
          </cell>
          <cell r="BA1588">
            <v>0</v>
          </cell>
          <cell r="BB1588">
            <v>685.27918781725884</v>
          </cell>
          <cell r="BC1588">
            <v>685.27918781725884</v>
          </cell>
          <cell r="BD1588">
            <v>685.27918781725884</v>
          </cell>
          <cell r="BE1588">
            <v>685.27918781725884</v>
          </cell>
          <cell r="BF1588">
            <v>685.27918781725884</v>
          </cell>
          <cell r="BG1588">
            <v>685.27918781725884</v>
          </cell>
          <cell r="BH1588">
            <v>685.27918781725884</v>
          </cell>
          <cell r="BI1588">
            <v>685.27918781725884</v>
          </cell>
          <cell r="BJ1588">
            <v>685.27918781725884</v>
          </cell>
          <cell r="BK1588">
            <v>1713.1979695431471</v>
          </cell>
          <cell r="BL1588">
            <v>1713.1979695431471</v>
          </cell>
          <cell r="BM1588">
            <v>1713.1979695431471</v>
          </cell>
          <cell r="BN1588">
            <v>1713.1979695431471</v>
          </cell>
          <cell r="BO1588">
            <v>1713.1979695431471</v>
          </cell>
          <cell r="BP1588">
            <v>1713.1979695431471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A1589" t="str">
            <v>MMA</v>
          </cell>
          <cell r="B1589" t="str">
            <v>3RD ROW</v>
          </cell>
          <cell r="D1589" t="str">
            <v>Stock Target</v>
          </cell>
          <cell r="Z1589">
            <v>2518</v>
          </cell>
          <cell r="AA1589">
            <v>2519</v>
          </cell>
          <cell r="AB1589">
            <v>2520</v>
          </cell>
          <cell r="AC1589">
            <v>2521</v>
          </cell>
          <cell r="AD1589">
            <v>2522</v>
          </cell>
          <cell r="AE1589">
            <v>2523</v>
          </cell>
          <cell r="AF1589">
            <v>2524</v>
          </cell>
          <cell r="AG1589">
            <v>2525</v>
          </cell>
          <cell r="AH1589">
            <v>2526</v>
          </cell>
          <cell r="AI1589">
            <v>2527</v>
          </cell>
          <cell r="AJ1589">
            <v>2528</v>
          </cell>
          <cell r="AK1589">
            <v>2529</v>
          </cell>
          <cell r="AL1589">
            <v>2530</v>
          </cell>
          <cell r="AM1589">
            <v>2531</v>
          </cell>
          <cell r="AN1589">
            <v>2532</v>
          </cell>
          <cell r="AO1589">
            <v>2533</v>
          </cell>
          <cell r="AP1589">
            <v>2534</v>
          </cell>
          <cell r="AQ1589">
            <v>2535</v>
          </cell>
          <cell r="AR1589">
            <v>2536</v>
          </cell>
          <cell r="AS1589">
            <v>2537</v>
          </cell>
          <cell r="AT1589">
            <v>2538</v>
          </cell>
          <cell r="AU1589">
            <v>2539</v>
          </cell>
          <cell r="AV1589">
            <v>2540</v>
          </cell>
          <cell r="AW1589">
            <v>2541</v>
          </cell>
          <cell r="AX1589">
            <v>2542</v>
          </cell>
          <cell r="AY1589">
            <v>2543</v>
          </cell>
          <cell r="AZ1589">
            <v>2544</v>
          </cell>
          <cell r="BA1589">
            <v>2545</v>
          </cell>
          <cell r="BB1589">
            <v>2546</v>
          </cell>
          <cell r="BC1589">
            <v>2547</v>
          </cell>
          <cell r="BD1589">
            <v>2548</v>
          </cell>
          <cell r="BE1589">
            <v>2549</v>
          </cell>
          <cell r="BF1589">
            <v>2550</v>
          </cell>
          <cell r="BG1589">
            <v>2551</v>
          </cell>
          <cell r="BH1589">
            <v>2552</v>
          </cell>
          <cell r="BI1589">
            <v>2553</v>
          </cell>
          <cell r="BJ1589">
            <v>2554</v>
          </cell>
          <cell r="BK1589">
            <v>2555</v>
          </cell>
          <cell r="BL1589">
            <v>2556</v>
          </cell>
          <cell r="BM1589">
            <v>2557</v>
          </cell>
          <cell r="BN1589">
            <v>2558</v>
          </cell>
          <cell r="BO1589">
            <v>2559</v>
          </cell>
          <cell r="BP1589">
            <v>2560</v>
          </cell>
          <cell r="BQ1589">
            <v>2561</v>
          </cell>
          <cell r="BR1589">
            <v>2562</v>
          </cell>
          <cell r="BS1589">
            <v>2563</v>
          </cell>
          <cell r="BT1589">
            <v>2564</v>
          </cell>
          <cell r="BU1589">
            <v>2565</v>
          </cell>
          <cell r="BV1589">
            <v>2566</v>
          </cell>
        </row>
        <row r="1590">
          <cell r="A1590" t="str">
            <v>MMA</v>
          </cell>
          <cell r="B1590" t="str">
            <v>3RD ROW</v>
          </cell>
          <cell r="D1590" t="str">
            <v>3RD ROW</v>
          </cell>
          <cell r="Z1590">
            <v>702</v>
          </cell>
          <cell r="AA1590">
            <v>-325.91878172588827</v>
          </cell>
          <cell r="AB1590">
            <v>-1353.8375634517765</v>
          </cell>
          <cell r="AC1590">
            <v>-2381.756345177665</v>
          </cell>
          <cell r="AD1590">
            <v>-2998.5076142131979</v>
          </cell>
          <cell r="AE1590">
            <v>-4232.0101522842633</v>
          </cell>
          <cell r="AF1590">
            <v>-5465.5126903553291</v>
          </cell>
          <cell r="AG1590">
            <v>-6150.7918781725875</v>
          </cell>
          <cell r="AH1590">
            <v>-7178.7106598984756</v>
          </cell>
          <cell r="AI1590">
            <v>-8206.6294416243636</v>
          </cell>
          <cell r="AJ1590">
            <v>-9234.5482233502516</v>
          </cell>
          <cell r="AK1590">
            <v>-10056.883248730963</v>
          </cell>
          <cell r="AL1590">
            <v>-10605.10659898477</v>
          </cell>
          <cell r="AM1590">
            <v>-11633.025380710658</v>
          </cell>
          <cell r="AN1590">
            <v>-12181.248730964466</v>
          </cell>
          <cell r="AO1590">
            <v>-12866.527918781725</v>
          </cell>
          <cell r="AP1590">
            <v>-13551.807106598984</v>
          </cell>
          <cell r="AQ1590">
            <v>-14237.086294416244</v>
          </cell>
          <cell r="AR1590">
            <v>-14922.365482233503</v>
          </cell>
          <cell r="AS1590">
            <v>-15607.644670050762</v>
          </cell>
          <cell r="AT1590">
            <v>-16292.923857868022</v>
          </cell>
          <cell r="AU1590">
            <v>-16978.203045685281</v>
          </cell>
          <cell r="AV1590">
            <v>-17663.482233502538</v>
          </cell>
          <cell r="AW1590">
            <v>-18348.761421319796</v>
          </cell>
          <cell r="AX1590">
            <v>-19034.040609137053</v>
          </cell>
          <cell r="AY1590">
            <v>-19719.319796954311</v>
          </cell>
          <cell r="AZ1590">
            <v>-19719.319796954311</v>
          </cell>
          <cell r="BA1590">
            <v>-19719.319796954311</v>
          </cell>
          <cell r="BB1590">
            <v>-20404.598984771568</v>
          </cell>
          <cell r="BC1590">
            <v>-21089.878172588826</v>
          </cell>
          <cell r="BD1590">
            <v>-21775.157360406083</v>
          </cell>
          <cell r="BE1590">
            <v>-22460.436548223341</v>
          </cell>
          <cell r="BF1590">
            <v>-23145.715736040598</v>
          </cell>
          <cell r="BG1590">
            <v>-23830.994923857856</v>
          </cell>
          <cell r="BH1590">
            <v>-24516.274111675113</v>
          </cell>
          <cell r="BI1590">
            <v>-25201.553299492371</v>
          </cell>
          <cell r="BJ1590">
            <v>-25886.832487309628</v>
          </cell>
          <cell r="BK1590">
            <v>-27600.030456852775</v>
          </cell>
          <cell r="BL1590">
            <v>-29313.228426395923</v>
          </cell>
          <cell r="BM1590">
            <v>-31026.42639593907</v>
          </cell>
          <cell r="BN1590">
            <v>-32739.624365482217</v>
          </cell>
          <cell r="BO1590">
            <v>-34452.822335025361</v>
          </cell>
          <cell r="BP1590">
            <v>-36166.020304568505</v>
          </cell>
          <cell r="BQ1590">
            <v>-36166.020304568505</v>
          </cell>
          <cell r="BR1590">
            <v>-36166.020304568505</v>
          </cell>
          <cell r="BS1590">
            <v>-36166.020304568505</v>
          </cell>
          <cell r="BT1590">
            <v>-36166.020304568505</v>
          </cell>
          <cell r="BU1590">
            <v>-36166.020304568505</v>
          </cell>
          <cell r="BV1590">
            <v>-36166.020304568505</v>
          </cell>
        </row>
        <row r="1591">
          <cell r="A1591" t="str">
            <v>MMA</v>
          </cell>
          <cell r="B1591" t="str">
            <v>3RD ROW</v>
          </cell>
          <cell r="D1591" t="str">
            <v>PO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A1592" t="str">
            <v>MMA</v>
          </cell>
          <cell r="B1592" t="str">
            <v>3RD ROW</v>
          </cell>
          <cell r="D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A1593" t="str">
            <v>MMA</v>
          </cell>
          <cell r="B1593" t="str">
            <v>3RD ROW</v>
          </cell>
          <cell r="D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594">
          <cell r="A1594" t="str">
            <v>MMA</v>
          </cell>
          <cell r="B1594" t="str">
            <v>3RD ROW</v>
          </cell>
          <cell r="D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</row>
        <row r="1595">
          <cell r="A1595" t="str">
            <v>MMA</v>
          </cell>
          <cell r="B1595" t="str">
            <v>3RD ROW</v>
          </cell>
          <cell r="D1595" t="str">
            <v>STOCK</v>
          </cell>
          <cell r="Z1595">
            <v>702</v>
          </cell>
          <cell r="AA1595">
            <v>557.63776589315944</v>
          </cell>
          <cell r="AB1595">
            <v>506.28148416727117</v>
          </cell>
          <cell r="AC1595">
            <v>408.42222625090676</v>
          </cell>
          <cell r="AD1595">
            <v>349.70667150108807</v>
          </cell>
          <cell r="AE1595">
            <v>232.27556200145068</v>
          </cell>
          <cell r="AF1595">
            <v>114.84445250181329</v>
          </cell>
          <cell r="AG1595">
            <v>359.6247884940783</v>
          </cell>
          <cell r="AH1595">
            <v>261.76553057771389</v>
          </cell>
          <cell r="AI1595">
            <v>163.90627266134948</v>
          </cell>
          <cell r="AJ1595">
            <v>252.05891950688965</v>
          </cell>
          <cell r="AK1595">
            <v>173.7715131737981</v>
          </cell>
          <cell r="AL1595">
            <v>369.59578196761004</v>
          </cell>
          <cell r="AM1595">
            <v>271.73652405124562</v>
          </cell>
          <cell r="AN1595">
            <v>467.56079284505756</v>
          </cell>
          <cell r="AO1595">
            <v>712.34112883732257</v>
          </cell>
          <cell r="AP1595">
            <v>957.12146482958758</v>
          </cell>
          <cell r="AQ1595">
            <v>1201.9018008218527</v>
          </cell>
          <cell r="AR1595">
            <v>1446.6821368141177</v>
          </cell>
          <cell r="AS1595">
            <v>1691.4624728063827</v>
          </cell>
          <cell r="AT1595">
            <v>1936.2428087986477</v>
          </cell>
          <cell r="AU1595">
            <v>2181.0231447909127</v>
          </cell>
          <cell r="AV1595">
            <v>2425.8034807831777</v>
          </cell>
          <cell r="AW1595">
            <v>2670.5838167754428</v>
          </cell>
          <cell r="AX1595">
            <v>2915.3641527677078</v>
          </cell>
          <cell r="AY1595">
            <v>3160.1444887599728</v>
          </cell>
          <cell r="AZ1595">
            <v>3160.1444887599728</v>
          </cell>
          <cell r="BA1595">
            <v>3160.1444887599728</v>
          </cell>
          <cell r="BB1595">
            <v>3404.9248247522378</v>
          </cell>
          <cell r="BC1595">
            <v>3649.7051607445028</v>
          </cell>
          <cell r="BD1595">
            <v>3894.4854967367678</v>
          </cell>
          <cell r="BE1595">
            <v>4139.2658327290328</v>
          </cell>
          <cell r="BF1595">
            <v>4384.0461687212974</v>
          </cell>
          <cell r="BG1595">
            <v>4628.8265047135628</v>
          </cell>
          <cell r="BH1595">
            <v>4873.6068407058283</v>
          </cell>
          <cell r="BI1595">
            <v>5118.3871766980928</v>
          </cell>
          <cell r="BJ1595">
            <v>5363.1675126903583</v>
          </cell>
          <cell r="BK1595">
            <v>4766.0409717186394</v>
          </cell>
          <cell r="BL1595">
            <v>4168.9144307469205</v>
          </cell>
          <cell r="BM1595">
            <v>3571.7878897752016</v>
          </cell>
          <cell r="BN1595">
            <v>2974.6613488034827</v>
          </cell>
          <cell r="BO1595">
            <v>2377.5348078317638</v>
          </cell>
          <cell r="BP1595">
            <v>1780.4082668600452</v>
          </cell>
          <cell r="BQ1595">
            <v>2896.4796954314734</v>
          </cell>
          <cell r="BR1595">
            <v>4012.5511240029018</v>
          </cell>
          <cell r="BS1595">
            <v>5128.6225525743303</v>
          </cell>
          <cell r="BT1595">
            <v>6244.6939811457587</v>
          </cell>
          <cell r="BU1595">
            <v>7360.7654097171871</v>
          </cell>
          <cell r="BV1595">
            <v>8476.8368382886147</v>
          </cell>
        </row>
        <row r="1596">
          <cell r="A1596" t="str">
            <v>Blank</v>
          </cell>
          <cell r="B1596" t="str">
            <v>Blank</v>
          </cell>
          <cell r="D1596" t="str">
            <v>Blank</v>
          </cell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</row>
        <row r="1597">
          <cell r="A1597" t="str">
            <v>Opel</v>
          </cell>
          <cell r="B1597" t="str">
            <v>ARM</v>
          </cell>
          <cell r="D1597" t="str">
            <v>Work days</v>
          </cell>
          <cell r="Z1597">
            <v>5</v>
          </cell>
          <cell r="AA1597">
            <v>5</v>
          </cell>
          <cell r="AB1597">
            <v>5</v>
          </cell>
          <cell r="AC1597">
            <v>5</v>
          </cell>
          <cell r="AD1597">
            <v>3</v>
          </cell>
          <cell r="AE1597">
            <v>5</v>
          </cell>
          <cell r="AF1597">
            <v>5</v>
          </cell>
          <cell r="AG1597">
            <v>5</v>
          </cell>
          <cell r="AH1597">
            <v>5</v>
          </cell>
          <cell r="AI1597">
            <v>5</v>
          </cell>
          <cell r="AJ1597">
            <v>5</v>
          </cell>
          <cell r="AK1597">
            <v>4</v>
          </cell>
          <cell r="AL1597">
            <v>4</v>
          </cell>
          <cell r="AM1597">
            <v>5</v>
          </cell>
          <cell r="AN1597">
            <v>4</v>
          </cell>
          <cell r="AO1597">
            <v>5</v>
          </cell>
          <cell r="AP1597">
            <v>5</v>
          </cell>
          <cell r="AQ1597">
            <v>5</v>
          </cell>
          <cell r="AR1597">
            <v>5</v>
          </cell>
          <cell r="AS1597">
            <v>5</v>
          </cell>
          <cell r="AT1597">
            <v>5</v>
          </cell>
          <cell r="AU1597">
            <v>5</v>
          </cell>
          <cell r="AV1597">
            <v>5</v>
          </cell>
          <cell r="AW1597">
            <v>5</v>
          </cell>
          <cell r="AX1597">
            <v>5</v>
          </cell>
          <cell r="AY1597">
            <v>5</v>
          </cell>
          <cell r="AZ1597">
            <v>0</v>
          </cell>
          <cell r="BA1597">
            <v>0</v>
          </cell>
          <cell r="BB1597">
            <v>5</v>
          </cell>
          <cell r="BC1597">
            <v>5</v>
          </cell>
          <cell r="BD1597">
            <v>5</v>
          </cell>
          <cell r="BE1597">
            <v>5</v>
          </cell>
          <cell r="BF1597">
            <v>5</v>
          </cell>
          <cell r="BG1597">
            <v>5</v>
          </cell>
          <cell r="BH1597">
            <v>5</v>
          </cell>
          <cell r="BI1597">
            <v>5</v>
          </cell>
          <cell r="BJ1597">
            <v>5</v>
          </cell>
          <cell r="BK1597">
            <v>5</v>
          </cell>
          <cell r="BL1597">
            <v>3</v>
          </cell>
          <cell r="BM1597">
            <v>3</v>
          </cell>
          <cell r="BN1597">
            <v>3</v>
          </cell>
          <cell r="BO1597">
            <v>3</v>
          </cell>
          <cell r="BP1597">
            <v>3</v>
          </cell>
          <cell r="BQ1597">
            <v>3</v>
          </cell>
          <cell r="BR1597">
            <v>3</v>
          </cell>
          <cell r="BS1597">
            <v>3</v>
          </cell>
          <cell r="BT1597">
            <v>3</v>
          </cell>
          <cell r="BU1597">
            <v>3</v>
          </cell>
          <cell r="BV1597">
            <v>3</v>
          </cell>
        </row>
        <row r="1598">
          <cell r="A1598" t="str">
            <v>Opel</v>
          </cell>
          <cell r="B1598" t="str">
            <v>ARM</v>
          </cell>
          <cell r="D1598" t="str">
            <v>SHIFT A HC - operators</v>
          </cell>
          <cell r="Z1598">
            <v>1</v>
          </cell>
          <cell r="AA1598">
            <v>1</v>
          </cell>
          <cell r="AB1598">
            <v>2</v>
          </cell>
          <cell r="AC1598">
            <v>2</v>
          </cell>
          <cell r="AD1598">
            <v>1</v>
          </cell>
          <cell r="AE1598">
            <v>1</v>
          </cell>
          <cell r="AF1598">
            <v>1</v>
          </cell>
          <cell r="AG1598">
            <v>1</v>
          </cell>
          <cell r="AH1598">
            <v>1</v>
          </cell>
          <cell r="AI1598">
            <v>1</v>
          </cell>
          <cell r="AJ1598">
            <v>1</v>
          </cell>
          <cell r="AK1598">
            <v>1</v>
          </cell>
          <cell r="AL1598">
            <v>2</v>
          </cell>
          <cell r="AM1598">
            <v>1</v>
          </cell>
          <cell r="AN1598">
            <v>2</v>
          </cell>
          <cell r="AO1598">
            <v>2</v>
          </cell>
          <cell r="AP1598">
            <v>2</v>
          </cell>
          <cell r="AQ1598">
            <v>1</v>
          </cell>
          <cell r="AR1598">
            <v>1</v>
          </cell>
          <cell r="AS1598">
            <v>1</v>
          </cell>
          <cell r="AT1598">
            <v>2</v>
          </cell>
          <cell r="AU1598">
            <v>1</v>
          </cell>
          <cell r="AV1598">
            <v>2</v>
          </cell>
          <cell r="AW1598">
            <v>1</v>
          </cell>
          <cell r="AX1598">
            <v>2</v>
          </cell>
          <cell r="AY1598">
            <v>2</v>
          </cell>
          <cell r="AZ1598">
            <v>2</v>
          </cell>
          <cell r="BA1598">
            <v>2</v>
          </cell>
          <cell r="BB1598">
            <v>2</v>
          </cell>
          <cell r="BC1598">
            <v>2</v>
          </cell>
          <cell r="BD1598">
            <v>2</v>
          </cell>
          <cell r="BE1598">
            <v>2</v>
          </cell>
          <cell r="BF1598">
            <v>2</v>
          </cell>
          <cell r="BG1598">
            <v>2</v>
          </cell>
          <cell r="BH1598">
            <v>2</v>
          </cell>
          <cell r="BI1598">
            <v>2</v>
          </cell>
          <cell r="BJ1598">
            <v>2</v>
          </cell>
          <cell r="BK1598">
            <v>3</v>
          </cell>
          <cell r="BL1598">
            <v>3</v>
          </cell>
          <cell r="BM1598">
            <v>3</v>
          </cell>
          <cell r="BN1598">
            <v>3</v>
          </cell>
          <cell r="BO1598">
            <v>3</v>
          </cell>
          <cell r="BP1598">
            <v>3</v>
          </cell>
          <cell r="BQ1598">
            <v>3</v>
          </cell>
          <cell r="BR1598">
            <v>3</v>
          </cell>
          <cell r="BS1598">
            <v>3</v>
          </cell>
          <cell r="BT1598">
            <v>3</v>
          </cell>
          <cell r="BU1598">
            <v>3</v>
          </cell>
          <cell r="BV1598">
            <v>3</v>
          </cell>
        </row>
        <row r="1599">
          <cell r="A1599" t="str">
            <v>Opel</v>
          </cell>
          <cell r="B1599" t="str">
            <v>ARM</v>
          </cell>
          <cell r="D1599" t="str">
            <v>SHIFT B HC  - operators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</row>
        <row r="1600">
          <cell r="A1600" t="str">
            <v>Opel</v>
          </cell>
          <cell r="B1600" t="str">
            <v>ARM</v>
          </cell>
          <cell r="D1600" t="str">
            <v>SHIFT C HC  - operators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</row>
        <row r="1601">
          <cell r="A1601" t="str">
            <v>Opel</v>
          </cell>
          <cell r="B1601" t="str">
            <v>ARM</v>
          </cell>
          <cell r="D1601" t="str">
            <v>Total HC</v>
          </cell>
          <cell r="Z1601">
            <v>1</v>
          </cell>
          <cell r="AA1601">
            <v>1</v>
          </cell>
          <cell r="AB1601">
            <v>2</v>
          </cell>
          <cell r="AC1601">
            <v>2</v>
          </cell>
          <cell r="AD1601">
            <v>1</v>
          </cell>
          <cell r="AE1601">
            <v>1</v>
          </cell>
          <cell r="AF1601">
            <v>1</v>
          </cell>
          <cell r="AG1601">
            <v>1</v>
          </cell>
          <cell r="AH1601">
            <v>1</v>
          </cell>
          <cell r="AI1601">
            <v>1</v>
          </cell>
          <cell r="AJ1601">
            <v>1</v>
          </cell>
          <cell r="AK1601">
            <v>1</v>
          </cell>
          <cell r="AL1601">
            <v>2</v>
          </cell>
          <cell r="AM1601">
            <v>1</v>
          </cell>
          <cell r="AN1601">
            <v>2</v>
          </cell>
          <cell r="AO1601">
            <v>2</v>
          </cell>
          <cell r="AP1601">
            <v>2</v>
          </cell>
          <cell r="AQ1601">
            <v>1</v>
          </cell>
          <cell r="AR1601">
            <v>1</v>
          </cell>
          <cell r="AS1601">
            <v>1</v>
          </cell>
          <cell r="AT1601">
            <v>2</v>
          </cell>
          <cell r="AU1601">
            <v>1</v>
          </cell>
          <cell r="AV1601">
            <v>2</v>
          </cell>
          <cell r="AW1601">
            <v>1</v>
          </cell>
          <cell r="AX1601">
            <v>2</v>
          </cell>
          <cell r="AY1601">
            <v>2</v>
          </cell>
          <cell r="AZ1601">
            <v>2</v>
          </cell>
          <cell r="BA1601">
            <v>2</v>
          </cell>
          <cell r="BB1601">
            <v>2</v>
          </cell>
          <cell r="BC1601">
            <v>2</v>
          </cell>
          <cell r="BD1601">
            <v>2</v>
          </cell>
          <cell r="BE1601">
            <v>2</v>
          </cell>
          <cell r="BF1601">
            <v>2</v>
          </cell>
          <cell r="BG1601">
            <v>2</v>
          </cell>
          <cell r="BH1601">
            <v>2</v>
          </cell>
          <cell r="BI1601">
            <v>2</v>
          </cell>
          <cell r="BJ1601">
            <v>2</v>
          </cell>
          <cell r="BK1601">
            <v>3</v>
          </cell>
          <cell r="BL1601">
            <v>3</v>
          </cell>
          <cell r="BM1601">
            <v>3</v>
          </cell>
          <cell r="BN1601">
            <v>3</v>
          </cell>
          <cell r="BO1601">
            <v>3</v>
          </cell>
          <cell r="BP1601">
            <v>3</v>
          </cell>
          <cell r="BQ1601">
            <v>3</v>
          </cell>
          <cell r="BR1601">
            <v>3</v>
          </cell>
          <cell r="BS1601">
            <v>3</v>
          </cell>
          <cell r="BT1601">
            <v>3</v>
          </cell>
          <cell r="BU1601">
            <v>3</v>
          </cell>
          <cell r="BV1601">
            <v>3</v>
          </cell>
        </row>
        <row r="1602">
          <cell r="A1602" t="str">
            <v>Opel</v>
          </cell>
          <cell r="B1602" t="str">
            <v>ARM</v>
          </cell>
          <cell r="D1602" t="str">
            <v>SHIFT A HC  - efficiency</v>
          </cell>
          <cell r="Z1602">
            <v>1</v>
          </cell>
          <cell r="AA1602">
            <v>1</v>
          </cell>
          <cell r="AB1602">
            <v>1</v>
          </cell>
          <cell r="AC1602">
            <v>1</v>
          </cell>
          <cell r="AD1602">
            <v>1</v>
          </cell>
          <cell r="AE1602">
            <v>1</v>
          </cell>
          <cell r="AF1602">
            <v>1</v>
          </cell>
          <cell r="AG1602">
            <v>1</v>
          </cell>
          <cell r="AH1602">
            <v>1</v>
          </cell>
          <cell r="AI1602">
            <v>1</v>
          </cell>
          <cell r="AJ1602">
            <v>1</v>
          </cell>
          <cell r="AK1602">
            <v>1</v>
          </cell>
          <cell r="AL1602">
            <v>1</v>
          </cell>
          <cell r="AM1602">
            <v>1</v>
          </cell>
          <cell r="AN1602">
            <v>1</v>
          </cell>
          <cell r="AO1602">
            <v>1</v>
          </cell>
          <cell r="AP1602">
            <v>1</v>
          </cell>
          <cell r="AQ1602">
            <v>1</v>
          </cell>
          <cell r="AR1602">
            <v>1</v>
          </cell>
          <cell r="AS1602">
            <v>1.2</v>
          </cell>
          <cell r="AT1602">
            <v>1.2</v>
          </cell>
          <cell r="AU1602">
            <v>1.2</v>
          </cell>
          <cell r="AV1602">
            <v>1.2</v>
          </cell>
          <cell r="AW1602">
            <v>1.2</v>
          </cell>
          <cell r="AX1602">
            <v>1.2</v>
          </cell>
          <cell r="AY1602">
            <v>1.2</v>
          </cell>
          <cell r="AZ1602">
            <v>1.2</v>
          </cell>
          <cell r="BA1602">
            <v>1.2</v>
          </cell>
          <cell r="BB1602">
            <v>1.2</v>
          </cell>
          <cell r="BC1602">
            <v>1.2</v>
          </cell>
          <cell r="BD1602">
            <v>1.2</v>
          </cell>
          <cell r="BE1602">
            <v>1.2</v>
          </cell>
          <cell r="BF1602">
            <v>1.2</v>
          </cell>
          <cell r="BG1602">
            <v>1.2</v>
          </cell>
          <cell r="BH1602">
            <v>1.2</v>
          </cell>
          <cell r="BI1602">
            <v>1.2</v>
          </cell>
          <cell r="BJ1602">
            <v>1.2</v>
          </cell>
          <cell r="BK1602">
            <v>1.2</v>
          </cell>
          <cell r="BL1602">
            <v>1.2</v>
          </cell>
          <cell r="BM1602">
            <v>1.2</v>
          </cell>
          <cell r="BN1602">
            <v>1.2</v>
          </cell>
          <cell r="BO1602">
            <v>1.2</v>
          </cell>
          <cell r="BP1602">
            <v>1.2</v>
          </cell>
          <cell r="BQ1602">
            <v>1.2</v>
          </cell>
          <cell r="BR1602">
            <v>1.2</v>
          </cell>
          <cell r="BS1602">
            <v>1.2</v>
          </cell>
          <cell r="BT1602">
            <v>1.2</v>
          </cell>
          <cell r="BU1602">
            <v>1.2</v>
          </cell>
          <cell r="BV1602">
            <v>1.2</v>
          </cell>
        </row>
        <row r="1603">
          <cell r="A1603" t="str">
            <v>Opel</v>
          </cell>
          <cell r="B1603" t="str">
            <v>ARM</v>
          </cell>
          <cell r="D1603" t="str">
            <v>SHIFT B HC  - efficiency</v>
          </cell>
          <cell r="Z1603">
            <v>1</v>
          </cell>
          <cell r="AA1603">
            <v>1</v>
          </cell>
          <cell r="AB1603">
            <v>1</v>
          </cell>
          <cell r="AC1603">
            <v>1</v>
          </cell>
          <cell r="AD1603">
            <v>1</v>
          </cell>
          <cell r="AE1603">
            <v>1</v>
          </cell>
          <cell r="AF1603">
            <v>1</v>
          </cell>
          <cell r="AG1603">
            <v>1</v>
          </cell>
          <cell r="AH1603">
            <v>1</v>
          </cell>
          <cell r="AI1603">
            <v>1</v>
          </cell>
          <cell r="AJ1603">
            <v>1</v>
          </cell>
          <cell r="AK1603">
            <v>1</v>
          </cell>
          <cell r="AL1603">
            <v>1</v>
          </cell>
          <cell r="AM1603">
            <v>1</v>
          </cell>
          <cell r="AN1603">
            <v>1</v>
          </cell>
          <cell r="AO1603">
            <v>1</v>
          </cell>
          <cell r="AP1603">
            <v>1</v>
          </cell>
          <cell r="AQ1603">
            <v>1</v>
          </cell>
          <cell r="AR1603">
            <v>1</v>
          </cell>
          <cell r="AS1603">
            <v>1</v>
          </cell>
          <cell r="AT1603">
            <v>1</v>
          </cell>
          <cell r="AU1603">
            <v>1</v>
          </cell>
          <cell r="AV1603">
            <v>1</v>
          </cell>
          <cell r="AW1603">
            <v>1</v>
          </cell>
          <cell r="AX1603">
            <v>1</v>
          </cell>
          <cell r="AY1603">
            <v>1</v>
          </cell>
          <cell r="AZ1603">
            <v>1</v>
          </cell>
          <cell r="BA1603">
            <v>1</v>
          </cell>
          <cell r="BB1603">
            <v>1</v>
          </cell>
          <cell r="BC1603">
            <v>1</v>
          </cell>
          <cell r="BD1603">
            <v>1</v>
          </cell>
          <cell r="BE1603">
            <v>1</v>
          </cell>
          <cell r="BF1603">
            <v>1</v>
          </cell>
          <cell r="BG1603">
            <v>1</v>
          </cell>
          <cell r="BH1603">
            <v>1</v>
          </cell>
          <cell r="BI1603">
            <v>1</v>
          </cell>
          <cell r="BJ1603">
            <v>1</v>
          </cell>
          <cell r="BK1603">
            <v>1</v>
          </cell>
          <cell r="BL1603">
            <v>1</v>
          </cell>
          <cell r="BM1603">
            <v>1</v>
          </cell>
          <cell r="BN1603">
            <v>1</v>
          </cell>
          <cell r="BO1603">
            <v>1</v>
          </cell>
          <cell r="BP1603">
            <v>1</v>
          </cell>
          <cell r="BQ1603">
            <v>1</v>
          </cell>
          <cell r="BR1603">
            <v>1</v>
          </cell>
          <cell r="BS1603">
            <v>1</v>
          </cell>
          <cell r="BT1603">
            <v>1</v>
          </cell>
          <cell r="BU1603">
            <v>1</v>
          </cell>
          <cell r="BV1603">
            <v>1</v>
          </cell>
        </row>
        <row r="1604">
          <cell r="A1604" t="str">
            <v>Opel</v>
          </cell>
          <cell r="B1604" t="str">
            <v>ARM</v>
          </cell>
          <cell r="D1604" t="str">
            <v>SHIFT C HC  - efficiency</v>
          </cell>
          <cell r="Z1604">
            <v>1</v>
          </cell>
          <cell r="AA1604">
            <v>1</v>
          </cell>
          <cell r="AB1604">
            <v>1</v>
          </cell>
          <cell r="AC1604">
            <v>1</v>
          </cell>
          <cell r="AD1604">
            <v>1</v>
          </cell>
          <cell r="AE1604">
            <v>1</v>
          </cell>
          <cell r="AF1604">
            <v>1</v>
          </cell>
          <cell r="AG1604">
            <v>1</v>
          </cell>
          <cell r="AH1604">
            <v>1</v>
          </cell>
          <cell r="AI1604">
            <v>1</v>
          </cell>
          <cell r="AJ1604">
            <v>1</v>
          </cell>
          <cell r="AK1604">
            <v>1</v>
          </cell>
          <cell r="AL1604">
            <v>1</v>
          </cell>
          <cell r="AM1604">
            <v>1</v>
          </cell>
          <cell r="AN1604">
            <v>1</v>
          </cell>
          <cell r="AO1604">
            <v>1</v>
          </cell>
          <cell r="AP1604">
            <v>1</v>
          </cell>
          <cell r="AQ1604">
            <v>1</v>
          </cell>
          <cell r="AR1604">
            <v>1</v>
          </cell>
          <cell r="AS1604">
            <v>1</v>
          </cell>
          <cell r="AT1604">
            <v>1</v>
          </cell>
          <cell r="AU1604">
            <v>1</v>
          </cell>
          <cell r="AV1604">
            <v>1</v>
          </cell>
          <cell r="AW1604">
            <v>1</v>
          </cell>
          <cell r="AX1604">
            <v>1</v>
          </cell>
          <cell r="AY1604">
            <v>1</v>
          </cell>
          <cell r="AZ1604">
            <v>1</v>
          </cell>
          <cell r="BA1604">
            <v>1</v>
          </cell>
          <cell r="BB1604">
            <v>1</v>
          </cell>
          <cell r="BC1604">
            <v>1</v>
          </cell>
          <cell r="BD1604">
            <v>1</v>
          </cell>
          <cell r="BE1604">
            <v>1</v>
          </cell>
          <cell r="BF1604">
            <v>1</v>
          </cell>
          <cell r="BG1604">
            <v>1</v>
          </cell>
          <cell r="BH1604">
            <v>1</v>
          </cell>
          <cell r="BI1604">
            <v>1</v>
          </cell>
          <cell r="BJ1604">
            <v>1</v>
          </cell>
          <cell r="BK1604">
            <v>1</v>
          </cell>
          <cell r="BL1604">
            <v>1</v>
          </cell>
          <cell r="BM1604">
            <v>1</v>
          </cell>
          <cell r="BN1604">
            <v>1</v>
          </cell>
          <cell r="BO1604">
            <v>1</v>
          </cell>
          <cell r="BP1604">
            <v>1</v>
          </cell>
          <cell r="BQ1604">
            <v>1</v>
          </cell>
          <cell r="BR1604">
            <v>1</v>
          </cell>
          <cell r="BS1604">
            <v>1</v>
          </cell>
          <cell r="BT1604">
            <v>1</v>
          </cell>
          <cell r="BU1604">
            <v>1</v>
          </cell>
          <cell r="BV1604">
            <v>1</v>
          </cell>
        </row>
        <row r="1605">
          <cell r="A1605" t="str">
            <v>Opel</v>
          </cell>
          <cell r="B1605" t="str">
            <v>ARM</v>
          </cell>
          <cell r="D1605" t="str">
            <v>Total efficiency</v>
          </cell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</row>
        <row r="1606">
          <cell r="A1606" t="str">
            <v>Opel</v>
          </cell>
          <cell r="B1606" t="str">
            <v>ARM</v>
          </cell>
          <cell r="D1606" t="str">
            <v>SHIFT A - output</v>
          </cell>
          <cell r="Z1606">
            <v>89.463220675944328</v>
          </cell>
          <cell r="AA1606">
            <v>89.463220675944328</v>
          </cell>
          <cell r="AB1606">
            <v>178.92644135188866</v>
          </cell>
          <cell r="AC1606">
            <v>178.92644135188866</v>
          </cell>
          <cell r="AD1606">
            <v>89.463220675944328</v>
          </cell>
          <cell r="AE1606">
            <v>89.463220675944328</v>
          </cell>
          <cell r="AF1606">
            <v>89.463220675944328</v>
          </cell>
          <cell r="AG1606">
            <v>89.463220675944328</v>
          </cell>
          <cell r="AH1606">
            <v>89.463220675944328</v>
          </cell>
          <cell r="AI1606">
            <v>89.463220675944328</v>
          </cell>
          <cell r="AJ1606">
            <v>89.463220675944328</v>
          </cell>
          <cell r="AK1606">
            <v>89.463220675944328</v>
          </cell>
          <cell r="AL1606">
            <v>178.92644135188866</v>
          </cell>
          <cell r="AM1606">
            <v>89.463220675944328</v>
          </cell>
          <cell r="AN1606">
            <v>178.92644135188866</v>
          </cell>
          <cell r="AO1606">
            <v>178.92644135188866</v>
          </cell>
          <cell r="AP1606">
            <v>178.92644135188866</v>
          </cell>
          <cell r="AQ1606">
            <v>89.463220675944328</v>
          </cell>
          <cell r="AR1606">
            <v>89.463220675944328</v>
          </cell>
          <cell r="AS1606">
            <v>107.35586481113319</v>
          </cell>
          <cell r="AT1606">
            <v>214.71172962226638</v>
          </cell>
          <cell r="AU1606">
            <v>107.35586481113319</v>
          </cell>
          <cell r="AV1606">
            <v>214.71172962226638</v>
          </cell>
          <cell r="AW1606">
            <v>107.35586481113319</v>
          </cell>
          <cell r="AX1606">
            <v>214.71172962226638</v>
          </cell>
          <cell r="AY1606">
            <v>214.71172962226638</v>
          </cell>
          <cell r="AZ1606">
            <v>214.71172962226638</v>
          </cell>
          <cell r="BA1606">
            <v>214.71172962226638</v>
          </cell>
          <cell r="BB1606">
            <v>214.71172962226638</v>
          </cell>
          <cell r="BC1606">
            <v>214.71172962226638</v>
          </cell>
          <cell r="BD1606">
            <v>214.71172962226638</v>
          </cell>
          <cell r="BE1606">
            <v>214.71172962226638</v>
          </cell>
          <cell r="BF1606">
            <v>214.71172962226638</v>
          </cell>
          <cell r="BG1606">
            <v>214.71172962226638</v>
          </cell>
          <cell r="BH1606">
            <v>214.71172962226638</v>
          </cell>
          <cell r="BI1606">
            <v>214.71172962226638</v>
          </cell>
          <cell r="BJ1606">
            <v>214.71172962226638</v>
          </cell>
          <cell r="BK1606">
            <v>322.06759443339956</v>
          </cell>
          <cell r="BL1606">
            <v>322.06759443339956</v>
          </cell>
          <cell r="BM1606">
            <v>322.06759443339956</v>
          </cell>
          <cell r="BN1606">
            <v>322.06759443339956</v>
          </cell>
          <cell r="BO1606">
            <v>322.06759443339956</v>
          </cell>
          <cell r="BP1606">
            <v>322.06759443339956</v>
          </cell>
          <cell r="BQ1606">
            <v>322.06759443339956</v>
          </cell>
          <cell r="BR1606">
            <v>322.06759443339956</v>
          </cell>
          <cell r="BS1606">
            <v>322.06759443339956</v>
          </cell>
          <cell r="BT1606">
            <v>322.06759443339956</v>
          </cell>
          <cell r="BU1606">
            <v>322.06759443339956</v>
          </cell>
          <cell r="BV1606">
            <v>322.06759443339956</v>
          </cell>
        </row>
        <row r="1607">
          <cell r="A1607" t="str">
            <v>Opel</v>
          </cell>
          <cell r="B1607" t="str">
            <v>ARM</v>
          </cell>
          <cell r="D1607" t="str">
            <v>SHIFT B  - output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</row>
        <row r="1608">
          <cell r="A1608" t="str">
            <v>Opel</v>
          </cell>
          <cell r="B1608" t="str">
            <v>ARM</v>
          </cell>
          <cell r="D1608" t="str">
            <v>SHIFT C  - output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</row>
        <row r="1609">
          <cell r="A1609" t="str">
            <v>Opel</v>
          </cell>
          <cell r="B1609" t="str">
            <v>ARM</v>
          </cell>
          <cell r="D1609" t="str">
            <v>Est. Output (Pcs day)</v>
          </cell>
          <cell r="E1609">
            <v>5.03</v>
          </cell>
          <cell r="Z1609">
            <v>89.463220675944328</v>
          </cell>
          <cell r="AA1609">
            <v>89.463220675944328</v>
          </cell>
          <cell r="AB1609">
            <v>178.92644135188866</v>
          </cell>
          <cell r="AC1609">
            <v>178.92644135188866</v>
          </cell>
          <cell r="AD1609">
            <v>89.463220675944328</v>
          </cell>
          <cell r="AE1609">
            <v>89.463220675944328</v>
          </cell>
          <cell r="AF1609">
            <v>89.463220675944328</v>
          </cell>
          <cell r="AG1609">
            <v>89.463220675944328</v>
          </cell>
          <cell r="AH1609">
            <v>89.463220675944328</v>
          </cell>
          <cell r="AI1609">
            <v>89.463220675944328</v>
          </cell>
          <cell r="AJ1609">
            <v>89.463220675944328</v>
          </cell>
          <cell r="AK1609">
            <v>89.463220675944328</v>
          </cell>
          <cell r="AL1609">
            <v>178.92644135188866</v>
          </cell>
          <cell r="AM1609">
            <v>89.463220675944328</v>
          </cell>
          <cell r="AN1609">
            <v>178.92644135188866</v>
          </cell>
          <cell r="AO1609">
            <v>178.92644135188866</v>
          </cell>
          <cell r="AP1609">
            <v>178.92644135188866</v>
          </cell>
          <cell r="AQ1609">
            <v>89.463220675944328</v>
          </cell>
          <cell r="AR1609">
            <v>89.463220675944328</v>
          </cell>
          <cell r="AS1609">
            <v>107.35586481113319</v>
          </cell>
          <cell r="AT1609">
            <v>214.71172962226638</v>
          </cell>
          <cell r="AU1609">
            <v>107.35586481113319</v>
          </cell>
          <cell r="AV1609">
            <v>214.71172962226638</v>
          </cell>
          <cell r="AW1609">
            <v>107.35586481113319</v>
          </cell>
          <cell r="AX1609">
            <v>214.71172962226638</v>
          </cell>
          <cell r="AY1609">
            <v>214.71172962226638</v>
          </cell>
          <cell r="AZ1609">
            <v>214.71172962226638</v>
          </cell>
          <cell r="BA1609">
            <v>214.71172962226638</v>
          </cell>
          <cell r="BB1609">
            <v>214.71172962226638</v>
          </cell>
          <cell r="BC1609">
            <v>214.71172962226638</v>
          </cell>
          <cell r="BD1609">
            <v>214.71172962226638</v>
          </cell>
          <cell r="BE1609">
            <v>214.71172962226638</v>
          </cell>
          <cell r="BF1609">
            <v>214.71172962226638</v>
          </cell>
          <cell r="BG1609">
            <v>214.71172962226638</v>
          </cell>
          <cell r="BH1609">
            <v>214.71172962226638</v>
          </cell>
          <cell r="BI1609">
            <v>214.71172962226638</v>
          </cell>
          <cell r="BJ1609">
            <v>214.71172962226638</v>
          </cell>
          <cell r="BK1609">
            <v>322.06759443339956</v>
          </cell>
          <cell r="BL1609">
            <v>322.06759443339956</v>
          </cell>
          <cell r="BM1609">
            <v>322.06759443339956</v>
          </cell>
          <cell r="BN1609">
            <v>322.06759443339956</v>
          </cell>
          <cell r="BO1609">
            <v>322.06759443339956</v>
          </cell>
          <cell r="BP1609">
            <v>322.06759443339956</v>
          </cell>
          <cell r="BQ1609">
            <v>322.06759443339956</v>
          </cell>
          <cell r="BR1609">
            <v>322.06759443339956</v>
          </cell>
          <cell r="BS1609">
            <v>322.06759443339956</v>
          </cell>
          <cell r="BT1609">
            <v>322.06759443339956</v>
          </cell>
          <cell r="BU1609">
            <v>322.06759443339956</v>
          </cell>
          <cell r="BV1609">
            <v>322.06759443339956</v>
          </cell>
        </row>
        <row r="1610">
          <cell r="A1610" t="str">
            <v>Opel</v>
          </cell>
          <cell r="B1610" t="str">
            <v>ARM</v>
          </cell>
          <cell r="D1610" t="str">
            <v>Weekly Output PLAN</v>
          </cell>
          <cell r="E1610" t="str">
            <v>ASSY</v>
          </cell>
          <cell r="Z1610">
            <v>447.31610337972165</v>
          </cell>
          <cell r="AA1610">
            <v>447.31610337972165</v>
          </cell>
          <cell r="AB1610">
            <v>894.63220675944331</v>
          </cell>
          <cell r="AC1610">
            <v>894.63220675944331</v>
          </cell>
          <cell r="AD1610">
            <v>268.38966202783297</v>
          </cell>
          <cell r="AE1610">
            <v>447.31610337972165</v>
          </cell>
          <cell r="AF1610">
            <v>447.31610337972165</v>
          </cell>
          <cell r="AG1610">
            <v>447.31610337972165</v>
          </cell>
          <cell r="AH1610">
            <v>447.31610337972165</v>
          </cell>
          <cell r="AI1610">
            <v>447.31610337972165</v>
          </cell>
          <cell r="AJ1610">
            <v>447.31610337972165</v>
          </cell>
          <cell r="AK1610">
            <v>357.85288270377731</v>
          </cell>
          <cell r="AL1610">
            <v>715.70576540755462</v>
          </cell>
          <cell r="AM1610">
            <v>447.31610337972165</v>
          </cell>
          <cell r="AN1610">
            <v>715.70576540755462</v>
          </cell>
          <cell r="AO1610">
            <v>894.63220675944331</v>
          </cell>
          <cell r="AP1610">
            <v>894.63220675944331</v>
          </cell>
          <cell r="AQ1610">
            <v>447.31610337972165</v>
          </cell>
          <cell r="AR1610">
            <v>447.31610337972165</v>
          </cell>
          <cell r="AS1610">
            <v>536.77932405566594</v>
          </cell>
          <cell r="AT1610">
            <v>1073.5586481113319</v>
          </cell>
          <cell r="AU1610">
            <v>536.77932405566594</v>
          </cell>
          <cell r="AV1610">
            <v>1073.5586481113319</v>
          </cell>
          <cell r="AW1610">
            <v>536.77932405566594</v>
          </cell>
          <cell r="AX1610">
            <v>1073.5586481113319</v>
          </cell>
          <cell r="AY1610">
            <v>1073.5586481113319</v>
          </cell>
          <cell r="AZ1610">
            <v>0</v>
          </cell>
          <cell r="BA1610">
            <v>0</v>
          </cell>
          <cell r="BB1610">
            <v>1073.5586481113319</v>
          </cell>
          <cell r="BC1610">
            <v>1073.5586481113319</v>
          </cell>
          <cell r="BD1610">
            <v>1073.5586481113319</v>
          </cell>
          <cell r="BE1610">
            <v>1073.5586481113319</v>
          </cell>
          <cell r="BF1610">
            <v>1073.5586481113319</v>
          </cell>
          <cell r="BG1610">
            <v>1073.5586481113319</v>
          </cell>
          <cell r="BH1610">
            <v>1073.5586481113319</v>
          </cell>
          <cell r="BI1610">
            <v>1073.5586481113319</v>
          </cell>
          <cell r="BJ1610">
            <v>1073.5586481113319</v>
          </cell>
          <cell r="BK1610">
            <v>1610.3379721669978</v>
          </cell>
          <cell r="BL1610">
            <v>966.20278330019869</v>
          </cell>
          <cell r="BM1610">
            <v>966.20278330019869</v>
          </cell>
          <cell r="BN1610">
            <v>966.20278330019869</v>
          </cell>
          <cell r="BO1610">
            <v>966.20278330019869</v>
          </cell>
          <cell r="BP1610">
            <v>966.20278330019869</v>
          </cell>
          <cell r="BQ1610">
            <v>966.20278330019869</v>
          </cell>
          <cell r="BR1610">
            <v>966.20278330019869</v>
          </cell>
          <cell r="BS1610">
            <v>966.20278330019869</v>
          </cell>
          <cell r="BT1610">
            <v>966.20278330019869</v>
          </cell>
          <cell r="BU1610">
            <v>966.20278330019869</v>
          </cell>
          <cell r="BV1610">
            <v>966.20278330019869</v>
          </cell>
        </row>
        <row r="1611">
          <cell r="A1611" t="str">
            <v>Opel</v>
          </cell>
          <cell r="B1611" t="str">
            <v>ARM</v>
          </cell>
          <cell r="D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</row>
        <row r="1612">
          <cell r="A1612" t="str">
            <v>Opel</v>
          </cell>
          <cell r="B1612" t="str">
            <v>ARM</v>
          </cell>
          <cell r="D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</row>
        <row r="1613">
          <cell r="A1613" t="str">
            <v>Opel</v>
          </cell>
          <cell r="B1613" t="str">
            <v>ARM</v>
          </cell>
          <cell r="D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</row>
        <row r="1614">
          <cell r="A1614" t="str">
            <v>Opel</v>
          </cell>
          <cell r="B1614" t="str">
            <v>ARM</v>
          </cell>
          <cell r="D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</row>
        <row r="1615">
          <cell r="A1615" t="str">
            <v>Opel</v>
          </cell>
          <cell r="B1615" t="str">
            <v>ARM</v>
          </cell>
          <cell r="D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</row>
        <row r="1616">
          <cell r="A1616" t="str">
            <v>Opel</v>
          </cell>
          <cell r="B1616" t="str">
            <v>ARM</v>
          </cell>
          <cell r="D1616" t="str">
            <v>Weekly Output PLAN - SUM of models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</row>
        <row r="1617">
          <cell r="A1617" t="str">
            <v>Opel</v>
          </cell>
          <cell r="B1617" t="str">
            <v>ARM</v>
          </cell>
          <cell r="D1617" t="str">
            <v>Weekly Output CHECK with TO time multiple</v>
          </cell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</row>
        <row r="1618">
          <cell r="A1618" t="str">
            <v>Opel</v>
          </cell>
          <cell r="B1618" t="str">
            <v>ARM</v>
          </cell>
          <cell r="D1618" t="str">
            <v>Weekly Output ACT</v>
          </cell>
          <cell r="Z1618">
            <v>447.31610337972165</v>
          </cell>
          <cell r="AA1618">
            <v>447.31610337972165</v>
          </cell>
          <cell r="AB1618">
            <v>894.63220675944331</v>
          </cell>
          <cell r="AC1618">
            <v>894.63220675944331</v>
          </cell>
          <cell r="AD1618">
            <v>268.38966202783297</v>
          </cell>
          <cell r="AE1618">
            <v>447.31610337972165</v>
          </cell>
          <cell r="AF1618">
            <v>447.31610337972165</v>
          </cell>
          <cell r="AG1618">
            <v>447.31610337972165</v>
          </cell>
          <cell r="AH1618">
            <v>447.31610337972165</v>
          </cell>
          <cell r="AI1618">
            <v>447.31610337972165</v>
          </cell>
          <cell r="AJ1618">
            <v>447.31610337972165</v>
          </cell>
          <cell r="AK1618">
            <v>357.85288270377731</v>
          </cell>
          <cell r="AL1618">
            <v>715.70576540755462</v>
          </cell>
          <cell r="AM1618">
            <v>447.31610337972165</v>
          </cell>
          <cell r="AN1618">
            <v>715.70576540755462</v>
          </cell>
          <cell r="AO1618">
            <v>894.63220675944331</v>
          </cell>
          <cell r="AP1618">
            <v>894.63220675944331</v>
          </cell>
          <cell r="AQ1618">
            <v>447.31610337972165</v>
          </cell>
          <cell r="AR1618">
            <v>447.31610337972165</v>
          </cell>
          <cell r="AS1618">
            <v>536.77932405566594</v>
          </cell>
          <cell r="AT1618">
            <v>1073.5586481113319</v>
          </cell>
          <cell r="AU1618">
            <v>536.77932405566594</v>
          </cell>
          <cell r="AV1618">
            <v>1073.5586481113319</v>
          </cell>
          <cell r="AW1618">
            <v>536.77932405566594</v>
          </cell>
          <cell r="AX1618">
            <v>1073.5586481113319</v>
          </cell>
          <cell r="AY1618">
            <v>1073.5586481113319</v>
          </cell>
          <cell r="AZ1618">
            <v>0</v>
          </cell>
          <cell r="BA1618">
            <v>0</v>
          </cell>
          <cell r="BB1618">
            <v>1073.5586481113319</v>
          </cell>
          <cell r="BC1618">
            <v>1073.5586481113319</v>
          </cell>
          <cell r="BD1618">
            <v>1073.5586481113319</v>
          </cell>
          <cell r="BE1618">
            <v>1073.5586481113319</v>
          </cell>
          <cell r="BF1618">
            <v>1073.5586481113319</v>
          </cell>
          <cell r="BG1618">
            <v>1073.5586481113319</v>
          </cell>
          <cell r="BH1618">
            <v>1073.5586481113319</v>
          </cell>
          <cell r="BI1618">
            <v>1073.5586481113319</v>
          </cell>
          <cell r="BJ1618">
            <v>1073.5586481113319</v>
          </cell>
          <cell r="BK1618">
            <v>1610.3379721669978</v>
          </cell>
          <cell r="BL1618">
            <v>966.20278330019869</v>
          </cell>
          <cell r="BM1618">
            <v>966.20278330019869</v>
          </cell>
          <cell r="BN1618">
            <v>966.20278330019869</v>
          </cell>
          <cell r="BO1618">
            <v>966.20278330019869</v>
          </cell>
          <cell r="BP1618">
            <v>966.20278330019869</v>
          </cell>
          <cell r="BQ1618">
            <v>966.20278330019869</v>
          </cell>
          <cell r="BR1618">
            <v>966.20278330019869</v>
          </cell>
          <cell r="BS1618">
            <v>966.20278330019869</v>
          </cell>
          <cell r="BT1618">
            <v>966.20278330019869</v>
          </cell>
          <cell r="BU1618">
            <v>966.20278330019869</v>
          </cell>
          <cell r="BV1618">
            <v>966.20278330019869</v>
          </cell>
        </row>
        <row r="1619">
          <cell r="A1619" t="str">
            <v>Opel</v>
          </cell>
          <cell r="B1619" t="str">
            <v>ARM</v>
          </cell>
          <cell r="D1619">
            <v>0</v>
          </cell>
          <cell r="Z1619">
            <v>0</v>
          </cell>
          <cell r="AA1619">
            <v>0</v>
          </cell>
          <cell r="AB1619">
            <v>1596</v>
          </cell>
          <cell r="AC1619">
            <v>1596</v>
          </cell>
          <cell r="AD1619">
            <v>0</v>
          </cell>
          <cell r="AE1619">
            <v>1680</v>
          </cell>
          <cell r="AF1619">
            <v>0</v>
          </cell>
          <cell r="AG1619">
            <v>0</v>
          </cell>
          <cell r="AH1619">
            <v>1512</v>
          </cell>
          <cell r="AI1619">
            <v>0</v>
          </cell>
          <cell r="AJ1619">
            <v>0</v>
          </cell>
          <cell r="AK1619">
            <v>1512</v>
          </cell>
          <cell r="AL1619">
            <v>0</v>
          </cell>
          <cell r="AM1619">
            <v>0</v>
          </cell>
          <cell r="AN1619">
            <v>717.75999999999988</v>
          </cell>
          <cell r="AO1619">
            <v>717.75999999999988</v>
          </cell>
          <cell r="AP1619">
            <v>717.75999999999988</v>
          </cell>
          <cell r="AQ1619">
            <v>717.75999999999988</v>
          </cell>
          <cell r="AR1619">
            <v>717.75999999999988</v>
          </cell>
          <cell r="AS1619">
            <v>779.80444444444447</v>
          </cell>
          <cell r="AT1619">
            <v>779.80444444444447</v>
          </cell>
          <cell r="AU1619">
            <v>779.80444444444447</v>
          </cell>
          <cell r="AV1619">
            <v>779.80444444444447</v>
          </cell>
          <cell r="AW1619">
            <v>638.00888888888892</v>
          </cell>
          <cell r="AX1619">
            <v>638.00888888888892</v>
          </cell>
          <cell r="AY1619">
            <v>638.00888888888892</v>
          </cell>
          <cell r="AZ1619">
            <v>638.00888888888892</v>
          </cell>
          <cell r="BA1619">
            <v>637.91999999999985</v>
          </cell>
          <cell r="BB1619">
            <v>637.91999999999985</v>
          </cell>
          <cell r="BC1619">
            <v>637.91999999999985</v>
          </cell>
          <cell r="BD1619">
            <v>637.91999999999985</v>
          </cell>
          <cell r="BE1619">
            <v>637.91999999999985</v>
          </cell>
          <cell r="BF1619">
            <v>779.66222222222223</v>
          </cell>
          <cell r="BG1619">
            <v>779.66222222222223</v>
          </cell>
          <cell r="BH1619">
            <v>779.66222222222223</v>
          </cell>
          <cell r="BI1619">
            <v>779.66222222222223</v>
          </cell>
          <cell r="BJ1619">
            <v>389.831111111111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</row>
        <row r="1620">
          <cell r="A1620" t="str">
            <v>Opel</v>
          </cell>
          <cell r="B1620" t="str">
            <v>ARM</v>
          </cell>
          <cell r="D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</row>
        <row r="1621">
          <cell r="A1621" t="str">
            <v>Opel</v>
          </cell>
          <cell r="B1621" t="str">
            <v>ARM</v>
          </cell>
          <cell r="D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</row>
        <row r="1622">
          <cell r="A1622" t="str">
            <v>Opel</v>
          </cell>
          <cell r="B1622" t="str">
            <v>ARM</v>
          </cell>
          <cell r="D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</row>
        <row r="1623">
          <cell r="A1623" t="str">
            <v>Opel</v>
          </cell>
          <cell r="B1623" t="str">
            <v>ARM</v>
          </cell>
          <cell r="D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</row>
        <row r="1624">
          <cell r="A1624" t="str">
            <v>Opel</v>
          </cell>
          <cell r="B1624" t="str">
            <v>ARM</v>
          </cell>
          <cell r="D1624" t="str">
            <v>Weekly demand</v>
          </cell>
          <cell r="Z1624">
            <v>0</v>
          </cell>
          <cell r="AA1624">
            <v>0</v>
          </cell>
          <cell r="AB1624">
            <v>1596</v>
          </cell>
          <cell r="AC1624">
            <v>1596</v>
          </cell>
          <cell r="AD1624">
            <v>0</v>
          </cell>
          <cell r="AE1624">
            <v>1680</v>
          </cell>
          <cell r="AF1624">
            <v>0</v>
          </cell>
          <cell r="AG1624">
            <v>0</v>
          </cell>
          <cell r="AH1624">
            <v>1512</v>
          </cell>
          <cell r="AI1624">
            <v>0</v>
          </cell>
          <cell r="AJ1624">
            <v>0</v>
          </cell>
          <cell r="AK1624">
            <v>1512</v>
          </cell>
          <cell r="AL1624">
            <v>0</v>
          </cell>
          <cell r="AM1624">
            <v>0</v>
          </cell>
          <cell r="AN1624">
            <v>717.75999999999988</v>
          </cell>
          <cell r="AO1624">
            <v>717.75999999999988</v>
          </cell>
          <cell r="AP1624">
            <v>717.75999999999988</v>
          </cell>
          <cell r="AQ1624">
            <v>717.75999999999988</v>
          </cell>
          <cell r="AR1624">
            <v>717.75999999999988</v>
          </cell>
          <cell r="AS1624">
            <v>779.80444444444447</v>
          </cell>
          <cell r="AT1624">
            <v>779.80444444444447</v>
          </cell>
          <cell r="AU1624">
            <v>779.80444444444447</v>
          </cell>
          <cell r="AV1624">
            <v>779.80444444444447</v>
          </cell>
          <cell r="AW1624">
            <v>638.00888888888892</v>
          </cell>
          <cell r="AX1624">
            <v>638.00888888888892</v>
          </cell>
          <cell r="AY1624">
            <v>638.00888888888892</v>
          </cell>
          <cell r="AZ1624">
            <v>638.00888888888892</v>
          </cell>
          <cell r="BA1624">
            <v>637.91999999999985</v>
          </cell>
          <cell r="BB1624">
            <v>637.91999999999985</v>
          </cell>
          <cell r="BC1624">
            <v>637.91999999999985</v>
          </cell>
          <cell r="BD1624">
            <v>637.91999999999985</v>
          </cell>
          <cell r="BE1624">
            <v>637.91999999999985</v>
          </cell>
          <cell r="BF1624">
            <v>779.66222222222223</v>
          </cell>
          <cell r="BG1624">
            <v>779.66222222222223</v>
          </cell>
          <cell r="BH1624">
            <v>779.66222222222223</v>
          </cell>
          <cell r="BI1624">
            <v>779.66222222222223</v>
          </cell>
          <cell r="BJ1624">
            <v>389.831111111111</v>
          </cell>
          <cell r="BK1624">
            <v>0</v>
          </cell>
          <cell r="BL1624">
            <v>26374.133333333324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</row>
        <row r="1625">
          <cell r="A1625" t="str">
            <v>Opel</v>
          </cell>
          <cell r="B1625" t="str">
            <v>ARM</v>
          </cell>
          <cell r="D1625" t="str">
            <v>Stock Target</v>
          </cell>
          <cell r="Z1625">
            <v>600</v>
          </cell>
          <cell r="AA1625">
            <v>600</v>
          </cell>
          <cell r="AB1625">
            <v>600</v>
          </cell>
          <cell r="AC1625">
            <v>600</v>
          </cell>
          <cell r="AD1625">
            <v>600</v>
          </cell>
          <cell r="AE1625">
            <v>600</v>
          </cell>
          <cell r="AF1625">
            <v>600</v>
          </cell>
          <cell r="AG1625">
            <v>600</v>
          </cell>
          <cell r="AH1625">
            <v>600</v>
          </cell>
          <cell r="AI1625">
            <v>600</v>
          </cell>
          <cell r="AJ1625">
            <v>2528</v>
          </cell>
          <cell r="AK1625">
            <v>2529</v>
          </cell>
          <cell r="AL1625">
            <v>2530</v>
          </cell>
          <cell r="AM1625">
            <v>2531</v>
          </cell>
          <cell r="AN1625">
            <v>2532</v>
          </cell>
          <cell r="AO1625">
            <v>2533</v>
          </cell>
          <cell r="AP1625">
            <v>2534</v>
          </cell>
          <cell r="AQ1625">
            <v>2535</v>
          </cell>
          <cell r="AR1625">
            <v>2536</v>
          </cell>
          <cell r="AS1625">
            <v>2537</v>
          </cell>
          <cell r="AT1625">
            <v>2538</v>
          </cell>
          <cell r="AU1625">
            <v>2539</v>
          </cell>
          <cell r="AV1625">
            <v>2540</v>
          </cell>
          <cell r="AW1625">
            <v>2541</v>
          </cell>
          <cell r="AX1625">
            <v>2542</v>
          </cell>
          <cell r="AY1625">
            <v>2543</v>
          </cell>
          <cell r="AZ1625">
            <v>2544</v>
          </cell>
          <cell r="BA1625">
            <v>2545</v>
          </cell>
          <cell r="BB1625">
            <v>2546</v>
          </cell>
          <cell r="BC1625">
            <v>2547</v>
          </cell>
          <cell r="BD1625">
            <v>2548</v>
          </cell>
          <cell r="BE1625">
            <v>2549</v>
          </cell>
          <cell r="BF1625">
            <v>2550</v>
          </cell>
          <cell r="BG1625">
            <v>2551</v>
          </cell>
          <cell r="BH1625">
            <v>2552</v>
          </cell>
          <cell r="BI1625">
            <v>2553</v>
          </cell>
          <cell r="BJ1625">
            <v>2554</v>
          </cell>
          <cell r="BK1625">
            <v>2555</v>
          </cell>
          <cell r="BL1625">
            <v>2556</v>
          </cell>
          <cell r="BM1625">
            <v>2557</v>
          </cell>
          <cell r="BN1625">
            <v>2558</v>
          </cell>
          <cell r="BO1625">
            <v>2559</v>
          </cell>
          <cell r="BP1625">
            <v>2560</v>
          </cell>
          <cell r="BQ1625">
            <v>2561</v>
          </cell>
          <cell r="BR1625">
            <v>2562</v>
          </cell>
          <cell r="BS1625">
            <v>2563</v>
          </cell>
          <cell r="BT1625">
            <v>2564</v>
          </cell>
          <cell r="BU1625">
            <v>2565</v>
          </cell>
          <cell r="BV1625">
            <v>2566</v>
          </cell>
        </row>
        <row r="1626">
          <cell r="A1626" t="str">
            <v>Opel</v>
          </cell>
          <cell r="B1626" t="str">
            <v>ARM</v>
          </cell>
          <cell r="D1626" t="str">
            <v>Vinyl</v>
          </cell>
          <cell r="Z1626">
            <v>756</v>
          </cell>
          <cell r="AA1626">
            <v>1260</v>
          </cell>
          <cell r="AB1626">
            <v>-336</v>
          </cell>
          <cell r="AC1626">
            <v>-1932</v>
          </cell>
          <cell r="AD1626">
            <v>-1932</v>
          </cell>
          <cell r="AE1626">
            <v>-3612</v>
          </cell>
          <cell r="AF1626">
            <v>-3612</v>
          </cell>
          <cell r="AG1626">
            <v>-3612</v>
          </cell>
          <cell r="AH1626">
            <v>-5124</v>
          </cell>
          <cell r="AI1626">
            <v>-5124</v>
          </cell>
          <cell r="AJ1626">
            <v>-5124</v>
          </cell>
          <cell r="AK1626">
            <v>-6636</v>
          </cell>
          <cell r="AL1626">
            <v>-6636</v>
          </cell>
          <cell r="AM1626">
            <v>-6636</v>
          </cell>
          <cell r="AN1626">
            <v>-7353.76</v>
          </cell>
          <cell r="AO1626">
            <v>-8071.52</v>
          </cell>
          <cell r="AP1626">
            <v>-8789.2800000000007</v>
          </cell>
          <cell r="AQ1626">
            <v>-9507.0400000000009</v>
          </cell>
          <cell r="AR1626">
            <v>-10224.800000000001</v>
          </cell>
          <cell r="AS1626">
            <v>-11004.604444444445</v>
          </cell>
          <cell r="AT1626">
            <v>-11784.408888888889</v>
          </cell>
          <cell r="AU1626">
            <v>-12564.213333333333</v>
          </cell>
          <cell r="AV1626">
            <v>-13344.017777777777</v>
          </cell>
          <cell r="AW1626">
            <v>-13982.026666666667</v>
          </cell>
          <cell r="AX1626">
            <v>-14620.035555555556</v>
          </cell>
          <cell r="AY1626">
            <v>-15258.044444444446</v>
          </cell>
          <cell r="AZ1626">
            <v>-15896.053333333335</v>
          </cell>
          <cell r="BA1626">
            <v>-16533.973333333335</v>
          </cell>
          <cell r="BB1626">
            <v>-17171.893333333333</v>
          </cell>
          <cell r="BC1626">
            <v>-17809.813333333332</v>
          </cell>
          <cell r="BD1626">
            <v>-18447.73333333333</v>
          </cell>
          <cell r="BE1626">
            <v>-19085.653333333328</v>
          </cell>
          <cell r="BF1626">
            <v>-19865.31555555555</v>
          </cell>
          <cell r="BG1626">
            <v>-20644.977777777771</v>
          </cell>
          <cell r="BH1626">
            <v>-21424.639999999992</v>
          </cell>
          <cell r="BI1626">
            <v>-22204.302222222213</v>
          </cell>
          <cell r="BJ1626">
            <v>-22594.133333333324</v>
          </cell>
          <cell r="BK1626">
            <v>-22594.133333333324</v>
          </cell>
          <cell r="BL1626">
            <v>-22594.133333333324</v>
          </cell>
          <cell r="BM1626">
            <v>-22594.133333333324</v>
          </cell>
          <cell r="BN1626">
            <v>-22594.133333333324</v>
          </cell>
          <cell r="BO1626">
            <v>-22594.133333333324</v>
          </cell>
          <cell r="BP1626">
            <v>-22594.133333333324</v>
          </cell>
          <cell r="BQ1626">
            <v>-22594.133333333324</v>
          </cell>
          <cell r="BR1626">
            <v>-22594.133333333324</v>
          </cell>
          <cell r="BS1626">
            <v>-22594.133333333324</v>
          </cell>
          <cell r="BT1626">
            <v>-22594.133333333324</v>
          </cell>
          <cell r="BU1626">
            <v>-22594.133333333324</v>
          </cell>
          <cell r="BV1626">
            <v>-22594.133333333324</v>
          </cell>
        </row>
        <row r="1627">
          <cell r="A1627" t="str">
            <v>Opel</v>
          </cell>
          <cell r="B1627" t="str">
            <v>ARM</v>
          </cell>
          <cell r="D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  <cell r="BK1627">
            <v>0</v>
          </cell>
          <cell r="BL1627">
            <v>0</v>
          </cell>
          <cell r="BM1627">
            <v>0</v>
          </cell>
          <cell r="BN1627">
            <v>0</v>
          </cell>
          <cell r="BO1627">
            <v>0</v>
          </cell>
          <cell r="BP1627">
            <v>0</v>
          </cell>
          <cell r="BQ1627">
            <v>0</v>
          </cell>
          <cell r="BR1627">
            <v>0</v>
          </cell>
          <cell r="BS1627">
            <v>0</v>
          </cell>
          <cell r="BT1627">
            <v>0</v>
          </cell>
          <cell r="BU1627">
            <v>0</v>
          </cell>
          <cell r="BV1627">
            <v>0</v>
          </cell>
        </row>
        <row r="1628">
          <cell r="A1628" t="str">
            <v>Opel</v>
          </cell>
          <cell r="B1628" t="str">
            <v>ARM</v>
          </cell>
          <cell r="D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  <cell r="BK1628">
            <v>0</v>
          </cell>
          <cell r="BL1628">
            <v>0</v>
          </cell>
          <cell r="BM1628">
            <v>0</v>
          </cell>
          <cell r="BN1628">
            <v>0</v>
          </cell>
          <cell r="BO1628">
            <v>0</v>
          </cell>
          <cell r="BP1628">
            <v>0</v>
          </cell>
          <cell r="BQ1628">
            <v>0</v>
          </cell>
          <cell r="BR1628">
            <v>0</v>
          </cell>
          <cell r="BS1628">
            <v>0</v>
          </cell>
          <cell r="BT1628">
            <v>0</v>
          </cell>
          <cell r="BU1628">
            <v>0</v>
          </cell>
          <cell r="BV1628">
            <v>0</v>
          </cell>
        </row>
        <row r="1629">
          <cell r="A1629" t="str">
            <v>Opel</v>
          </cell>
          <cell r="B1629" t="str">
            <v>ARM</v>
          </cell>
          <cell r="D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</row>
        <row r="1630">
          <cell r="A1630" t="str">
            <v>Opel</v>
          </cell>
          <cell r="B1630" t="str">
            <v>ARM</v>
          </cell>
          <cell r="D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0</v>
          </cell>
          <cell r="BL1630">
            <v>0</v>
          </cell>
          <cell r="BM1630">
            <v>0</v>
          </cell>
          <cell r="BN1630">
            <v>0</v>
          </cell>
          <cell r="BO1630">
            <v>0</v>
          </cell>
          <cell r="BP1630">
            <v>0</v>
          </cell>
          <cell r="BQ1630">
            <v>0</v>
          </cell>
          <cell r="BR1630">
            <v>0</v>
          </cell>
          <cell r="BS1630">
            <v>0</v>
          </cell>
          <cell r="BT1630">
            <v>0</v>
          </cell>
          <cell r="BU1630">
            <v>0</v>
          </cell>
          <cell r="BV1630">
            <v>0</v>
          </cell>
        </row>
        <row r="1631">
          <cell r="A1631" t="str">
            <v>Opel</v>
          </cell>
          <cell r="B1631" t="str">
            <v>ARM</v>
          </cell>
          <cell r="D1631" t="str">
            <v>STOCK</v>
          </cell>
          <cell r="Z1631">
            <v>756</v>
          </cell>
          <cell r="AA1631">
            <v>1203.3161033797217</v>
          </cell>
          <cell r="AB1631">
            <v>501.94831013916496</v>
          </cell>
          <cell r="AC1631">
            <v>-199.41948310139173</v>
          </cell>
          <cell r="AD1631">
            <v>68.970178926441235</v>
          </cell>
          <cell r="AE1631">
            <v>-1163.713717693837</v>
          </cell>
          <cell r="AF1631">
            <v>-716.39761431411534</v>
          </cell>
          <cell r="AG1631">
            <v>-269.08151093439369</v>
          </cell>
          <cell r="AH1631">
            <v>-1333.765407554672</v>
          </cell>
          <cell r="AI1631">
            <v>-886.44930417495038</v>
          </cell>
          <cell r="AJ1631">
            <v>-439.13320079522873</v>
          </cell>
          <cell r="AK1631">
            <v>-1593.2803180914514</v>
          </cell>
          <cell r="AL1631">
            <v>-877.57455268389674</v>
          </cell>
          <cell r="AM1631">
            <v>-430.25844930417509</v>
          </cell>
          <cell r="AN1631">
            <v>-432.31268389662034</v>
          </cell>
          <cell r="AO1631">
            <v>-255.44047713717691</v>
          </cell>
          <cell r="AP1631">
            <v>-78.568270377733484</v>
          </cell>
          <cell r="AQ1631">
            <v>-349.01216699801171</v>
          </cell>
          <cell r="AR1631">
            <v>-619.45606361828982</v>
          </cell>
          <cell r="AS1631">
            <v>-862.48118400706835</v>
          </cell>
          <cell r="AT1631">
            <v>-568.72698034018094</v>
          </cell>
          <cell r="AU1631">
            <v>-811.75210072895948</v>
          </cell>
          <cell r="AV1631">
            <v>-517.99789706207207</v>
          </cell>
          <cell r="AW1631">
            <v>-619.22746189529494</v>
          </cell>
          <cell r="AX1631">
            <v>-183.67770267285186</v>
          </cell>
          <cell r="AY1631">
            <v>251.87205654959109</v>
          </cell>
          <cell r="AZ1631">
            <v>-386.13683233929783</v>
          </cell>
          <cell r="BA1631">
            <v>-1024.0568323392977</v>
          </cell>
          <cell r="BB1631">
            <v>-588.41818422796564</v>
          </cell>
          <cell r="BC1631">
            <v>-152.77953611663361</v>
          </cell>
          <cell r="BD1631">
            <v>282.85911199469842</v>
          </cell>
          <cell r="BE1631">
            <v>718.49776010603046</v>
          </cell>
          <cell r="BF1631">
            <v>1012.3941859951401</v>
          </cell>
          <cell r="BG1631">
            <v>1306.2906118842498</v>
          </cell>
          <cell r="BH1631">
            <v>1600.1870377733594</v>
          </cell>
          <cell r="BI1631">
            <v>1894.0834636624691</v>
          </cell>
          <cell r="BJ1631">
            <v>2577.8110006626898</v>
          </cell>
          <cell r="BK1631">
            <v>4188.1489728296874</v>
          </cell>
          <cell r="BL1631">
            <v>-21219.781577203437</v>
          </cell>
          <cell r="BM1631">
            <v>-20253.578793903238</v>
          </cell>
          <cell r="BN1631">
            <v>-19287.376010603039</v>
          </cell>
          <cell r="BO1631">
            <v>-18321.173227302839</v>
          </cell>
          <cell r="BP1631">
            <v>-17354.97044400264</v>
          </cell>
          <cell r="BQ1631">
            <v>-16388.76766070244</v>
          </cell>
          <cell r="BR1631">
            <v>-15422.564877402241</v>
          </cell>
          <cell r="BS1631">
            <v>-14456.362094102042</v>
          </cell>
          <cell r="BT1631">
            <v>-13490.159310801842</v>
          </cell>
          <cell r="BU1631">
            <v>-12523.956527501643</v>
          </cell>
          <cell r="BV1631">
            <v>-11557.753744201444</v>
          </cell>
        </row>
        <row r="1632">
          <cell r="A1632" t="str">
            <v>Blank</v>
          </cell>
          <cell r="B1632" t="str">
            <v>Blank</v>
          </cell>
          <cell r="D1632" t="str">
            <v>Blank</v>
          </cell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</row>
        <row r="1633">
          <cell r="A1633" t="str">
            <v>Opel</v>
          </cell>
          <cell r="B1633" t="str">
            <v>FHR</v>
          </cell>
          <cell r="D1633" t="str">
            <v>Work days</v>
          </cell>
          <cell r="Z1633">
            <v>5</v>
          </cell>
          <cell r="AA1633">
            <v>5</v>
          </cell>
          <cell r="AB1633">
            <v>5</v>
          </cell>
          <cell r="AC1633">
            <v>5</v>
          </cell>
          <cell r="AD1633">
            <v>3</v>
          </cell>
          <cell r="AE1633">
            <v>5</v>
          </cell>
          <cell r="AF1633">
            <v>5</v>
          </cell>
          <cell r="AG1633">
            <v>5</v>
          </cell>
          <cell r="AH1633">
            <v>5</v>
          </cell>
          <cell r="AI1633">
            <v>5</v>
          </cell>
          <cell r="AJ1633">
            <v>5</v>
          </cell>
          <cell r="AK1633">
            <v>4</v>
          </cell>
          <cell r="AL1633">
            <v>4</v>
          </cell>
          <cell r="AM1633">
            <v>5</v>
          </cell>
          <cell r="AN1633">
            <v>4</v>
          </cell>
          <cell r="AO1633">
            <v>5</v>
          </cell>
          <cell r="AP1633">
            <v>5</v>
          </cell>
          <cell r="AQ1633">
            <v>5</v>
          </cell>
          <cell r="AR1633">
            <v>5</v>
          </cell>
          <cell r="AS1633">
            <v>5</v>
          </cell>
          <cell r="AT1633">
            <v>5</v>
          </cell>
          <cell r="AU1633">
            <v>5</v>
          </cell>
          <cell r="AV1633">
            <v>6</v>
          </cell>
          <cell r="AW1633">
            <v>6</v>
          </cell>
          <cell r="AX1633">
            <v>6</v>
          </cell>
          <cell r="AY1633">
            <v>6</v>
          </cell>
          <cell r="AZ1633">
            <v>0</v>
          </cell>
          <cell r="BA1633">
            <v>0</v>
          </cell>
          <cell r="BB1633">
            <v>5</v>
          </cell>
          <cell r="BC1633">
            <v>5</v>
          </cell>
          <cell r="BD1633">
            <v>5</v>
          </cell>
          <cell r="BE1633">
            <v>5</v>
          </cell>
          <cell r="BF1633">
            <v>5</v>
          </cell>
          <cell r="BG1633">
            <v>5</v>
          </cell>
          <cell r="BH1633">
            <v>5</v>
          </cell>
          <cell r="BI1633">
            <v>5</v>
          </cell>
          <cell r="BJ1633">
            <v>5</v>
          </cell>
          <cell r="BK1633">
            <v>5</v>
          </cell>
          <cell r="BL1633">
            <v>3</v>
          </cell>
          <cell r="BM1633">
            <v>3</v>
          </cell>
          <cell r="BN1633">
            <v>3</v>
          </cell>
          <cell r="BO1633">
            <v>3</v>
          </cell>
          <cell r="BP1633">
            <v>3</v>
          </cell>
          <cell r="BQ1633">
            <v>3</v>
          </cell>
          <cell r="BR1633">
            <v>3</v>
          </cell>
          <cell r="BS1633">
            <v>3</v>
          </cell>
          <cell r="BT1633">
            <v>3</v>
          </cell>
          <cell r="BU1633">
            <v>3</v>
          </cell>
          <cell r="BV1633">
            <v>3</v>
          </cell>
        </row>
        <row r="1634">
          <cell r="A1634" t="str">
            <v>Opel</v>
          </cell>
          <cell r="B1634" t="str">
            <v>FHR</v>
          </cell>
          <cell r="D1634" t="str">
            <v>SHIFT A HC - operators</v>
          </cell>
          <cell r="Z1634">
            <v>3</v>
          </cell>
          <cell r="AA1634">
            <v>3</v>
          </cell>
          <cell r="AB1634">
            <v>2</v>
          </cell>
          <cell r="AC1634">
            <v>2</v>
          </cell>
          <cell r="AD1634">
            <v>3</v>
          </cell>
          <cell r="AE1634">
            <v>3</v>
          </cell>
          <cell r="AF1634">
            <v>3</v>
          </cell>
          <cell r="AG1634">
            <v>3</v>
          </cell>
          <cell r="AH1634">
            <v>3</v>
          </cell>
          <cell r="AI1634">
            <v>3</v>
          </cell>
          <cell r="AJ1634">
            <v>3</v>
          </cell>
          <cell r="AK1634">
            <v>3</v>
          </cell>
          <cell r="AL1634">
            <v>3</v>
          </cell>
          <cell r="AM1634">
            <v>3</v>
          </cell>
          <cell r="AN1634">
            <v>4</v>
          </cell>
          <cell r="AO1634">
            <v>4</v>
          </cell>
          <cell r="AP1634">
            <v>4</v>
          </cell>
          <cell r="AQ1634">
            <v>4</v>
          </cell>
          <cell r="AR1634">
            <v>4</v>
          </cell>
          <cell r="AS1634">
            <v>4</v>
          </cell>
          <cell r="AT1634">
            <v>6</v>
          </cell>
          <cell r="AU1634">
            <v>6</v>
          </cell>
          <cell r="AV1634">
            <v>6</v>
          </cell>
          <cell r="AW1634">
            <v>6</v>
          </cell>
          <cell r="AX1634">
            <v>6</v>
          </cell>
          <cell r="AY1634">
            <v>6</v>
          </cell>
          <cell r="AZ1634">
            <v>6</v>
          </cell>
          <cell r="BA1634">
            <v>6</v>
          </cell>
          <cell r="BB1634">
            <v>6</v>
          </cell>
          <cell r="BC1634">
            <v>6</v>
          </cell>
          <cell r="BD1634">
            <v>6</v>
          </cell>
          <cell r="BE1634">
            <v>6</v>
          </cell>
          <cell r="BF1634">
            <v>6</v>
          </cell>
          <cell r="BG1634">
            <v>6</v>
          </cell>
          <cell r="BH1634">
            <v>6</v>
          </cell>
          <cell r="BI1634">
            <v>6</v>
          </cell>
          <cell r="BJ1634">
            <v>6</v>
          </cell>
          <cell r="BK1634">
            <v>3</v>
          </cell>
          <cell r="BL1634">
            <v>3</v>
          </cell>
          <cell r="BM1634">
            <v>3</v>
          </cell>
          <cell r="BN1634">
            <v>3</v>
          </cell>
          <cell r="BO1634">
            <v>3</v>
          </cell>
          <cell r="BP1634">
            <v>3</v>
          </cell>
          <cell r="BQ1634">
            <v>3</v>
          </cell>
          <cell r="BR1634">
            <v>3</v>
          </cell>
          <cell r="BS1634">
            <v>3</v>
          </cell>
          <cell r="BT1634">
            <v>3</v>
          </cell>
          <cell r="BU1634">
            <v>3</v>
          </cell>
          <cell r="BV1634">
            <v>3</v>
          </cell>
        </row>
        <row r="1635">
          <cell r="A1635" t="str">
            <v>Opel</v>
          </cell>
          <cell r="B1635" t="str">
            <v>FHR</v>
          </cell>
          <cell r="D1635" t="str">
            <v>SHIFT B HC  - operators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</row>
        <row r="1636">
          <cell r="A1636" t="str">
            <v>Opel</v>
          </cell>
          <cell r="B1636" t="str">
            <v>FHR</v>
          </cell>
          <cell r="D1636" t="str">
            <v>SHIFT C HC  - operators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</row>
        <row r="1637">
          <cell r="A1637" t="str">
            <v>Opel</v>
          </cell>
          <cell r="B1637" t="str">
            <v>FHR</v>
          </cell>
          <cell r="D1637" t="str">
            <v>Total HC</v>
          </cell>
          <cell r="Z1637">
            <v>3</v>
          </cell>
          <cell r="AA1637">
            <v>3</v>
          </cell>
          <cell r="AB1637">
            <v>2</v>
          </cell>
          <cell r="AC1637">
            <v>2</v>
          </cell>
          <cell r="AD1637">
            <v>3</v>
          </cell>
          <cell r="AE1637">
            <v>3</v>
          </cell>
          <cell r="AF1637">
            <v>3</v>
          </cell>
          <cell r="AG1637">
            <v>3</v>
          </cell>
          <cell r="AH1637">
            <v>3</v>
          </cell>
          <cell r="AI1637">
            <v>3</v>
          </cell>
          <cell r="AJ1637">
            <v>3</v>
          </cell>
          <cell r="AK1637">
            <v>3</v>
          </cell>
          <cell r="AL1637">
            <v>3</v>
          </cell>
          <cell r="AM1637">
            <v>3</v>
          </cell>
          <cell r="AN1637">
            <v>4</v>
          </cell>
          <cell r="AO1637">
            <v>4</v>
          </cell>
          <cell r="AP1637">
            <v>4</v>
          </cell>
          <cell r="AQ1637">
            <v>4</v>
          </cell>
          <cell r="AR1637">
            <v>4</v>
          </cell>
          <cell r="AS1637">
            <v>4</v>
          </cell>
          <cell r="AT1637">
            <v>6</v>
          </cell>
          <cell r="AU1637">
            <v>6</v>
          </cell>
          <cell r="AV1637">
            <v>6</v>
          </cell>
          <cell r="AW1637">
            <v>6</v>
          </cell>
          <cell r="AX1637">
            <v>6</v>
          </cell>
          <cell r="AY1637">
            <v>6</v>
          </cell>
          <cell r="AZ1637">
            <v>6</v>
          </cell>
          <cell r="BA1637">
            <v>6</v>
          </cell>
          <cell r="BB1637">
            <v>6</v>
          </cell>
          <cell r="BC1637">
            <v>6</v>
          </cell>
          <cell r="BD1637">
            <v>6</v>
          </cell>
          <cell r="BE1637">
            <v>6</v>
          </cell>
          <cell r="BF1637">
            <v>6</v>
          </cell>
          <cell r="BG1637">
            <v>6</v>
          </cell>
          <cell r="BH1637">
            <v>6</v>
          </cell>
          <cell r="BI1637">
            <v>6</v>
          </cell>
          <cell r="BJ1637">
            <v>6</v>
          </cell>
          <cell r="BK1637">
            <v>3</v>
          </cell>
          <cell r="BL1637">
            <v>3</v>
          </cell>
          <cell r="BM1637">
            <v>3</v>
          </cell>
          <cell r="BN1637">
            <v>3</v>
          </cell>
          <cell r="BO1637">
            <v>3</v>
          </cell>
          <cell r="BP1637">
            <v>3</v>
          </cell>
          <cell r="BQ1637">
            <v>3</v>
          </cell>
          <cell r="BR1637">
            <v>3</v>
          </cell>
          <cell r="BS1637">
            <v>3</v>
          </cell>
          <cell r="BT1637">
            <v>3</v>
          </cell>
          <cell r="BU1637">
            <v>3</v>
          </cell>
          <cell r="BV1637">
            <v>3</v>
          </cell>
        </row>
        <row r="1638">
          <cell r="A1638" t="str">
            <v>Opel</v>
          </cell>
          <cell r="B1638" t="str">
            <v>FHR</v>
          </cell>
          <cell r="D1638" t="str">
            <v>SHIFT A HC  - efficiency</v>
          </cell>
          <cell r="Z1638">
            <v>0.75</v>
          </cell>
          <cell r="AA1638">
            <v>0.75</v>
          </cell>
          <cell r="AB1638">
            <v>0.75</v>
          </cell>
          <cell r="AC1638">
            <v>0.75</v>
          </cell>
          <cell r="AD1638">
            <v>0.75</v>
          </cell>
          <cell r="AE1638">
            <v>0.75</v>
          </cell>
          <cell r="AF1638">
            <v>0.75</v>
          </cell>
          <cell r="AG1638">
            <v>0.75</v>
          </cell>
          <cell r="AH1638">
            <v>0.75</v>
          </cell>
          <cell r="AI1638">
            <v>0.75</v>
          </cell>
          <cell r="AJ1638">
            <v>0.75</v>
          </cell>
          <cell r="AK1638">
            <v>0.75</v>
          </cell>
          <cell r="AL1638">
            <v>0.75</v>
          </cell>
          <cell r="AM1638">
            <v>0.75</v>
          </cell>
          <cell r="AN1638">
            <v>0.75</v>
          </cell>
          <cell r="AO1638">
            <v>0.75</v>
          </cell>
          <cell r="AP1638">
            <v>0.75</v>
          </cell>
          <cell r="AQ1638">
            <v>0.75</v>
          </cell>
          <cell r="AR1638">
            <v>0.75</v>
          </cell>
          <cell r="AS1638">
            <v>0.75</v>
          </cell>
          <cell r="AT1638">
            <v>0.55000000000000004</v>
          </cell>
          <cell r="AU1638">
            <v>0.55000000000000004</v>
          </cell>
          <cell r="AV1638">
            <v>0.55000000000000004</v>
          </cell>
          <cell r="AW1638">
            <v>0.55000000000000004</v>
          </cell>
          <cell r="AX1638">
            <v>0.55000000000000004</v>
          </cell>
          <cell r="AY1638">
            <v>0.55000000000000004</v>
          </cell>
          <cell r="AZ1638">
            <v>0.55000000000000004</v>
          </cell>
          <cell r="BA1638">
            <v>0.55000000000000004</v>
          </cell>
          <cell r="BB1638">
            <v>0.55000000000000004</v>
          </cell>
          <cell r="BC1638">
            <v>0.55000000000000004</v>
          </cell>
          <cell r="BD1638">
            <v>0.55000000000000004</v>
          </cell>
          <cell r="BE1638">
            <v>0.55000000000000004</v>
          </cell>
          <cell r="BF1638">
            <v>0.55000000000000004</v>
          </cell>
          <cell r="BG1638">
            <v>0.55000000000000004</v>
          </cell>
          <cell r="BH1638">
            <v>0.55000000000000004</v>
          </cell>
          <cell r="BI1638">
            <v>0.55000000000000004</v>
          </cell>
          <cell r="BJ1638">
            <v>0.55000000000000004</v>
          </cell>
          <cell r="BK1638">
            <v>1.2</v>
          </cell>
          <cell r="BL1638">
            <v>1.2</v>
          </cell>
          <cell r="BM1638">
            <v>1.2</v>
          </cell>
          <cell r="BN1638">
            <v>1.2</v>
          </cell>
          <cell r="BO1638">
            <v>1.2</v>
          </cell>
          <cell r="BP1638">
            <v>1.2</v>
          </cell>
          <cell r="BQ1638">
            <v>1.2</v>
          </cell>
          <cell r="BR1638">
            <v>1.2</v>
          </cell>
          <cell r="BS1638">
            <v>1.2</v>
          </cell>
          <cell r="BT1638">
            <v>1.2</v>
          </cell>
          <cell r="BU1638">
            <v>1.2</v>
          </cell>
          <cell r="BV1638">
            <v>1.2</v>
          </cell>
        </row>
        <row r="1639">
          <cell r="A1639" t="str">
            <v>Opel</v>
          </cell>
          <cell r="B1639" t="str">
            <v>FHR</v>
          </cell>
          <cell r="D1639" t="str">
            <v>SHIFT B HC  - efficiency</v>
          </cell>
          <cell r="Z1639">
            <v>1</v>
          </cell>
          <cell r="AA1639">
            <v>1</v>
          </cell>
          <cell r="AB1639">
            <v>1</v>
          </cell>
          <cell r="AC1639">
            <v>1</v>
          </cell>
          <cell r="AD1639">
            <v>1</v>
          </cell>
          <cell r="AE1639">
            <v>1</v>
          </cell>
          <cell r="AF1639">
            <v>1</v>
          </cell>
          <cell r="AG1639">
            <v>1</v>
          </cell>
          <cell r="AH1639">
            <v>1</v>
          </cell>
          <cell r="AI1639">
            <v>1</v>
          </cell>
          <cell r="AJ1639">
            <v>1</v>
          </cell>
          <cell r="AK1639">
            <v>1</v>
          </cell>
          <cell r="AL1639">
            <v>1</v>
          </cell>
          <cell r="AM1639">
            <v>1</v>
          </cell>
          <cell r="AN1639">
            <v>1</v>
          </cell>
          <cell r="AO1639">
            <v>1</v>
          </cell>
          <cell r="AP1639">
            <v>1</v>
          </cell>
          <cell r="AQ1639">
            <v>1</v>
          </cell>
          <cell r="AR1639">
            <v>1</v>
          </cell>
          <cell r="AS1639">
            <v>1</v>
          </cell>
          <cell r="AT1639">
            <v>1</v>
          </cell>
          <cell r="AU1639">
            <v>1</v>
          </cell>
          <cell r="AV1639">
            <v>1</v>
          </cell>
          <cell r="AW1639">
            <v>1</v>
          </cell>
          <cell r="AX1639">
            <v>1</v>
          </cell>
          <cell r="AY1639">
            <v>1</v>
          </cell>
          <cell r="AZ1639">
            <v>1</v>
          </cell>
          <cell r="BA1639">
            <v>1</v>
          </cell>
          <cell r="BB1639">
            <v>1</v>
          </cell>
          <cell r="BC1639">
            <v>1</v>
          </cell>
          <cell r="BD1639">
            <v>1</v>
          </cell>
          <cell r="BE1639">
            <v>1</v>
          </cell>
          <cell r="BF1639">
            <v>1</v>
          </cell>
          <cell r="BG1639">
            <v>1</v>
          </cell>
          <cell r="BH1639">
            <v>1</v>
          </cell>
          <cell r="BI1639">
            <v>1</v>
          </cell>
          <cell r="BJ1639">
            <v>1</v>
          </cell>
          <cell r="BK1639">
            <v>1</v>
          </cell>
          <cell r="BL1639">
            <v>1</v>
          </cell>
          <cell r="BM1639">
            <v>1</v>
          </cell>
          <cell r="BN1639">
            <v>1</v>
          </cell>
          <cell r="BO1639">
            <v>1</v>
          </cell>
          <cell r="BP1639">
            <v>1</v>
          </cell>
          <cell r="BQ1639">
            <v>1</v>
          </cell>
          <cell r="BR1639">
            <v>1</v>
          </cell>
          <cell r="BS1639">
            <v>1</v>
          </cell>
          <cell r="BT1639">
            <v>1</v>
          </cell>
          <cell r="BU1639">
            <v>1</v>
          </cell>
          <cell r="BV1639">
            <v>1</v>
          </cell>
        </row>
        <row r="1640">
          <cell r="A1640" t="str">
            <v>Opel</v>
          </cell>
          <cell r="B1640" t="str">
            <v>FHR</v>
          </cell>
          <cell r="D1640" t="str">
            <v>SHIFT C HC  - efficiency</v>
          </cell>
          <cell r="Z1640">
            <v>1</v>
          </cell>
          <cell r="AA1640">
            <v>1</v>
          </cell>
          <cell r="AB1640">
            <v>1</v>
          </cell>
          <cell r="AC1640">
            <v>1</v>
          </cell>
          <cell r="AD1640">
            <v>1</v>
          </cell>
          <cell r="AE1640">
            <v>1</v>
          </cell>
          <cell r="AF1640">
            <v>1</v>
          </cell>
          <cell r="AG1640">
            <v>1</v>
          </cell>
          <cell r="AH1640">
            <v>1</v>
          </cell>
          <cell r="AI1640">
            <v>1</v>
          </cell>
          <cell r="AJ1640">
            <v>1</v>
          </cell>
          <cell r="AK1640">
            <v>1</v>
          </cell>
          <cell r="AL1640">
            <v>1</v>
          </cell>
          <cell r="AM1640">
            <v>1</v>
          </cell>
          <cell r="AN1640">
            <v>1</v>
          </cell>
          <cell r="AO1640">
            <v>1</v>
          </cell>
          <cell r="AP1640">
            <v>1</v>
          </cell>
          <cell r="AQ1640">
            <v>1</v>
          </cell>
          <cell r="AR1640">
            <v>1</v>
          </cell>
          <cell r="AS1640">
            <v>1</v>
          </cell>
          <cell r="AT1640">
            <v>1</v>
          </cell>
          <cell r="AU1640">
            <v>1</v>
          </cell>
          <cell r="AV1640">
            <v>1</v>
          </cell>
          <cell r="AW1640">
            <v>1</v>
          </cell>
          <cell r="AX1640">
            <v>1</v>
          </cell>
          <cell r="AY1640">
            <v>1</v>
          </cell>
          <cell r="AZ1640">
            <v>1</v>
          </cell>
          <cell r="BA1640">
            <v>1</v>
          </cell>
          <cell r="BB1640">
            <v>1</v>
          </cell>
          <cell r="BC1640">
            <v>1</v>
          </cell>
          <cell r="BD1640">
            <v>1</v>
          </cell>
          <cell r="BE1640">
            <v>1</v>
          </cell>
          <cell r="BF1640">
            <v>1</v>
          </cell>
          <cell r="BG1640">
            <v>1</v>
          </cell>
          <cell r="BH1640">
            <v>1</v>
          </cell>
          <cell r="BI1640">
            <v>1</v>
          </cell>
          <cell r="BJ1640">
            <v>1</v>
          </cell>
          <cell r="BK1640">
            <v>1</v>
          </cell>
          <cell r="BL1640">
            <v>1</v>
          </cell>
          <cell r="BM1640">
            <v>1</v>
          </cell>
          <cell r="BN1640">
            <v>1</v>
          </cell>
          <cell r="BO1640">
            <v>1</v>
          </cell>
          <cell r="BP1640">
            <v>1</v>
          </cell>
          <cell r="BQ1640">
            <v>1</v>
          </cell>
          <cell r="BR1640">
            <v>1</v>
          </cell>
          <cell r="BS1640">
            <v>1</v>
          </cell>
          <cell r="BT1640">
            <v>1</v>
          </cell>
          <cell r="BU1640">
            <v>1</v>
          </cell>
          <cell r="BV1640">
            <v>1</v>
          </cell>
        </row>
        <row r="1641">
          <cell r="A1641" t="str">
            <v>Opel</v>
          </cell>
          <cell r="B1641" t="str">
            <v>FHR</v>
          </cell>
          <cell r="D1641" t="str">
            <v>Total efficiency</v>
          </cell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</row>
        <row r="1642">
          <cell r="A1642" t="str">
            <v>Opel</v>
          </cell>
          <cell r="B1642" t="str">
            <v>FHR</v>
          </cell>
          <cell r="D1642" t="str">
            <v>SHIFT A - output</v>
          </cell>
          <cell r="Z1642">
            <v>253.125</v>
          </cell>
          <cell r="AA1642">
            <v>253.125</v>
          </cell>
          <cell r="AB1642">
            <v>168.75</v>
          </cell>
          <cell r="AC1642">
            <v>168.75</v>
          </cell>
          <cell r="AD1642">
            <v>253.125</v>
          </cell>
          <cell r="AE1642">
            <v>253.125</v>
          </cell>
          <cell r="AF1642">
            <v>253.125</v>
          </cell>
          <cell r="AG1642">
            <v>253.125</v>
          </cell>
          <cell r="AH1642">
            <v>253.125</v>
          </cell>
          <cell r="AI1642">
            <v>253.125</v>
          </cell>
          <cell r="AJ1642">
            <v>253.125</v>
          </cell>
          <cell r="AK1642">
            <v>253.125</v>
          </cell>
          <cell r="AL1642">
            <v>253.125</v>
          </cell>
          <cell r="AM1642">
            <v>253.125</v>
          </cell>
          <cell r="AN1642">
            <v>337.5</v>
          </cell>
          <cell r="AO1642">
            <v>337.5</v>
          </cell>
          <cell r="AP1642">
            <v>337.5</v>
          </cell>
          <cell r="AQ1642">
            <v>337.5</v>
          </cell>
          <cell r="AR1642">
            <v>337.5</v>
          </cell>
          <cell r="AS1642">
            <v>337.5</v>
          </cell>
          <cell r="AT1642">
            <v>371.25000000000006</v>
          </cell>
          <cell r="AU1642">
            <v>371.25000000000006</v>
          </cell>
          <cell r="AV1642">
            <v>371.25000000000006</v>
          </cell>
          <cell r="AW1642">
            <v>371.25000000000006</v>
          </cell>
          <cell r="AX1642">
            <v>371.25000000000006</v>
          </cell>
          <cell r="AY1642">
            <v>371.25000000000006</v>
          </cell>
          <cell r="AZ1642">
            <v>371.25000000000006</v>
          </cell>
          <cell r="BA1642">
            <v>371.25000000000006</v>
          </cell>
          <cell r="BB1642">
            <v>371.25000000000006</v>
          </cell>
          <cell r="BC1642">
            <v>371.25000000000006</v>
          </cell>
          <cell r="BD1642">
            <v>371.25000000000006</v>
          </cell>
          <cell r="BE1642">
            <v>371.25000000000006</v>
          </cell>
          <cell r="BF1642">
            <v>371.25000000000006</v>
          </cell>
          <cell r="BG1642">
            <v>371.25000000000006</v>
          </cell>
          <cell r="BH1642">
            <v>371.25000000000006</v>
          </cell>
          <cell r="BI1642">
            <v>371.25000000000006</v>
          </cell>
          <cell r="BJ1642">
            <v>371.25000000000006</v>
          </cell>
          <cell r="BK1642">
            <v>405</v>
          </cell>
          <cell r="BL1642">
            <v>405</v>
          </cell>
          <cell r="BM1642">
            <v>405</v>
          </cell>
          <cell r="BN1642">
            <v>405</v>
          </cell>
          <cell r="BO1642">
            <v>405</v>
          </cell>
          <cell r="BP1642">
            <v>405</v>
          </cell>
          <cell r="BQ1642">
            <v>405</v>
          </cell>
          <cell r="BR1642">
            <v>405</v>
          </cell>
          <cell r="BS1642">
            <v>405</v>
          </cell>
          <cell r="BT1642">
            <v>405</v>
          </cell>
          <cell r="BU1642">
            <v>405</v>
          </cell>
          <cell r="BV1642">
            <v>405</v>
          </cell>
        </row>
        <row r="1643">
          <cell r="A1643" t="str">
            <v>Opel</v>
          </cell>
          <cell r="B1643" t="str">
            <v>FHR</v>
          </cell>
          <cell r="D1643" t="str">
            <v>SHIFT B  - output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</row>
        <row r="1644">
          <cell r="A1644" t="str">
            <v>Opel</v>
          </cell>
          <cell r="B1644" t="str">
            <v>FHR</v>
          </cell>
          <cell r="D1644" t="str">
            <v>SHIFT C  - output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</row>
        <row r="1645">
          <cell r="A1645" t="str">
            <v>Opel</v>
          </cell>
          <cell r="B1645" t="str">
            <v>FHR</v>
          </cell>
          <cell r="D1645" t="str">
            <v>Est. Output (Pcs day)</v>
          </cell>
          <cell r="E1645">
            <v>4</v>
          </cell>
          <cell r="Z1645">
            <v>253.125</v>
          </cell>
          <cell r="AA1645">
            <v>253.125</v>
          </cell>
          <cell r="AB1645">
            <v>168.75</v>
          </cell>
          <cell r="AC1645">
            <v>168.75</v>
          </cell>
          <cell r="AD1645">
            <v>253.125</v>
          </cell>
          <cell r="AE1645">
            <v>253.125</v>
          </cell>
          <cell r="AF1645">
            <v>253.125</v>
          </cell>
          <cell r="AG1645">
            <v>253.125</v>
          </cell>
          <cell r="AH1645">
            <v>253.125</v>
          </cell>
          <cell r="AI1645">
            <v>253.125</v>
          </cell>
          <cell r="AJ1645">
            <v>253.125</v>
          </cell>
          <cell r="AK1645">
            <v>253.125</v>
          </cell>
          <cell r="AL1645">
            <v>253.125</v>
          </cell>
          <cell r="AM1645">
            <v>253.125</v>
          </cell>
          <cell r="AN1645">
            <v>337.5</v>
          </cell>
          <cell r="AO1645">
            <v>337.5</v>
          </cell>
          <cell r="AP1645">
            <v>337.5</v>
          </cell>
          <cell r="AQ1645">
            <v>337.5</v>
          </cell>
          <cell r="AR1645">
            <v>337.5</v>
          </cell>
          <cell r="AS1645">
            <v>337.5</v>
          </cell>
          <cell r="AT1645">
            <v>371.25000000000006</v>
          </cell>
          <cell r="AU1645">
            <v>371.25000000000006</v>
          </cell>
          <cell r="AV1645">
            <v>371.25000000000006</v>
          </cell>
          <cell r="AW1645">
            <v>371.25000000000006</v>
          </cell>
          <cell r="AX1645">
            <v>371.25000000000006</v>
          </cell>
          <cell r="AY1645">
            <v>371.25000000000006</v>
          </cell>
          <cell r="AZ1645">
            <v>371.25000000000006</v>
          </cell>
          <cell r="BA1645">
            <v>371.25000000000006</v>
          </cell>
          <cell r="BB1645">
            <v>371.25000000000006</v>
          </cell>
          <cell r="BC1645">
            <v>371.25000000000006</v>
          </cell>
          <cell r="BD1645">
            <v>371.25000000000006</v>
          </cell>
          <cell r="BE1645">
            <v>371.25000000000006</v>
          </cell>
          <cell r="BF1645">
            <v>371.25000000000006</v>
          </cell>
          <cell r="BG1645">
            <v>371.25000000000006</v>
          </cell>
          <cell r="BH1645">
            <v>371.25000000000006</v>
          </cell>
          <cell r="BI1645">
            <v>371.25000000000006</v>
          </cell>
          <cell r="BJ1645">
            <v>371.25000000000006</v>
          </cell>
          <cell r="BK1645">
            <v>405</v>
          </cell>
          <cell r="BL1645">
            <v>405</v>
          </cell>
          <cell r="BM1645">
            <v>405</v>
          </cell>
          <cell r="BN1645">
            <v>405</v>
          </cell>
          <cell r="BO1645">
            <v>405</v>
          </cell>
          <cell r="BP1645">
            <v>405</v>
          </cell>
          <cell r="BQ1645">
            <v>405</v>
          </cell>
          <cell r="BR1645">
            <v>405</v>
          </cell>
          <cell r="BS1645">
            <v>405</v>
          </cell>
          <cell r="BT1645">
            <v>405</v>
          </cell>
          <cell r="BU1645">
            <v>405</v>
          </cell>
          <cell r="BV1645">
            <v>405</v>
          </cell>
        </row>
        <row r="1646">
          <cell r="A1646" t="str">
            <v>Opel</v>
          </cell>
          <cell r="B1646" t="str">
            <v>FHR</v>
          </cell>
          <cell r="D1646" t="str">
            <v>Weekly Output PLAN</v>
          </cell>
          <cell r="E1646" t="str">
            <v>ASSY</v>
          </cell>
          <cell r="Z1646">
            <v>1265.625</v>
          </cell>
          <cell r="AA1646">
            <v>1265.625</v>
          </cell>
          <cell r="AB1646">
            <v>843.75</v>
          </cell>
          <cell r="AC1646">
            <v>843.75</v>
          </cell>
          <cell r="AD1646">
            <v>759.375</v>
          </cell>
          <cell r="AE1646">
            <v>1265.625</v>
          </cell>
          <cell r="AF1646">
            <v>1265.625</v>
          </cell>
          <cell r="AG1646">
            <v>1265.625</v>
          </cell>
          <cell r="AH1646">
            <v>1265.625</v>
          </cell>
          <cell r="AI1646">
            <v>1265.625</v>
          </cell>
          <cell r="AJ1646">
            <v>1265.625</v>
          </cell>
          <cell r="AK1646">
            <v>1012.5</v>
          </cell>
          <cell r="AL1646">
            <v>1012.5</v>
          </cell>
          <cell r="AM1646">
            <v>1265.625</v>
          </cell>
          <cell r="AN1646">
            <v>1350</v>
          </cell>
          <cell r="AO1646">
            <v>1687.5</v>
          </cell>
          <cell r="AP1646">
            <v>1687.5</v>
          </cell>
          <cell r="AQ1646">
            <v>1687.5</v>
          </cell>
          <cell r="AR1646">
            <v>1687.5</v>
          </cell>
          <cell r="AS1646">
            <v>1687.5</v>
          </cell>
          <cell r="AT1646">
            <v>1856.2500000000002</v>
          </cell>
          <cell r="AU1646">
            <v>1856.2500000000002</v>
          </cell>
          <cell r="AV1646">
            <v>2227.5000000000005</v>
          </cell>
          <cell r="AW1646">
            <v>2227.5000000000005</v>
          </cell>
          <cell r="AX1646">
            <v>2227.5000000000005</v>
          </cell>
          <cell r="AY1646">
            <v>2227.5000000000005</v>
          </cell>
          <cell r="AZ1646">
            <v>0</v>
          </cell>
          <cell r="BA1646">
            <v>0</v>
          </cell>
          <cell r="BB1646">
            <v>1856.2500000000002</v>
          </cell>
          <cell r="BC1646">
            <v>1856.2500000000002</v>
          </cell>
          <cell r="BD1646">
            <v>1856.2500000000002</v>
          </cell>
          <cell r="BE1646">
            <v>1856.2500000000002</v>
          </cell>
          <cell r="BF1646">
            <v>1856.2500000000002</v>
          </cell>
          <cell r="BG1646">
            <v>1856.2500000000002</v>
          </cell>
          <cell r="BH1646">
            <v>1856.2500000000002</v>
          </cell>
          <cell r="BI1646">
            <v>1856.2500000000002</v>
          </cell>
          <cell r="BJ1646">
            <v>1856.2500000000002</v>
          </cell>
          <cell r="BK1646">
            <v>2025</v>
          </cell>
          <cell r="BL1646">
            <v>1215</v>
          </cell>
          <cell r="BM1646">
            <v>1215</v>
          </cell>
          <cell r="BN1646">
            <v>1215</v>
          </cell>
          <cell r="BO1646">
            <v>1215</v>
          </cell>
          <cell r="BP1646">
            <v>1215</v>
          </cell>
          <cell r="BQ1646">
            <v>1215</v>
          </cell>
          <cell r="BR1646">
            <v>1215</v>
          </cell>
          <cell r="BS1646">
            <v>1215</v>
          </cell>
          <cell r="BT1646">
            <v>1215</v>
          </cell>
          <cell r="BU1646">
            <v>1215</v>
          </cell>
          <cell r="BV1646">
            <v>1215</v>
          </cell>
        </row>
        <row r="1647">
          <cell r="A1647" t="str">
            <v>Opel</v>
          </cell>
          <cell r="B1647" t="str">
            <v>FHR</v>
          </cell>
          <cell r="D1647" t="str">
            <v>FAB</v>
          </cell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</row>
        <row r="1648">
          <cell r="A1648" t="str">
            <v>Opel</v>
          </cell>
          <cell r="B1648" t="str">
            <v>FHR</v>
          </cell>
          <cell r="D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</row>
        <row r="1649">
          <cell r="A1649" t="str">
            <v>Opel</v>
          </cell>
          <cell r="B1649" t="str">
            <v>FHR</v>
          </cell>
          <cell r="D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</row>
        <row r="1650">
          <cell r="A1650" t="str">
            <v>Opel</v>
          </cell>
          <cell r="B1650" t="str">
            <v>FHR</v>
          </cell>
          <cell r="D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</row>
        <row r="1651">
          <cell r="A1651" t="str">
            <v>Opel</v>
          </cell>
          <cell r="B1651" t="str">
            <v>FHR</v>
          </cell>
          <cell r="D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</row>
        <row r="1652">
          <cell r="A1652" t="str">
            <v>Opel</v>
          </cell>
          <cell r="B1652" t="str">
            <v>FHR</v>
          </cell>
          <cell r="D1652" t="str">
            <v>Weekly Output PLAN - SUM of models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</row>
        <row r="1653">
          <cell r="A1653" t="str">
            <v>Opel</v>
          </cell>
          <cell r="B1653" t="str">
            <v>FHR</v>
          </cell>
          <cell r="D1653" t="str">
            <v>Weekly Output CHECK with TO time multiple</v>
          </cell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</row>
        <row r="1654">
          <cell r="A1654" t="str">
            <v>Opel</v>
          </cell>
          <cell r="B1654" t="str">
            <v>FHR</v>
          </cell>
          <cell r="D1654" t="str">
            <v>Weekly Output ACT</v>
          </cell>
          <cell r="Z1654">
            <v>1265.625</v>
          </cell>
          <cell r="AA1654">
            <v>1265.625</v>
          </cell>
          <cell r="AB1654">
            <v>843.75</v>
          </cell>
          <cell r="AC1654">
            <v>843.75</v>
          </cell>
          <cell r="AD1654">
            <v>759.375</v>
          </cell>
          <cell r="AE1654">
            <v>1265.625</v>
          </cell>
          <cell r="AF1654">
            <v>1265.625</v>
          </cell>
          <cell r="AG1654">
            <v>1265.625</v>
          </cell>
          <cell r="AH1654">
            <v>1265.625</v>
          </cell>
          <cell r="AI1654">
            <v>1265.625</v>
          </cell>
          <cell r="AJ1654">
            <v>1265.625</v>
          </cell>
          <cell r="AK1654">
            <v>1012.5</v>
          </cell>
          <cell r="AL1654">
            <v>1012.5</v>
          </cell>
          <cell r="AM1654">
            <v>1265.625</v>
          </cell>
          <cell r="AN1654">
            <v>1350</v>
          </cell>
          <cell r="AO1654">
            <v>1687.5</v>
          </cell>
          <cell r="AP1654">
            <v>1687.5</v>
          </cell>
          <cell r="AQ1654">
            <v>1687.5</v>
          </cell>
          <cell r="AR1654">
            <v>1687.5</v>
          </cell>
          <cell r="AS1654">
            <v>1687.5</v>
          </cell>
          <cell r="AT1654">
            <v>1856.2500000000002</v>
          </cell>
          <cell r="AU1654">
            <v>1856.2500000000002</v>
          </cell>
          <cell r="AV1654">
            <v>2227.5000000000005</v>
          </cell>
          <cell r="AW1654">
            <v>2227.5000000000005</v>
          </cell>
          <cell r="AX1654">
            <v>2227.5000000000005</v>
          </cell>
          <cell r="AY1654">
            <v>2227.5000000000005</v>
          </cell>
          <cell r="AZ1654">
            <v>0</v>
          </cell>
          <cell r="BA1654">
            <v>0</v>
          </cell>
          <cell r="BB1654">
            <v>1856.2500000000002</v>
          </cell>
          <cell r="BC1654">
            <v>1856.2500000000002</v>
          </cell>
          <cell r="BD1654">
            <v>1856.2500000000002</v>
          </cell>
          <cell r="BE1654">
            <v>1856.2500000000002</v>
          </cell>
          <cell r="BF1654">
            <v>1856.2500000000002</v>
          </cell>
          <cell r="BG1654">
            <v>1856.2500000000002</v>
          </cell>
          <cell r="BH1654">
            <v>1856.2500000000002</v>
          </cell>
          <cell r="BI1654">
            <v>1856.2500000000002</v>
          </cell>
          <cell r="BJ1654">
            <v>1856.2500000000002</v>
          </cell>
          <cell r="BK1654">
            <v>2025</v>
          </cell>
          <cell r="BL1654">
            <v>1215</v>
          </cell>
          <cell r="BM1654">
            <v>1215</v>
          </cell>
          <cell r="BN1654">
            <v>1215</v>
          </cell>
          <cell r="BO1654">
            <v>1215</v>
          </cell>
          <cell r="BP1654">
            <v>1215</v>
          </cell>
          <cell r="BQ1654">
            <v>1215</v>
          </cell>
          <cell r="BR1654">
            <v>1215</v>
          </cell>
          <cell r="BS1654">
            <v>1215</v>
          </cell>
          <cell r="BT1654">
            <v>1215</v>
          </cell>
          <cell r="BU1654">
            <v>1215</v>
          </cell>
          <cell r="BV1654">
            <v>1215</v>
          </cell>
        </row>
        <row r="1655">
          <cell r="A1655" t="str">
            <v>Opel</v>
          </cell>
          <cell r="B1655" t="str">
            <v>FHR</v>
          </cell>
          <cell r="D1655" t="str">
            <v>FAB</v>
          </cell>
          <cell r="Z1655">
            <v>0</v>
          </cell>
          <cell r="AA1655">
            <v>0</v>
          </cell>
          <cell r="AB1655">
            <v>3540</v>
          </cell>
          <cell r="AC1655">
            <v>3540</v>
          </cell>
          <cell r="AD1655">
            <v>0</v>
          </cell>
          <cell r="AE1655">
            <v>3480</v>
          </cell>
          <cell r="AF1655">
            <v>0</v>
          </cell>
          <cell r="AG1655">
            <v>0</v>
          </cell>
          <cell r="AH1655">
            <v>3600</v>
          </cell>
          <cell r="AI1655">
            <v>0</v>
          </cell>
          <cell r="AJ1655">
            <v>0</v>
          </cell>
          <cell r="AK1655">
            <v>2760</v>
          </cell>
          <cell r="AL1655">
            <v>0</v>
          </cell>
          <cell r="AM1655">
            <v>0</v>
          </cell>
          <cell r="AN1655">
            <v>1682.2466354999999</v>
          </cell>
          <cell r="AO1655">
            <v>1682.2466354999999</v>
          </cell>
          <cell r="AP1655">
            <v>1682.2466354999999</v>
          </cell>
          <cell r="AQ1655">
            <v>1682.2466354999999</v>
          </cell>
          <cell r="AR1655">
            <v>1682.2466354999999</v>
          </cell>
          <cell r="AS1655">
            <v>1827.6630113333333</v>
          </cell>
          <cell r="AT1655">
            <v>1827.6630113333333</v>
          </cell>
          <cell r="AU1655">
            <v>1827.6630113333333</v>
          </cell>
          <cell r="AV1655">
            <v>1827.6630113333333</v>
          </cell>
          <cell r="AW1655">
            <v>1495.3303426666666</v>
          </cell>
          <cell r="AX1655">
            <v>1495.3303426666666</v>
          </cell>
          <cell r="AY1655">
            <v>1495.3303426666666</v>
          </cell>
          <cell r="AZ1655">
            <v>1495.3303426666666</v>
          </cell>
          <cell r="BA1655">
            <v>1495.3303426666666</v>
          </cell>
          <cell r="BB1655">
            <v>1495.3303426666666</v>
          </cell>
          <cell r="BC1655">
            <v>1495.3303426666666</v>
          </cell>
          <cell r="BD1655">
            <v>1495.3303426666666</v>
          </cell>
          <cell r="BE1655">
            <v>1495.3303426666666</v>
          </cell>
          <cell r="BF1655">
            <v>1827.3296786666665</v>
          </cell>
          <cell r="BG1655">
            <v>1827.3296786666665</v>
          </cell>
          <cell r="BH1655">
            <v>1827.3296786666665</v>
          </cell>
          <cell r="BI1655">
            <v>1827.3296786666665</v>
          </cell>
          <cell r="BJ1655">
            <v>913.66483933333495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</row>
        <row r="1656">
          <cell r="A1656" t="str">
            <v>Opel</v>
          </cell>
          <cell r="B1656" t="str">
            <v>FHR</v>
          </cell>
          <cell r="D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</row>
        <row r="1657">
          <cell r="A1657" t="str">
            <v>Opel</v>
          </cell>
          <cell r="B1657" t="str">
            <v>FHR</v>
          </cell>
          <cell r="D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</row>
        <row r="1658">
          <cell r="A1658" t="str">
            <v>Opel</v>
          </cell>
          <cell r="B1658" t="str">
            <v>FHR</v>
          </cell>
          <cell r="D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</row>
        <row r="1659">
          <cell r="A1659" t="str">
            <v>Opel</v>
          </cell>
          <cell r="B1659" t="str">
            <v>FHR</v>
          </cell>
          <cell r="D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</row>
        <row r="1660">
          <cell r="A1660" t="str">
            <v>Opel</v>
          </cell>
          <cell r="B1660" t="str">
            <v>FHR</v>
          </cell>
          <cell r="D1660" t="str">
            <v>Weekly demand</v>
          </cell>
          <cell r="Z1660">
            <v>0</v>
          </cell>
          <cell r="AA1660">
            <v>0</v>
          </cell>
          <cell r="AB1660">
            <v>3540</v>
          </cell>
          <cell r="AC1660">
            <v>3540</v>
          </cell>
          <cell r="AD1660">
            <v>0</v>
          </cell>
          <cell r="AE1660">
            <v>3480</v>
          </cell>
          <cell r="AF1660">
            <v>0</v>
          </cell>
          <cell r="AG1660">
            <v>0</v>
          </cell>
          <cell r="AH1660">
            <v>3600</v>
          </cell>
          <cell r="AI1660">
            <v>0</v>
          </cell>
          <cell r="AJ1660">
            <v>0</v>
          </cell>
          <cell r="AK1660">
            <v>2760</v>
          </cell>
          <cell r="AL1660">
            <v>0</v>
          </cell>
          <cell r="AM1660">
            <v>0</v>
          </cell>
          <cell r="AN1660">
            <v>1682.2466354999999</v>
          </cell>
          <cell r="AO1660">
            <v>1682.2466354999999</v>
          </cell>
          <cell r="AP1660">
            <v>1682.2466354999999</v>
          </cell>
          <cell r="AQ1660">
            <v>1682.2466354999999</v>
          </cell>
          <cell r="AR1660">
            <v>1682.2466354999999</v>
          </cell>
          <cell r="AS1660">
            <v>1827.6630113333333</v>
          </cell>
          <cell r="AT1660">
            <v>1827.6630113333333</v>
          </cell>
          <cell r="AU1660">
            <v>1827.6630113333333</v>
          </cell>
          <cell r="AV1660">
            <v>1827.6630113333333</v>
          </cell>
          <cell r="AW1660">
            <v>1495.3303426666666</v>
          </cell>
          <cell r="AX1660">
            <v>1495.3303426666666</v>
          </cell>
          <cell r="AY1660">
            <v>1495.3303426666666</v>
          </cell>
          <cell r="AZ1660">
            <v>1495.3303426666666</v>
          </cell>
          <cell r="BA1660">
            <v>1495.3303426666666</v>
          </cell>
          <cell r="BB1660">
            <v>1495.3303426666666</v>
          </cell>
          <cell r="BC1660">
            <v>1495.3303426666666</v>
          </cell>
          <cell r="BD1660">
            <v>1495.3303426666666</v>
          </cell>
          <cell r="BE1660">
            <v>1495.3303426666666</v>
          </cell>
          <cell r="BF1660">
            <v>1827.3296786666665</v>
          </cell>
          <cell r="BG1660">
            <v>1827.3296786666665</v>
          </cell>
          <cell r="BH1660">
            <v>1827.3296786666665</v>
          </cell>
          <cell r="BI1660">
            <v>1827.3296786666665</v>
          </cell>
          <cell r="BJ1660">
            <v>913.66483933333495</v>
          </cell>
          <cell r="BK1660">
            <v>0</v>
          </cell>
          <cell r="BL1660">
            <v>61762.841860833345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</row>
        <row r="1661">
          <cell r="A1661" t="str">
            <v>Opel</v>
          </cell>
          <cell r="B1661" t="str">
            <v>FHR</v>
          </cell>
          <cell r="D1661" t="str">
            <v>Stock Target</v>
          </cell>
          <cell r="Z1661">
            <v>1800</v>
          </cell>
          <cell r="AA1661">
            <v>1800</v>
          </cell>
          <cell r="AB1661">
            <v>1800</v>
          </cell>
          <cell r="AC1661">
            <v>1800</v>
          </cell>
          <cell r="AD1661">
            <v>1800</v>
          </cell>
          <cell r="AE1661">
            <v>1800</v>
          </cell>
          <cell r="AF1661">
            <v>1800</v>
          </cell>
          <cell r="AG1661">
            <v>1800</v>
          </cell>
          <cell r="AH1661">
            <v>1800</v>
          </cell>
          <cell r="AI1661">
            <v>1800</v>
          </cell>
          <cell r="AJ1661">
            <v>2528</v>
          </cell>
          <cell r="AK1661">
            <v>2529</v>
          </cell>
          <cell r="AL1661">
            <v>2530</v>
          </cell>
          <cell r="AM1661">
            <v>2531</v>
          </cell>
          <cell r="AN1661">
            <v>2532</v>
          </cell>
          <cell r="AO1661">
            <v>2533</v>
          </cell>
          <cell r="AP1661">
            <v>2534</v>
          </cell>
          <cell r="AQ1661">
            <v>2535</v>
          </cell>
          <cell r="AR1661">
            <v>2536</v>
          </cell>
          <cell r="AS1661">
            <v>2537</v>
          </cell>
          <cell r="AT1661">
            <v>2538</v>
          </cell>
          <cell r="AU1661">
            <v>2539</v>
          </cell>
          <cell r="AV1661">
            <v>2540</v>
          </cell>
          <cell r="AW1661">
            <v>2541</v>
          </cell>
          <cell r="AX1661">
            <v>2542</v>
          </cell>
          <cell r="AY1661">
            <v>2543</v>
          </cell>
          <cell r="AZ1661">
            <v>2544</v>
          </cell>
          <cell r="BA1661">
            <v>2545</v>
          </cell>
          <cell r="BB1661">
            <v>2546</v>
          </cell>
          <cell r="BC1661">
            <v>2547</v>
          </cell>
          <cell r="BD1661">
            <v>2548</v>
          </cell>
          <cell r="BE1661">
            <v>2549</v>
          </cell>
          <cell r="BF1661">
            <v>2550</v>
          </cell>
          <cell r="BG1661">
            <v>2551</v>
          </cell>
          <cell r="BH1661">
            <v>2552</v>
          </cell>
          <cell r="BI1661">
            <v>2553</v>
          </cell>
          <cell r="BJ1661">
            <v>2554</v>
          </cell>
          <cell r="BK1661">
            <v>2555</v>
          </cell>
          <cell r="BL1661">
            <v>2556</v>
          </cell>
          <cell r="BM1661">
            <v>2557</v>
          </cell>
          <cell r="BN1661">
            <v>2558</v>
          </cell>
          <cell r="BO1661">
            <v>2559</v>
          </cell>
          <cell r="BP1661">
            <v>2560</v>
          </cell>
          <cell r="BQ1661">
            <v>2561</v>
          </cell>
          <cell r="BR1661">
            <v>2562</v>
          </cell>
          <cell r="BS1661">
            <v>2563</v>
          </cell>
          <cell r="BT1661">
            <v>2564</v>
          </cell>
          <cell r="BU1661">
            <v>2565</v>
          </cell>
          <cell r="BV1661">
            <v>2566</v>
          </cell>
        </row>
        <row r="1662">
          <cell r="A1662" t="str">
            <v>Opel</v>
          </cell>
          <cell r="B1662" t="str">
            <v>FHR</v>
          </cell>
          <cell r="D1662" t="str">
            <v>Vinyl</v>
          </cell>
          <cell r="Z1662">
            <v>2160</v>
          </cell>
          <cell r="AA1662">
            <v>3000</v>
          </cell>
          <cell r="AB1662">
            <v>-540</v>
          </cell>
          <cell r="AC1662">
            <v>-4080</v>
          </cell>
          <cell r="AD1662">
            <v>-4080</v>
          </cell>
          <cell r="AE1662">
            <v>-7560</v>
          </cell>
          <cell r="AF1662">
            <v>-7560</v>
          </cell>
          <cell r="AG1662">
            <v>-7560</v>
          </cell>
          <cell r="AH1662">
            <v>-11160</v>
          </cell>
          <cell r="AI1662">
            <v>-11160</v>
          </cell>
          <cell r="AJ1662">
            <v>-11160</v>
          </cell>
          <cell r="AK1662">
            <v>-13920</v>
          </cell>
          <cell r="AL1662">
            <v>-13920</v>
          </cell>
          <cell r="AM1662">
            <v>-13920</v>
          </cell>
          <cell r="AN1662">
            <v>-15602.2466355</v>
          </cell>
          <cell r="AO1662">
            <v>-17284.493270999999</v>
          </cell>
          <cell r="AP1662">
            <v>-18966.739906499999</v>
          </cell>
          <cell r="AQ1662">
            <v>-20648.986541999999</v>
          </cell>
          <cell r="AR1662">
            <v>-22331.233177499998</v>
          </cell>
          <cell r="AS1662">
            <v>-24158.896188833332</v>
          </cell>
          <cell r="AT1662">
            <v>-25986.559200166666</v>
          </cell>
          <cell r="AU1662">
            <v>-27814.2222115</v>
          </cell>
          <cell r="AV1662">
            <v>-29641.885222833334</v>
          </cell>
          <cell r="AW1662">
            <v>-31137.215565500002</v>
          </cell>
          <cell r="AX1662">
            <v>-32632.54590816667</v>
          </cell>
          <cell r="AY1662">
            <v>-34127.876250833338</v>
          </cell>
          <cell r="AZ1662">
            <v>-35623.206593500006</v>
          </cell>
          <cell r="BA1662">
            <v>-37118.536936166674</v>
          </cell>
          <cell r="BB1662">
            <v>-38613.867278833342</v>
          </cell>
          <cell r="BC1662">
            <v>-40109.19762150001</v>
          </cell>
          <cell r="BD1662">
            <v>-41604.527964166678</v>
          </cell>
          <cell r="BE1662">
            <v>-43099.858306833346</v>
          </cell>
          <cell r="BF1662">
            <v>-44927.187985500015</v>
          </cell>
          <cell r="BG1662">
            <v>-46754.517664166684</v>
          </cell>
          <cell r="BH1662">
            <v>-48581.847342833353</v>
          </cell>
          <cell r="BI1662">
            <v>-50409.177021500022</v>
          </cell>
          <cell r="BJ1662">
            <v>-51322.84186083336</v>
          </cell>
          <cell r="BK1662">
            <v>-51322.84186083336</v>
          </cell>
          <cell r="BL1662">
            <v>-51322.84186083336</v>
          </cell>
          <cell r="BM1662">
            <v>-51322.84186083336</v>
          </cell>
          <cell r="BN1662">
            <v>-51322.84186083336</v>
          </cell>
          <cell r="BO1662">
            <v>-51322.84186083336</v>
          </cell>
          <cell r="BP1662">
            <v>-51322.84186083336</v>
          </cell>
          <cell r="BQ1662">
            <v>-51322.84186083336</v>
          </cell>
          <cell r="BR1662">
            <v>-51322.84186083336</v>
          </cell>
          <cell r="BS1662">
            <v>-51322.84186083336</v>
          </cell>
          <cell r="BT1662">
            <v>-51322.84186083336</v>
          </cell>
          <cell r="BU1662">
            <v>-51322.84186083336</v>
          </cell>
          <cell r="BV1662">
            <v>-51322.84186083336</v>
          </cell>
        </row>
        <row r="1663">
          <cell r="A1663" t="str">
            <v>Opel</v>
          </cell>
          <cell r="B1663" t="str">
            <v>FHR</v>
          </cell>
          <cell r="D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</row>
        <row r="1664">
          <cell r="A1664" t="str">
            <v>Opel</v>
          </cell>
          <cell r="B1664" t="str">
            <v>FHR</v>
          </cell>
          <cell r="D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</row>
        <row r="1665">
          <cell r="A1665" t="str">
            <v>Opel</v>
          </cell>
          <cell r="B1665" t="str">
            <v>FHR</v>
          </cell>
          <cell r="D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</row>
        <row r="1666">
          <cell r="A1666" t="str">
            <v>Opel</v>
          </cell>
          <cell r="B1666" t="str">
            <v>FHR</v>
          </cell>
          <cell r="D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</row>
        <row r="1667">
          <cell r="A1667" t="str">
            <v>Opel</v>
          </cell>
          <cell r="B1667" t="str">
            <v>FHR</v>
          </cell>
          <cell r="D1667" t="str">
            <v>STOCK</v>
          </cell>
          <cell r="Z1667">
            <v>2160</v>
          </cell>
          <cell r="AA1667">
            <v>3425.625</v>
          </cell>
          <cell r="AB1667">
            <v>729.375</v>
          </cell>
          <cell r="AC1667">
            <v>-1966.875</v>
          </cell>
          <cell r="AD1667">
            <v>-1207.5</v>
          </cell>
          <cell r="AE1667">
            <v>-3421.875</v>
          </cell>
          <cell r="AF1667">
            <v>-2156.25</v>
          </cell>
          <cell r="AG1667">
            <v>-890.625</v>
          </cell>
          <cell r="AH1667">
            <v>-3225</v>
          </cell>
          <cell r="AI1667">
            <v>-1959.375</v>
          </cell>
          <cell r="AJ1667">
            <v>-693.75</v>
          </cell>
          <cell r="AK1667">
            <v>-2441.25</v>
          </cell>
          <cell r="AL1667">
            <v>-1428.75</v>
          </cell>
          <cell r="AM1667">
            <v>-163.125</v>
          </cell>
          <cell r="AN1667">
            <v>-495.37163549999991</v>
          </cell>
          <cell r="AO1667">
            <v>-490.11827099999982</v>
          </cell>
          <cell r="AP1667">
            <v>-484.86490649999996</v>
          </cell>
          <cell r="AQ1667">
            <v>-479.61154199999964</v>
          </cell>
          <cell r="AR1667">
            <v>-474.35817749999933</v>
          </cell>
          <cell r="AS1667">
            <v>-614.52118883333242</v>
          </cell>
          <cell r="AT1667">
            <v>-585.93420016666528</v>
          </cell>
          <cell r="AU1667">
            <v>-557.34721149999837</v>
          </cell>
          <cell r="AV1667">
            <v>-157.51022283333123</v>
          </cell>
          <cell r="AW1667">
            <v>574.65943450000259</v>
          </cell>
          <cell r="AX1667">
            <v>1306.8290918333364</v>
          </cell>
          <cell r="AY1667">
            <v>2038.9987491666702</v>
          </cell>
          <cell r="AZ1667">
            <v>543.66840650000358</v>
          </cell>
          <cell r="BA1667">
            <v>-951.66193616666305</v>
          </cell>
          <cell r="BB1667">
            <v>-590.74227883332946</v>
          </cell>
          <cell r="BC1667">
            <v>-229.82262149999565</v>
          </cell>
          <cell r="BD1667">
            <v>131.09703583333794</v>
          </cell>
          <cell r="BE1667">
            <v>492.01669316667153</v>
          </cell>
          <cell r="BF1667">
            <v>520.93701450000526</v>
          </cell>
          <cell r="BG1667">
            <v>549.85733583333899</v>
          </cell>
          <cell r="BH1667">
            <v>578.77765716667272</v>
          </cell>
          <cell r="BI1667">
            <v>607.69797850000646</v>
          </cell>
          <cell r="BJ1667">
            <v>1550.2831391666718</v>
          </cell>
          <cell r="BK1667">
            <v>3575.2831391666718</v>
          </cell>
          <cell r="BL1667">
            <v>-56972.558721666675</v>
          </cell>
          <cell r="BM1667">
            <v>-55757.558721666675</v>
          </cell>
          <cell r="BN1667">
            <v>-54542.558721666675</v>
          </cell>
          <cell r="BO1667">
            <v>-53327.558721666675</v>
          </cell>
          <cell r="BP1667">
            <v>-52112.558721666675</v>
          </cell>
          <cell r="BQ1667">
            <v>-50897.558721666675</v>
          </cell>
          <cell r="BR1667">
            <v>-49682.558721666675</v>
          </cell>
          <cell r="BS1667">
            <v>-48467.558721666675</v>
          </cell>
          <cell r="BT1667">
            <v>-47252.558721666675</v>
          </cell>
          <cell r="BU1667">
            <v>-46037.558721666675</v>
          </cell>
          <cell r="BV1667">
            <v>-44822.558721666675</v>
          </cell>
        </row>
        <row r="1668">
          <cell r="A1668" t="str">
            <v>Blank</v>
          </cell>
          <cell r="B1668" t="str">
            <v>Blank</v>
          </cell>
          <cell r="D1668" t="str">
            <v>Blank</v>
          </cell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</row>
        <row r="1669">
          <cell r="A1669" t="str">
            <v>Opel</v>
          </cell>
          <cell r="B1669" t="str">
            <v>FHR&amp;ARM</v>
          </cell>
          <cell r="D1669" t="str">
            <v>Work days</v>
          </cell>
          <cell r="Z1669">
            <v>5</v>
          </cell>
          <cell r="AA1669">
            <v>5</v>
          </cell>
          <cell r="AB1669">
            <v>5</v>
          </cell>
          <cell r="AC1669">
            <v>5</v>
          </cell>
          <cell r="AD1669">
            <v>3</v>
          </cell>
          <cell r="AE1669">
            <v>5</v>
          </cell>
          <cell r="AF1669">
            <v>5</v>
          </cell>
          <cell r="AG1669">
            <v>5</v>
          </cell>
          <cell r="AH1669">
            <v>5</v>
          </cell>
          <cell r="AI1669">
            <v>5</v>
          </cell>
          <cell r="AJ1669">
            <v>5</v>
          </cell>
          <cell r="AK1669">
            <v>4</v>
          </cell>
          <cell r="AL1669">
            <v>4</v>
          </cell>
          <cell r="AM1669">
            <v>5</v>
          </cell>
          <cell r="AN1669">
            <v>4</v>
          </cell>
          <cell r="AO1669">
            <v>5</v>
          </cell>
          <cell r="AP1669">
            <v>5</v>
          </cell>
          <cell r="AQ1669">
            <v>5</v>
          </cell>
          <cell r="AR1669">
            <v>5</v>
          </cell>
          <cell r="AS1669">
            <v>5</v>
          </cell>
          <cell r="AT1669">
            <v>5</v>
          </cell>
          <cell r="AU1669">
            <v>5</v>
          </cell>
          <cell r="AV1669">
            <v>5</v>
          </cell>
          <cell r="AW1669">
            <v>5</v>
          </cell>
          <cell r="AX1669">
            <v>5</v>
          </cell>
          <cell r="AY1669">
            <v>5</v>
          </cell>
          <cell r="AZ1669">
            <v>0</v>
          </cell>
          <cell r="BA1669">
            <v>0</v>
          </cell>
          <cell r="BB1669">
            <v>5</v>
          </cell>
          <cell r="BC1669">
            <v>5</v>
          </cell>
          <cell r="BD1669">
            <v>5</v>
          </cell>
          <cell r="BE1669">
            <v>5</v>
          </cell>
          <cell r="BF1669">
            <v>5</v>
          </cell>
          <cell r="BG1669">
            <v>5</v>
          </cell>
          <cell r="BH1669">
            <v>5</v>
          </cell>
          <cell r="BI1669">
            <v>5</v>
          </cell>
          <cell r="BJ1669">
            <v>5</v>
          </cell>
          <cell r="BK1669">
            <v>5</v>
          </cell>
          <cell r="BL1669">
            <v>3</v>
          </cell>
          <cell r="BM1669">
            <v>3</v>
          </cell>
          <cell r="BN1669">
            <v>3</v>
          </cell>
          <cell r="BO1669">
            <v>3</v>
          </cell>
          <cell r="BP1669">
            <v>3</v>
          </cell>
          <cell r="BQ1669">
            <v>3</v>
          </cell>
          <cell r="BR1669">
            <v>3</v>
          </cell>
          <cell r="BS1669">
            <v>3</v>
          </cell>
          <cell r="BT1669">
            <v>3</v>
          </cell>
          <cell r="BU1669">
            <v>3</v>
          </cell>
          <cell r="BV1669">
            <v>3</v>
          </cell>
        </row>
        <row r="1670">
          <cell r="A1670" t="str">
            <v>Opel</v>
          </cell>
          <cell r="B1670" t="str">
            <v>FHR&amp;ARM</v>
          </cell>
          <cell r="D1670" t="str">
            <v>SHIFT A HC - operators</v>
          </cell>
          <cell r="Z1670">
            <v>1</v>
          </cell>
          <cell r="AA1670">
            <v>1</v>
          </cell>
          <cell r="AB1670">
            <v>1</v>
          </cell>
          <cell r="AC1670">
            <v>1</v>
          </cell>
          <cell r="AD1670">
            <v>1</v>
          </cell>
          <cell r="AE1670">
            <v>1</v>
          </cell>
          <cell r="AF1670">
            <v>1</v>
          </cell>
          <cell r="AG1670">
            <v>1</v>
          </cell>
          <cell r="AH1670">
            <v>3</v>
          </cell>
          <cell r="AI1670">
            <v>3</v>
          </cell>
          <cell r="AJ1670">
            <v>3</v>
          </cell>
          <cell r="AK1670">
            <v>3</v>
          </cell>
          <cell r="AL1670">
            <v>3</v>
          </cell>
          <cell r="AM1670">
            <v>3</v>
          </cell>
          <cell r="AN1670">
            <v>3</v>
          </cell>
          <cell r="AO1670">
            <v>3</v>
          </cell>
          <cell r="AP1670">
            <v>3</v>
          </cell>
          <cell r="AQ1670">
            <v>3</v>
          </cell>
          <cell r="AR1670">
            <v>3</v>
          </cell>
          <cell r="AS1670">
            <v>3</v>
          </cell>
          <cell r="AT1670">
            <v>3</v>
          </cell>
          <cell r="AU1670">
            <v>3</v>
          </cell>
          <cell r="AV1670">
            <v>4</v>
          </cell>
          <cell r="AW1670">
            <v>4</v>
          </cell>
          <cell r="AX1670">
            <v>4</v>
          </cell>
          <cell r="AY1670">
            <v>4</v>
          </cell>
          <cell r="AZ1670">
            <v>4</v>
          </cell>
          <cell r="BA1670">
            <v>4</v>
          </cell>
          <cell r="BB1670">
            <v>4</v>
          </cell>
          <cell r="BC1670">
            <v>4</v>
          </cell>
          <cell r="BD1670">
            <v>4</v>
          </cell>
          <cell r="BE1670">
            <v>4</v>
          </cell>
          <cell r="BF1670">
            <v>4</v>
          </cell>
          <cell r="BG1670">
            <v>4</v>
          </cell>
          <cell r="BH1670">
            <v>4</v>
          </cell>
          <cell r="BI1670">
            <v>4</v>
          </cell>
          <cell r="BJ1670">
            <v>4</v>
          </cell>
          <cell r="BK1670">
            <v>3</v>
          </cell>
          <cell r="BL1670">
            <v>3</v>
          </cell>
          <cell r="BM1670">
            <v>3</v>
          </cell>
          <cell r="BN1670">
            <v>3</v>
          </cell>
          <cell r="BO1670">
            <v>3</v>
          </cell>
          <cell r="BP1670">
            <v>3</v>
          </cell>
          <cell r="BQ1670">
            <v>3</v>
          </cell>
          <cell r="BR1670">
            <v>3</v>
          </cell>
          <cell r="BS1670">
            <v>3</v>
          </cell>
          <cell r="BT1670">
            <v>3</v>
          </cell>
          <cell r="BU1670">
            <v>3</v>
          </cell>
          <cell r="BV1670">
            <v>3</v>
          </cell>
        </row>
        <row r="1671">
          <cell r="A1671" t="str">
            <v>Opel</v>
          </cell>
          <cell r="B1671" t="str">
            <v>FHR&amp;ARM</v>
          </cell>
          <cell r="D1671" t="str">
            <v>SHIFT B HC  - operators</v>
          </cell>
          <cell r="Z1671">
            <v>3</v>
          </cell>
          <cell r="AA1671">
            <v>3</v>
          </cell>
          <cell r="AB1671">
            <v>3</v>
          </cell>
          <cell r="AC1671">
            <v>3</v>
          </cell>
          <cell r="AD1671">
            <v>3</v>
          </cell>
          <cell r="AE1671">
            <v>3</v>
          </cell>
          <cell r="AF1671">
            <v>3</v>
          </cell>
          <cell r="AG1671">
            <v>3</v>
          </cell>
          <cell r="AH1671">
            <v>2</v>
          </cell>
          <cell r="AI1671">
            <v>2</v>
          </cell>
          <cell r="AJ1671">
            <v>2</v>
          </cell>
          <cell r="AK1671">
            <v>2</v>
          </cell>
          <cell r="AL1671">
            <v>2</v>
          </cell>
          <cell r="AM1671">
            <v>2</v>
          </cell>
          <cell r="AN1671">
            <v>2</v>
          </cell>
          <cell r="AO1671">
            <v>2</v>
          </cell>
          <cell r="AP1671">
            <v>2</v>
          </cell>
          <cell r="AQ1671">
            <v>2</v>
          </cell>
          <cell r="AR1671">
            <v>2</v>
          </cell>
          <cell r="AS1671">
            <v>2</v>
          </cell>
          <cell r="AT1671">
            <v>3</v>
          </cell>
          <cell r="AU1671">
            <v>3</v>
          </cell>
          <cell r="AV1671">
            <v>3</v>
          </cell>
          <cell r="AW1671">
            <v>3</v>
          </cell>
          <cell r="AX1671">
            <v>3</v>
          </cell>
          <cell r="AY1671">
            <v>3</v>
          </cell>
          <cell r="AZ1671">
            <v>3</v>
          </cell>
          <cell r="BA1671">
            <v>3</v>
          </cell>
          <cell r="BB1671">
            <v>3</v>
          </cell>
          <cell r="BC1671">
            <v>3</v>
          </cell>
          <cell r="BD1671">
            <v>3</v>
          </cell>
          <cell r="BE1671">
            <v>3</v>
          </cell>
          <cell r="BF1671">
            <v>3</v>
          </cell>
          <cell r="BG1671">
            <v>3</v>
          </cell>
          <cell r="BH1671">
            <v>3</v>
          </cell>
          <cell r="BI1671">
            <v>3</v>
          </cell>
          <cell r="BJ1671">
            <v>3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</row>
        <row r="1672">
          <cell r="A1672" t="str">
            <v>Opel</v>
          </cell>
          <cell r="B1672" t="str">
            <v>FHR&amp;ARM</v>
          </cell>
          <cell r="D1672" t="str">
            <v>SHIFT C HC  - operators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</row>
        <row r="1673">
          <cell r="A1673" t="str">
            <v>Opel</v>
          </cell>
          <cell r="B1673" t="str">
            <v>FHR&amp;ARM</v>
          </cell>
          <cell r="D1673" t="str">
            <v>Total HC</v>
          </cell>
          <cell r="Z1673">
            <v>4</v>
          </cell>
          <cell r="AA1673">
            <v>4</v>
          </cell>
          <cell r="AB1673">
            <v>4</v>
          </cell>
          <cell r="AC1673">
            <v>4</v>
          </cell>
          <cell r="AD1673">
            <v>4</v>
          </cell>
          <cell r="AE1673">
            <v>4</v>
          </cell>
          <cell r="AF1673">
            <v>4</v>
          </cell>
          <cell r="AG1673">
            <v>4</v>
          </cell>
          <cell r="AH1673">
            <v>5</v>
          </cell>
          <cell r="AI1673">
            <v>5</v>
          </cell>
          <cell r="AJ1673">
            <v>5</v>
          </cell>
          <cell r="AK1673">
            <v>5</v>
          </cell>
          <cell r="AL1673">
            <v>5</v>
          </cell>
          <cell r="AM1673">
            <v>5</v>
          </cell>
          <cell r="AN1673">
            <v>5</v>
          </cell>
          <cell r="AO1673">
            <v>5</v>
          </cell>
          <cell r="AP1673">
            <v>5</v>
          </cell>
          <cell r="AQ1673">
            <v>5</v>
          </cell>
          <cell r="AR1673">
            <v>5</v>
          </cell>
          <cell r="AS1673">
            <v>5</v>
          </cell>
          <cell r="AT1673">
            <v>6</v>
          </cell>
          <cell r="AU1673">
            <v>6</v>
          </cell>
          <cell r="AV1673">
            <v>7</v>
          </cell>
          <cell r="AW1673">
            <v>7</v>
          </cell>
          <cell r="AX1673">
            <v>7</v>
          </cell>
          <cell r="AY1673">
            <v>7</v>
          </cell>
          <cell r="AZ1673">
            <v>7</v>
          </cell>
          <cell r="BA1673">
            <v>7</v>
          </cell>
          <cell r="BB1673">
            <v>7</v>
          </cell>
          <cell r="BC1673">
            <v>7</v>
          </cell>
          <cell r="BD1673">
            <v>7</v>
          </cell>
          <cell r="BE1673">
            <v>7</v>
          </cell>
          <cell r="BF1673">
            <v>7</v>
          </cell>
          <cell r="BG1673">
            <v>7</v>
          </cell>
          <cell r="BH1673">
            <v>7</v>
          </cell>
          <cell r="BI1673">
            <v>7</v>
          </cell>
          <cell r="BJ1673">
            <v>7</v>
          </cell>
          <cell r="BK1673">
            <v>3</v>
          </cell>
          <cell r="BL1673">
            <v>3</v>
          </cell>
          <cell r="BM1673">
            <v>3</v>
          </cell>
          <cell r="BN1673">
            <v>3</v>
          </cell>
          <cell r="BO1673">
            <v>3</v>
          </cell>
          <cell r="BP1673">
            <v>3</v>
          </cell>
          <cell r="BQ1673">
            <v>3</v>
          </cell>
          <cell r="BR1673">
            <v>3</v>
          </cell>
          <cell r="BS1673">
            <v>3</v>
          </cell>
          <cell r="BT1673">
            <v>3</v>
          </cell>
          <cell r="BU1673">
            <v>3</v>
          </cell>
          <cell r="BV1673">
            <v>3</v>
          </cell>
        </row>
        <row r="1674">
          <cell r="A1674" t="str">
            <v>Opel</v>
          </cell>
          <cell r="B1674" t="str">
            <v>FHR&amp;ARM</v>
          </cell>
          <cell r="D1674" t="str">
            <v>SHIFT A HC  - efficiency</v>
          </cell>
          <cell r="Z1674">
            <v>1.2</v>
          </cell>
          <cell r="AA1674">
            <v>1.2</v>
          </cell>
          <cell r="AB1674">
            <v>1.2</v>
          </cell>
          <cell r="AC1674">
            <v>1.2</v>
          </cell>
          <cell r="AD1674">
            <v>1.2</v>
          </cell>
          <cell r="AE1674">
            <v>1.2</v>
          </cell>
          <cell r="AF1674">
            <v>1.2</v>
          </cell>
          <cell r="AG1674">
            <v>1.2</v>
          </cell>
          <cell r="AH1674">
            <v>1.2</v>
          </cell>
          <cell r="AI1674">
            <v>1.2</v>
          </cell>
          <cell r="AJ1674">
            <v>1.2</v>
          </cell>
          <cell r="AK1674">
            <v>1.2</v>
          </cell>
          <cell r="AL1674">
            <v>1.2</v>
          </cell>
          <cell r="AM1674">
            <v>1.2</v>
          </cell>
          <cell r="AN1674">
            <v>1.2</v>
          </cell>
          <cell r="AO1674">
            <v>1.2</v>
          </cell>
          <cell r="AP1674">
            <v>1.2</v>
          </cell>
          <cell r="AQ1674">
            <v>1.2</v>
          </cell>
          <cell r="AR1674">
            <v>1.2</v>
          </cell>
          <cell r="AS1674">
            <v>1.2</v>
          </cell>
          <cell r="AT1674">
            <v>1.2</v>
          </cell>
          <cell r="AU1674">
            <v>1.2</v>
          </cell>
          <cell r="AV1674">
            <v>1.2</v>
          </cell>
          <cell r="AW1674">
            <v>1.2</v>
          </cell>
          <cell r="AX1674">
            <v>1.2</v>
          </cell>
          <cell r="AY1674">
            <v>1.2</v>
          </cell>
          <cell r="AZ1674">
            <v>1.2</v>
          </cell>
          <cell r="BA1674">
            <v>1.2</v>
          </cell>
          <cell r="BB1674">
            <v>1.2</v>
          </cell>
          <cell r="BC1674">
            <v>1.2</v>
          </cell>
          <cell r="BD1674">
            <v>1.2</v>
          </cell>
          <cell r="BE1674">
            <v>1.2</v>
          </cell>
          <cell r="BF1674">
            <v>1.2</v>
          </cell>
          <cell r="BG1674">
            <v>1.2</v>
          </cell>
          <cell r="BH1674">
            <v>1.2</v>
          </cell>
          <cell r="BI1674">
            <v>1.2</v>
          </cell>
          <cell r="BJ1674">
            <v>1.2</v>
          </cell>
          <cell r="BK1674">
            <v>1.2</v>
          </cell>
          <cell r="BL1674">
            <v>1.2</v>
          </cell>
          <cell r="BM1674">
            <v>1.2</v>
          </cell>
          <cell r="BN1674">
            <v>1.2</v>
          </cell>
          <cell r="BO1674">
            <v>1.2</v>
          </cell>
          <cell r="BP1674">
            <v>1.2</v>
          </cell>
          <cell r="BQ1674">
            <v>1.2</v>
          </cell>
          <cell r="BR1674">
            <v>1.2</v>
          </cell>
          <cell r="BS1674">
            <v>1.2</v>
          </cell>
          <cell r="BT1674">
            <v>1.2</v>
          </cell>
          <cell r="BU1674">
            <v>1.2</v>
          </cell>
          <cell r="BV1674">
            <v>1.2</v>
          </cell>
        </row>
        <row r="1675">
          <cell r="A1675" t="str">
            <v>Opel</v>
          </cell>
          <cell r="B1675" t="str">
            <v>FHR&amp;ARM</v>
          </cell>
          <cell r="D1675" t="str">
            <v>SHIFT B HC  - efficiency</v>
          </cell>
          <cell r="Z1675">
            <v>1.2</v>
          </cell>
          <cell r="AA1675">
            <v>1.2</v>
          </cell>
          <cell r="AB1675">
            <v>1.2</v>
          </cell>
          <cell r="AC1675">
            <v>1.2</v>
          </cell>
          <cell r="AD1675">
            <v>1.2</v>
          </cell>
          <cell r="AE1675">
            <v>1.2</v>
          </cell>
          <cell r="AF1675">
            <v>1.2</v>
          </cell>
          <cell r="AG1675">
            <v>1.2</v>
          </cell>
          <cell r="AH1675">
            <v>1.2</v>
          </cell>
          <cell r="AI1675">
            <v>1.2</v>
          </cell>
          <cell r="AJ1675">
            <v>1.2</v>
          </cell>
          <cell r="AK1675">
            <v>1.2</v>
          </cell>
          <cell r="AL1675">
            <v>1.2</v>
          </cell>
          <cell r="AM1675">
            <v>1.2</v>
          </cell>
          <cell r="AN1675">
            <v>1.2</v>
          </cell>
          <cell r="AO1675">
            <v>1.2</v>
          </cell>
          <cell r="AP1675">
            <v>1.2</v>
          </cell>
          <cell r="AQ1675">
            <v>1.2</v>
          </cell>
          <cell r="AR1675">
            <v>1.2</v>
          </cell>
          <cell r="AS1675">
            <v>1.2</v>
          </cell>
          <cell r="AT1675">
            <v>1.2</v>
          </cell>
          <cell r="AU1675">
            <v>1.2</v>
          </cell>
          <cell r="AV1675">
            <v>1.2</v>
          </cell>
          <cell r="AW1675">
            <v>1.2</v>
          </cell>
          <cell r="AX1675">
            <v>1.2</v>
          </cell>
          <cell r="AY1675">
            <v>1.2</v>
          </cell>
          <cell r="AZ1675">
            <v>1.2</v>
          </cell>
          <cell r="BA1675">
            <v>1.2</v>
          </cell>
          <cell r="BB1675">
            <v>1.2</v>
          </cell>
          <cell r="BC1675">
            <v>1.2</v>
          </cell>
          <cell r="BD1675">
            <v>1.2</v>
          </cell>
          <cell r="BE1675">
            <v>1.2</v>
          </cell>
          <cell r="BF1675">
            <v>1.2</v>
          </cell>
          <cell r="BG1675">
            <v>1.2</v>
          </cell>
          <cell r="BH1675">
            <v>1.2</v>
          </cell>
          <cell r="BI1675">
            <v>1.2</v>
          </cell>
          <cell r="BJ1675">
            <v>1</v>
          </cell>
          <cell r="BK1675">
            <v>1</v>
          </cell>
          <cell r="BL1675">
            <v>1</v>
          </cell>
          <cell r="BM1675">
            <v>1</v>
          </cell>
          <cell r="BN1675">
            <v>1</v>
          </cell>
          <cell r="BO1675">
            <v>1</v>
          </cell>
          <cell r="BP1675">
            <v>1</v>
          </cell>
          <cell r="BQ1675">
            <v>1</v>
          </cell>
          <cell r="BR1675">
            <v>1</v>
          </cell>
          <cell r="BS1675">
            <v>1</v>
          </cell>
          <cell r="BT1675">
            <v>1</v>
          </cell>
          <cell r="BU1675">
            <v>1</v>
          </cell>
          <cell r="BV1675">
            <v>1</v>
          </cell>
        </row>
        <row r="1676">
          <cell r="A1676" t="str">
            <v>Opel</v>
          </cell>
          <cell r="B1676" t="str">
            <v>FHR&amp;ARM</v>
          </cell>
          <cell r="D1676" t="str">
            <v>SHIFT C HC  - efficiency</v>
          </cell>
          <cell r="Z1676">
            <v>1</v>
          </cell>
          <cell r="AA1676">
            <v>1</v>
          </cell>
          <cell r="AB1676">
            <v>1</v>
          </cell>
          <cell r="AC1676">
            <v>1</v>
          </cell>
          <cell r="AD1676">
            <v>1</v>
          </cell>
          <cell r="AE1676">
            <v>1</v>
          </cell>
          <cell r="AF1676">
            <v>1</v>
          </cell>
          <cell r="AG1676">
            <v>1</v>
          </cell>
          <cell r="AH1676">
            <v>1</v>
          </cell>
          <cell r="AI1676">
            <v>1</v>
          </cell>
          <cell r="AJ1676">
            <v>1</v>
          </cell>
          <cell r="AK1676">
            <v>1</v>
          </cell>
          <cell r="AL1676">
            <v>1</v>
          </cell>
          <cell r="AM1676">
            <v>1</v>
          </cell>
          <cell r="AN1676">
            <v>1</v>
          </cell>
          <cell r="AO1676">
            <v>1</v>
          </cell>
          <cell r="AP1676">
            <v>1</v>
          </cell>
          <cell r="AQ1676">
            <v>1</v>
          </cell>
          <cell r="AR1676">
            <v>1</v>
          </cell>
          <cell r="AS1676">
            <v>1</v>
          </cell>
          <cell r="AT1676">
            <v>1</v>
          </cell>
          <cell r="AU1676">
            <v>1</v>
          </cell>
          <cell r="AV1676">
            <v>1</v>
          </cell>
          <cell r="AW1676">
            <v>1</v>
          </cell>
          <cell r="AX1676">
            <v>1</v>
          </cell>
          <cell r="AY1676">
            <v>1</v>
          </cell>
          <cell r="AZ1676">
            <v>1</v>
          </cell>
          <cell r="BA1676">
            <v>1</v>
          </cell>
          <cell r="BB1676">
            <v>1</v>
          </cell>
          <cell r="BC1676">
            <v>1</v>
          </cell>
          <cell r="BD1676">
            <v>1</v>
          </cell>
          <cell r="BE1676">
            <v>1</v>
          </cell>
          <cell r="BF1676">
            <v>1</v>
          </cell>
          <cell r="BG1676">
            <v>1</v>
          </cell>
          <cell r="BH1676">
            <v>1</v>
          </cell>
          <cell r="BI1676">
            <v>1</v>
          </cell>
          <cell r="BJ1676">
            <v>1</v>
          </cell>
          <cell r="BK1676">
            <v>1</v>
          </cell>
          <cell r="BL1676">
            <v>1</v>
          </cell>
          <cell r="BM1676">
            <v>1</v>
          </cell>
          <cell r="BN1676">
            <v>1</v>
          </cell>
          <cell r="BO1676">
            <v>1</v>
          </cell>
          <cell r="BP1676">
            <v>1</v>
          </cell>
          <cell r="BQ1676">
            <v>1</v>
          </cell>
          <cell r="BR1676">
            <v>1</v>
          </cell>
          <cell r="BS1676">
            <v>1</v>
          </cell>
          <cell r="BT1676">
            <v>1</v>
          </cell>
          <cell r="BU1676">
            <v>1</v>
          </cell>
          <cell r="BV1676">
            <v>1</v>
          </cell>
        </row>
        <row r="1677">
          <cell r="A1677" t="str">
            <v>Opel</v>
          </cell>
          <cell r="B1677" t="str">
            <v>FHR&amp;ARM</v>
          </cell>
          <cell r="D1677" t="str">
            <v>Total efficiency</v>
          </cell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</row>
        <row r="1678">
          <cell r="A1678" t="str">
            <v>Opel</v>
          </cell>
          <cell r="B1678" t="str">
            <v>FHR&amp;ARM</v>
          </cell>
          <cell r="D1678" t="str">
            <v>SHIFT A - output</v>
          </cell>
          <cell r="Z1678">
            <v>83.076923076923066</v>
          </cell>
          <cell r="AA1678">
            <v>83.076923076923066</v>
          </cell>
          <cell r="AB1678">
            <v>83.076923076923066</v>
          </cell>
          <cell r="AC1678">
            <v>83.076923076923066</v>
          </cell>
          <cell r="AD1678">
            <v>83.076923076923066</v>
          </cell>
          <cell r="AE1678">
            <v>83.076923076923066</v>
          </cell>
          <cell r="AF1678">
            <v>83.076923076923066</v>
          </cell>
          <cell r="AG1678">
            <v>83.076923076923066</v>
          </cell>
          <cell r="AH1678">
            <v>249.2307692307692</v>
          </cell>
          <cell r="AI1678">
            <v>249.2307692307692</v>
          </cell>
          <cell r="AJ1678">
            <v>249.2307692307692</v>
          </cell>
          <cell r="AK1678">
            <v>249.2307692307692</v>
          </cell>
          <cell r="AL1678">
            <v>249.2307692307692</v>
          </cell>
          <cell r="AM1678">
            <v>249.2307692307692</v>
          </cell>
          <cell r="AN1678">
            <v>249.2307692307692</v>
          </cell>
          <cell r="AO1678">
            <v>249.2307692307692</v>
          </cell>
          <cell r="AP1678">
            <v>249.2307692307692</v>
          </cell>
          <cell r="AQ1678">
            <v>249.2307692307692</v>
          </cell>
          <cell r="AR1678">
            <v>249.2307692307692</v>
          </cell>
          <cell r="AS1678">
            <v>249.2307692307692</v>
          </cell>
          <cell r="AT1678">
            <v>249.2307692307692</v>
          </cell>
          <cell r="AU1678">
            <v>249.2307692307692</v>
          </cell>
          <cell r="AV1678">
            <v>332.30769230769226</v>
          </cell>
          <cell r="AW1678">
            <v>332.30769230769226</v>
          </cell>
          <cell r="AX1678">
            <v>332.30769230769226</v>
          </cell>
          <cell r="AY1678">
            <v>332.30769230769226</v>
          </cell>
          <cell r="AZ1678">
            <v>332.30769230769226</v>
          </cell>
          <cell r="BA1678">
            <v>332.30769230769226</v>
          </cell>
          <cell r="BB1678">
            <v>332.30769230769226</v>
          </cell>
          <cell r="BC1678">
            <v>332.30769230769226</v>
          </cell>
          <cell r="BD1678">
            <v>332.30769230769226</v>
          </cell>
          <cell r="BE1678">
            <v>332.30769230769226</v>
          </cell>
          <cell r="BF1678">
            <v>332.30769230769226</v>
          </cell>
          <cell r="BG1678">
            <v>332.30769230769226</v>
          </cell>
          <cell r="BH1678">
            <v>332.30769230769226</v>
          </cell>
          <cell r="BI1678">
            <v>332.30769230769226</v>
          </cell>
          <cell r="BJ1678">
            <v>332.30769230769226</v>
          </cell>
          <cell r="BK1678">
            <v>249.2307692307692</v>
          </cell>
          <cell r="BL1678">
            <v>249.2307692307692</v>
          </cell>
          <cell r="BM1678">
            <v>249.2307692307692</v>
          </cell>
          <cell r="BN1678">
            <v>249.2307692307692</v>
          </cell>
          <cell r="BO1678">
            <v>249.2307692307692</v>
          </cell>
          <cell r="BP1678">
            <v>249.2307692307692</v>
          </cell>
          <cell r="BQ1678">
            <v>249.2307692307692</v>
          </cell>
          <cell r="BR1678">
            <v>249.2307692307692</v>
          </cell>
          <cell r="BS1678">
            <v>249.2307692307692</v>
          </cell>
          <cell r="BT1678">
            <v>249.2307692307692</v>
          </cell>
          <cell r="BU1678">
            <v>249.2307692307692</v>
          </cell>
          <cell r="BV1678">
            <v>249.2307692307692</v>
          </cell>
        </row>
        <row r="1679">
          <cell r="A1679" t="str">
            <v>Opel</v>
          </cell>
          <cell r="B1679" t="str">
            <v>FHR&amp;ARM</v>
          </cell>
          <cell r="D1679" t="str">
            <v>SHIFT B  - output</v>
          </cell>
          <cell r="Z1679">
            <v>249.2307692307692</v>
          </cell>
          <cell r="AA1679">
            <v>249.2307692307692</v>
          </cell>
          <cell r="AB1679">
            <v>249.2307692307692</v>
          </cell>
          <cell r="AC1679">
            <v>249.2307692307692</v>
          </cell>
          <cell r="AD1679">
            <v>249.2307692307692</v>
          </cell>
          <cell r="AE1679">
            <v>249.2307692307692</v>
          </cell>
          <cell r="AF1679">
            <v>249.2307692307692</v>
          </cell>
          <cell r="AG1679">
            <v>249.2307692307692</v>
          </cell>
          <cell r="AH1679">
            <v>166.15384615384613</v>
          </cell>
          <cell r="AI1679">
            <v>166.15384615384613</v>
          </cell>
          <cell r="AJ1679">
            <v>166.15384615384613</v>
          </cell>
          <cell r="AK1679">
            <v>166.15384615384613</v>
          </cell>
          <cell r="AL1679">
            <v>166.15384615384613</v>
          </cell>
          <cell r="AM1679">
            <v>166.15384615384613</v>
          </cell>
          <cell r="AN1679">
            <v>166.15384615384613</v>
          </cell>
          <cell r="AO1679">
            <v>166.15384615384613</v>
          </cell>
          <cell r="AP1679">
            <v>166.15384615384613</v>
          </cell>
          <cell r="AQ1679">
            <v>166.15384615384613</v>
          </cell>
          <cell r="AR1679">
            <v>166.15384615384613</v>
          </cell>
          <cell r="AS1679">
            <v>166.15384615384613</v>
          </cell>
          <cell r="AT1679">
            <v>249.2307692307692</v>
          </cell>
          <cell r="AU1679">
            <v>249.2307692307692</v>
          </cell>
          <cell r="AV1679">
            <v>249.2307692307692</v>
          </cell>
          <cell r="AW1679">
            <v>249.2307692307692</v>
          </cell>
          <cell r="AX1679">
            <v>249.2307692307692</v>
          </cell>
          <cell r="AY1679">
            <v>249.2307692307692</v>
          </cell>
          <cell r="AZ1679">
            <v>249.2307692307692</v>
          </cell>
          <cell r="BA1679">
            <v>249.2307692307692</v>
          </cell>
          <cell r="BB1679">
            <v>249.2307692307692</v>
          </cell>
          <cell r="BC1679">
            <v>249.2307692307692</v>
          </cell>
          <cell r="BD1679">
            <v>249.2307692307692</v>
          </cell>
          <cell r="BE1679">
            <v>249.2307692307692</v>
          </cell>
          <cell r="BF1679">
            <v>249.2307692307692</v>
          </cell>
          <cell r="BG1679">
            <v>249.2307692307692</v>
          </cell>
          <cell r="BH1679">
            <v>249.2307692307692</v>
          </cell>
          <cell r="BI1679">
            <v>249.2307692307692</v>
          </cell>
          <cell r="BJ1679">
            <v>207.69230769230768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</row>
        <row r="1680">
          <cell r="A1680" t="str">
            <v>Opel</v>
          </cell>
          <cell r="B1680" t="str">
            <v>FHR&amp;ARM</v>
          </cell>
          <cell r="D1680" t="str">
            <v>SHIFT C  - output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  <cell r="BK1680">
            <v>0</v>
          </cell>
          <cell r="BL1680">
            <v>0</v>
          </cell>
          <cell r="BM1680">
            <v>0</v>
          </cell>
          <cell r="BN1680">
            <v>0</v>
          </cell>
          <cell r="BO1680">
            <v>0</v>
          </cell>
          <cell r="BP1680">
            <v>0</v>
          </cell>
          <cell r="BQ1680">
            <v>0</v>
          </cell>
          <cell r="BR1680">
            <v>0</v>
          </cell>
          <cell r="BS1680">
            <v>0</v>
          </cell>
          <cell r="BT1680">
            <v>0</v>
          </cell>
          <cell r="BU1680">
            <v>0</v>
          </cell>
          <cell r="BV1680">
            <v>0</v>
          </cell>
        </row>
        <row r="1681">
          <cell r="A1681" t="str">
            <v>Opel</v>
          </cell>
          <cell r="B1681" t="str">
            <v>FHR&amp;ARM</v>
          </cell>
          <cell r="D1681" t="str">
            <v>Est. Output (Pcs day)</v>
          </cell>
          <cell r="E1681">
            <v>6.5</v>
          </cell>
          <cell r="Z1681">
            <v>332.30769230769226</v>
          </cell>
          <cell r="AA1681">
            <v>332.30769230769226</v>
          </cell>
          <cell r="AB1681">
            <v>332.30769230769226</v>
          </cell>
          <cell r="AC1681">
            <v>332.30769230769226</v>
          </cell>
          <cell r="AD1681">
            <v>332.30769230769226</v>
          </cell>
          <cell r="AE1681">
            <v>332.30769230769226</v>
          </cell>
          <cell r="AF1681">
            <v>332.30769230769226</v>
          </cell>
          <cell r="AG1681">
            <v>332.30769230769226</v>
          </cell>
          <cell r="AH1681">
            <v>415.38461538461536</v>
          </cell>
          <cell r="AI1681">
            <v>415.38461538461536</v>
          </cell>
          <cell r="AJ1681">
            <v>415.38461538461536</v>
          </cell>
          <cell r="AK1681">
            <v>415.38461538461536</v>
          </cell>
          <cell r="AL1681">
            <v>415.38461538461536</v>
          </cell>
          <cell r="AM1681">
            <v>415.38461538461536</v>
          </cell>
          <cell r="AN1681">
            <v>415.38461538461536</v>
          </cell>
          <cell r="AO1681">
            <v>415.38461538461536</v>
          </cell>
          <cell r="AP1681">
            <v>415.38461538461536</v>
          </cell>
          <cell r="AQ1681">
            <v>415.38461538461536</v>
          </cell>
          <cell r="AR1681">
            <v>415.38461538461536</v>
          </cell>
          <cell r="AS1681">
            <v>415.38461538461536</v>
          </cell>
          <cell r="AT1681">
            <v>498.4615384615384</v>
          </cell>
          <cell r="AU1681">
            <v>498.4615384615384</v>
          </cell>
          <cell r="AV1681">
            <v>581.53846153846143</v>
          </cell>
          <cell r="AW1681">
            <v>581.53846153846143</v>
          </cell>
          <cell r="AX1681">
            <v>581.53846153846143</v>
          </cell>
          <cell r="AY1681">
            <v>581.53846153846143</v>
          </cell>
          <cell r="AZ1681">
            <v>581.53846153846143</v>
          </cell>
          <cell r="BA1681">
            <v>581.53846153846143</v>
          </cell>
          <cell r="BB1681">
            <v>581.53846153846143</v>
          </cell>
          <cell r="BC1681">
            <v>581.53846153846143</v>
          </cell>
          <cell r="BD1681">
            <v>581.53846153846143</v>
          </cell>
          <cell r="BE1681">
            <v>581.53846153846143</v>
          </cell>
          <cell r="BF1681">
            <v>581.53846153846143</v>
          </cell>
          <cell r="BG1681">
            <v>581.53846153846143</v>
          </cell>
          <cell r="BH1681">
            <v>581.53846153846143</v>
          </cell>
          <cell r="BI1681">
            <v>581.53846153846143</v>
          </cell>
          <cell r="BJ1681">
            <v>540</v>
          </cell>
          <cell r="BK1681">
            <v>249.2307692307692</v>
          </cell>
          <cell r="BL1681">
            <v>249.2307692307692</v>
          </cell>
          <cell r="BM1681">
            <v>249.2307692307692</v>
          </cell>
          <cell r="BN1681">
            <v>249.2307692307692</v>
          </cell>
          <cell r="BO1681">
            <v>249.2307692307692</v>
          </cell>
          <cell r="BP1681">
            <v>249.2307692307692</v>
          </cell>
          <cell r="BQ1681">
            <v>249.2307692307692</v>
          </cell>
          <cell r="BR1681">
            <v>249.2307692307692</v>
          </cell>
          <cell r="BS1681">
            <v>249.2307692307692</v>
          </cell>
          <cell r="BT1681">
            <v>249.2307692307692</v>
          </cell>
          <cell r="BU1681">
            <v>249.2307692307692</v>
          </cell>
          <cell r="BV1681">
            <v>249.2307692307692</v>
          </cell>
        </row>
        <row r="1682">
          <cell r="A1682" t="str">
            <v>Opel</v>
          </cell>
          <cell r="B1682" t="str">
            <v>FHR&amp;ARM</v>
          </cell>
          <cell r="D1682" t="str">
            <v>Weekly Output PLAN</v>
          </cell>
          <cell r="E1682" t="str">
            <v>SEW</v>
          </cell>
          <cell r="Z1682">
            <v>1661.5384615384614</v>
          </cell>
          <cell r="AA1682">
            <v>1661.5384615384614</v>
          </cell>
          <cell r="AB1682">
            <v>1661.5384615384614</v>
          </cell>
          <cell r="AC1682">
            <v>1661.5384615384614</v>
          </cell>
          <cell r="AD1682">
            <v>996.92307692307679</v>
          </cell>
          <cell r="AE1682">
            <v>1661.5384615384614</v>
          </cell>
          <cell r="AF1682">
            <v>1661.5384615384614</v>
          </cell>
          <cell r="AG1682">
            <v>1661.5384615384614</v>
          </cell>
          <cell r="AH1682">
            <v>2076.9230769230767</v>
          </cell>
          <cell r="AI1682">
            <v>2076.9230769230767</v>
          </cell>
          <cell r="AJ1682">
            <v>2076.9230769230767</v>
          </cell>
          <cell r="AK1682">
            <v>1661.5384615384614</v>
          </cell>
          <cell r="AL1682">
            <v>1661.5384615384614</v>
          </cell>
          <cell r="AM1682">
            <v>2076.9230769230767</v>
          </cell>
          <cell r="AN1682">
            <v>1661.5384615384614</v>
          </cell>
          <cell r="AO1682">
            <v>2076.9230769230767</v>
          </cell>
          <cell r="AP1682">
            <v>2076.9230769230767</v>
          </cell>
          <cell r="AQ1682">
            <v>2076.9230769230767</v>
          </cell>
          <cell r="AR1682">
            <v>2076.9230769230767</v>
          </cell>
          <cell r="AS1682">
            <v>2076.9230769230767</v>
          </cell>
          <cell r="AT1682">
            <v>2492.3076923076919</v>
          </cell>
          <cell r="AU1682">
            <v>2492.3076923076919</v>
          </cell>
          <cell r="AV1682">
            <v>2907.6923076923072</v>
          </cell>
          <cell r="AW1682">
            <v>2907.6923076923072</v>
          </cell>
          <cell r="AX1682">
            <v>2907.6923076923072</v>
          </cell>
          <cell r="AY1682">
            <v>2907.6923076923072</v>
          </cell>
          <cell r="AZ1682">
            <v>0</v>
          </cell>
          <cell r="BA1682">
            <v>0</v>
          </cell>
          <cell r="BB1682">
            <v>2907.6923076923072</v>
          </cell>
          <cell r="BC1682">
            <v>2907.6923076923072</v>
          </cell>
          <cell r="BD1682">
            <v>2907.6923076923072</v>
          </cell>
          <cell r="BE1682">
            <v>2907.6923076923072</v>
          </cell>
          <cell r="BF1682">
            <v>2907.6923076923072</v>
          </cell>
          <cell r="BG1682">
            <v>2907.6923076923072</v>
          </cell>
          <cell r="BH1682">
            <v>2907.6923076923072</v>
          </cell>
          <cell r="BI1682">
            <v>2907.6923076923072</v>
          </cell>
          <cell r="BJ1682">
            <v>2700</v>
          </cell>
          <cell r="BK1682">
            <v>1246.153846153846</v>
          </cell>
          <cell r="BL1682">
            <v>747.69230769230762</v>
          </cell>
          <cell r="BM1682">
            <v>747.69230769230762</v>
          </cell>
          <cell r="BN1682">
            <v>747.69230769230762</v>
          </cell>
          <cell r="BO1682">
            <v>747.69230769230762</v>
          </cell>
          <cell r="BP1682">
            <v>747.69230769230762</v>
          </cell>
          <cell r="BQ1682">
            <v>747.69230769230762</v>
          </cell>
          <cell r="BR1682">
            <v>747.69230769230762</v>
          </cell>
          <cell r="BS1682">
            <v>747.69230769230762</v>
          </cell>
          <cell r="BT1682">
            <v>747.69230769230762</v>
          </cell>
          <cell r="BU1682">
            <v>747.69230769230762</v>
          </cell>
          <cell r="BV1682">
            <v>747.69230769230762</v>
          </cell>
        </row>
        <row r="1683">
          <cell r="A1683" t="str">
            <v>Opel</v>
          </cell>
          <cell r="B1683" t="str">
            <v>FHR&amp;ARM</v>
          </cell>
          <cell r="D1683" t="str">
            <v>ARM</v>
          </cell>
          <cell r="E1683">
            <v>5.1867000000000001</v>
          </cell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</row>
        <row r="1684">
          <cell r="A1684" t="str">
            <v>Opel</v>
          </cell>
          <cell r="B1684" t="str">
            <v>FHR&amp;ARM</v>
          </cell>
          <cell r="D1684" t="str">
            <v>FHR</v>
          </cell>
          <cell r="E1684">
            <v>7.1955</v>
          </cell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</row>
        <row r="1685">
          <cell r="A1685" t="str">
            <v>Opel</v>
          </cell>
          <cell r="B1685" t="str">
            <v>FHR&amp;ARM</v>
          </cell>
          <cell r="D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</row>
        <row r="1686">
          <cell r="A1686" t="str">
            <v>Opel</v>
          </cell>
          <cell r="B1686" t="str">
            <v>FHR&amp;ARM</v>
          </cell>
          <cell r="D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</row>
        <row r="1687">
          <cell r="A1687" t="str">
            <v>Opel</v>
          </cell>
          <cell r="B1687" t="str">
            <v>FHR&amp;ARM</v>
          </cell>
          <cell r="D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</row>
        <row r="1688">
          <cell r="A1688" t="str">
            <v>Opel</v>
          </cell>
          <cell r="B1688" t="str">
            <v>FHR&amp;ARM</v>
          </cell>
          <cell r="D1688" t="str">
            <v>Weekly Output PLAN - SUM of models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  <cell r="BK1688">
            <v>0</v>
          </cell>
          <cell r="BL1688">
            <v>0</v>
          </cell>
          <cell r="BM1688">
            <v>0</v>
          </cell>
          <cell r="BN1688">
            <v>0</v>
          </cell>
          <cell r="BO1688">
            <v>0</v>
          </cell>
          <cell r="BP1688">
            <v>0</v>
          </cell>
          <cell r="BQ1688">
            <v>0</v>
          </cell>
          <cell r="BR1688">
            <v>0</v>
          </cell>
          <cell r="BS1688">
            <v>0</v>
          </cell>
          <cell r="BT1688">
            <v>0</v>
          </cell>
          <cell r="BU1688">
            <v>0</v>
          </cell>
          <cell r="BV1688">
            <v>0</v>
          </cell>
        </row>
        <row r="1689">
          <cell r="A1689" t="str">
            <v>Opel</v>
          </cell>
          <cell r="B1689" t="str">
            <v>FHR&amp;ARM</v>
          </cell>
          <cell r="D1689" t="str">
            <v>Weekly Output CHECK with TO time multiple</v>
          </cell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</row>
        <row r="1690">
          <cell r="A1690" t="str">
            <v>Opel</v>
          </cell>
          <cell r="B1690" t="str">
            <v>FHR&amp;ARM</v>
          </cell>
          <cell r="D1690" t="str">
            <v>Weekly Output ACT</v>
          </cell>
          <cell r="Z1690">
            <v>1661.5384615384614</v>
          </cell>
          <cell r="AA1690">
            <v>1661.5384615384614</v>
          </cell>
          <cell r="AB1690">
            <v>1661.5384615384614</v>
          </cell>
          <cell r="AC1690">
            <v>1661.5384615384614</v>
          </cell>
          <cell r="AD1690">
            <v>996.92307692307679</v>
          </cell>
          <cell r="AE1690">
            <v>1661.5384615384614</v>
          </cell>
          <cell r="AF1690">
            <v>1661.5384615384614</v>
          </cell>
          <cell r="AG1690">
            <v>1661.5384615384614</v>
          </cell>
          <cell r="AH1690">
            <v>2076.9230769230767</v>
          </cell>
          <cell r="AI1690">
            <v>2076.9230769230767</v>
          </cell>
          <cell r="AJ1690">
            <v>2076.9230769230767</v>
          </cell>
          <cell r="AK1690">
            <v>1661.5384615384614</v>
          </cell>
          <cell r="AL1690">
            <v>1661.5384615384614</v>
          </cell>
          <cell r="AM1690">
            <v>2076.9230769230767</v>
          </cell>
          <cell r="AN1690">
            <v>1661.5384615384614</v>
          </cell>
          <cell r="AO1690">
            <v>2076.9230769230767</v>
          </cell>
          <cell r="AP1690">
            <v>2076.9230769230767</v>
          </cell>
          <cell r="AQ1690">
            <v>2076.9230769230767</v>
          </cell>
          <cell r="AR1690">
            <v>2076.9230769230767</v>
          </cell>
          <cell r="AS1690">
            <v>2076.9230769230767</v>
          </cell>
          <cell r="AT1690">
            <v>2492.3076923076919</v>
          </cell>
          <cell r="AU1690">
            <v>2492.3076923076919</v>
          </cell>
          <cell r="AV1690">
            <v>2907.6923076923072</v>
          </cell>
          <cell r="AW1690">
            <v>2907.6923076923072</v>
          </cell>
          <cell r="AX1690">
            <v>2907.6923076923072</v>
          </cell>
          <cell r="AY1690">
            <v>2907.6923076923072</v>
          </cell>
          <cell r="AZ1690">
            <v>0</v>
          </cell>
          <cell r="BA1690">
            <v>0</v>
          </cell>
          <cell r="BB1690">
            <v>2907.6923076923072</v>
          </cell>
          <cell r="BC1690">
            <v>2907.6923076923072</v>
          </cell>
          <cell r="BD1690">
            <v>2907.6923076923072</v>
          </cell>
          <cell r="BE1690">
            <v>2907.6923076923072</v>
          </cell>
          <cell r="BF1690">
            <v>2907.6923076923072</v>
          </cell>
          <cell r="BG1690">
            <v>2907.6923076923072</v>
          </cell>
          <cell r="BH1690">
            <v>2907.6923076923072</v>
          </cell>
          <cell r="BI1690">
            <v>2907.6923076923072</v>
          </cell>
          <cell r="BJ1690">
            <v>2700</v>
          </cell>
          <cell r="BK1690">
            <v>1246.153846153846</v>
          </cell>
          <cell r="BL1690">
            <v>747.69230769230762</v>
          </cell>
          <cell r="BM1690">
            <v>747.69230769230762</v>
          </cell>
          <cell r="BN1690">
            <v>747.69230769230762</v>
          </cell>
          <cell r="BO1690">
            <v>747.69230769230762</v>
          </cell>
          <cell r="BP1690">
            <v>747.69230769230762</v>
          </cell>
          <cell r="BQ1690">
            <v>747.69230769230762</v>
          </cell>
          <cell r="BR1690">
            <v>747.69230769230762</v>
          </cell>
          <cell r="BS1690">
            <v>747.69230769230762</v>
          </cell>
          <cell r="BT1690">
            <v>747.69230769230762</v>
          </cell>
          <cell r="BU1690">
            <v>747.69230769230762</v>
          </cell>
          <cell r="BV1690">
            <v>747.69230769230762</v>
          </cell>
        </row>
        <row r="1691">
          <cell r="A1691" t="str">
            <v>Opel</v>
          </cell>
          <cell r="B1691" t="str">
            <v>FHR&amp;ARM</v>
          </cell>
          <cell r="D1691" t="str">
            <v>ARM</v>
          </cell>
          <cell r="Z1691">
            <v>447.31610337972165</v>
          </cell>
          <cell r="AA1691">
            <v>447.31610337972165</v>
          </cell>
          <cell r="AB1691">
            <v>894.63220675944331</v>
          </cell>
          <cell r="AC1691">
            <v>894.63220675944331</v>
          </cell>
          <cell r="AD1691">
            <v>268.38966202783297</v>
          </cell>
          <cell r="AE1691">
            <v>447.31610337972165</v>
          </cell>
          <cell r="AF1691">
            <v>447.31610337972165</v>
          </cell>
          <cell r="AG1691">
            <v>447.31610337972165</v>
          </cell>
          <cell r="AH1691">
            <v>447.31610337972165</v>
          </cell>
          <cell r="AI1691">
            <v>447.31610337972165</v>
          </cell>
          <cell r="AJ1691">
            <v>447.31610337972165</v>
          </cell>
          <cell r="AK1691">
            <v>357.85288270377731</v>
          </cell>
          <cell r="AL1691">
            <v>715.70576540755462</v>
          </cell>
          <cell r="AM1691">
            <v>447.31610337972165</v>
          </cell>
          <cell r="AN1691">
            <v>715.70576540755462</v>
          </cell>
          <cell r="AO1691">
            <v>894.63220675944331</v>
          </cell>
          <cell r="AP1691">
            <v>894.63220675944331</v>
          </cell>
          <cell r="AQ1691">
            <v>447.31610337972165</v>
          </cell>
          <cell r="AR1691">
            <v>447.31610337972165</v>
          </cell>
          <cell r="AS1691">
            <v>536.77932405566594</v>
          </cell>
          <cell r="AT1691">
            <v>1073.5586481113319</v>
          </cell>
          <cell r="AU1691">
            <v>536.77932405566594</v>
          </cell>
          <cell r="AV1691">
            <v>1073.5586481113319</v>
          </cell>
          <cell r="AW1691">
            <v>536.77932405566594</v>
          </cell>
          <cell r="AX1691">
            <v>1073.5586481113319</v>
          </cell>
          <cell r="AY1691">
            <v>1073.5586481113319</v>
          </cell>
          <cell r="AZ1691">
            <v>0</v>
          </cell>
          <cell r="BA1691">
            <v>0</v>
          </cell>
          <cell r="BB1691">
            <v>1073.5586481113319</v>
          </cell>
          <cell r="BC1691">
            <v>1073.5586481113319</v>
          </cell>
          <cell r="BD1691">
            <v>1073.5586481113319</v>
          </cell>
          <cell r="BE1691">
            <v>1073.5586481113319</v>
          </cell>
          <cell r="BF1691">
            <v>1073.5586481113319</v>
          </cell>
          <cell r="BG1691">
            <v>1073.5586481113319</v>
          </cell>
          <cell r="BH1691">
            <v>1073.5586481113319</v>
          </cell>
          <cell r="BI1691">
            <v>1073.5586481113319</v>
          </cell>
          <cell r="BJ1691">
            <v>1073.5586481113319</v>
          </cell>
          <cell r="BK1691">
            <v>0</v>
          </cell>
          <cell r="BL1691">
            <v>0</v>
          </cell>
          <cell r="BM1691">
            <v>0</v>
          </cell>
          <cell r="BN1691">
            <v>0</v>
          </cell>
          <cell r="BO1691">
            <v>0</v>
          </cell>
          <cell r="BP1691">
            <v>0</v>
          </cell>
          <cell r="BQ1691">
            <v>0</v>
          </cell>
          <cell r="BR1691">
            <v>0</v>
          </cell>
          <cell r="BS1691">
            <v>0</v>
          </cell>
          <cell r="BT1691">
            <v>0</v>
          </cell>
          <cell r="BU1691">
            <v>0</v>
          </cell>
          <cell r="BV1691">
            <v>0</v>
          </cell>
        </row>
        <row r="1692">
          <cell r="A1692" t="str">
            <v>Opel</v>
          </cell>
          <cell r="B1692" t="str">
            <v>FHR&amp;ARM</v>
          </cell>
          <cell r="D1692" t="str">
            <v>FHR</v>
          </cell>
          <cell r="Z1692">
            <v>1265.625</v>
          </cell>
          <cell r="AA1692">
            <v>1265.625</v>
          </cell>
          <cell r="AB1692">
            <v>843.75</v>
          </cell>
          <cell r="AC1692">
            <v>843.75</v>
          </cell>
          <cell r="AD1692">
            <v>759.375</v>
          </cell>
          <cell r="AE1692">
            <v>1265.625</v>
          </cell>
          <cell r="AF1692">
            <v>1265.625</v>
          </cell>
          <cell r="AG1692">
            <v>1265.625</v>
          </cell>
          <cell r="AH1692">
            <v>1265.625</v>
          </cell>
          <cell r="AI1692">
            <v>1265.625</v>
          </cell>
          <cell r="AJ1692">
            <v>1265.625</v>
          </cell>
          <cell r="AK1692">
            <v>1012.5</v>
          </cell>
          <cell r="AL1692">
            <v>1012.5</v>
          </cell>
          <cell r="AM1692">
            <v>1265.625</v>
          </cell>
          <cell r="AN1692">
            <v>1350</v>
          </cell>
          <cell r="AO1692">
            <v>1687.5</v>
          </cell>
          <cell r="AP1692">
            <v>1687.5</v>
          </cell>
          <cell r="AQ1692">
            <v>1687.5</v>
          </cell>
          <cell r="AR1692">
            <v>1687.5</v>
          </cell>
          <cell r="AS1692">
            <v>1687.5</v>
          </cell>
          <cell r="AT1692">
            <v>1856.2500000000002</v>
          </cell>
          <cell r="AU1692">
            <v>1856.2500000000002</v>
          </cell>
          <cell r="AV1692">
            <v>2227.5000000000005</v>
          </cell>
          <cell r="AW1692">
            <v>2227.5000000000005</v>
          </cell>
          <cell r="AX1692">
            <v>2227.5000000000005</v>
          </cell>
          <cell r="AY1692">
            <v>2227.5000000000005</v>
          </cell>
          <cell r="AZ1692">
            <v>0</v>
          </cell>
          <cell r="BA1692">
            <v>0</v>
          </cell>
          <cell r="BB1692">
            <v>1856.2500000000002</v>
          </cell>
          <cell r="BC1692">
            <v>1856.2500000000002</v>
          </cell>
          <cell r="BD1692">
            <v>1856.2500000000002</v>
          </cell>
          <cell r="BE1692">
            <v>1856.2500000000002</v>
          </cell>
          <cell r="BF1692">
            <v>1856.2500000000002</v>
          </cell>
          <cell r="BG1692">
            <v>1856.2500000000002</v>
          </cell>
          <cell r="BH1692">
            <v>1856.2500000000002</v>
          </cell>
          <cell r="BI1692">
            <v>1856.2500000000002</v>
          </cell>
          <cell r="BJ1692">
            <v>1856.2500000000002</v>
          </cell>
          <cell r="BK1692">
            <v>0</v>
          </cell>
          <cell r="BL1692">
            <v>0</v>
          </cell>
          <cell r="BM1692">
            <v>0</v>
          </cell>
          <cell r="BN1692">
            <v>0</v>
          </cell>
          <cell r="BO1692">
            <v>0</v>
          </cell>
          <cell r="BP1692">
            <v>0</v>
          </cell>
          <cell r="BQ1692">
            <v>0</v>
          </cell>
          <cell r="BR1692">
            <v>0</v>
          </cell>
          <cell r="BS1692">
            <v>0</v>
          </cell>
          <cell r="BT1692">
            <v>0</v>
          </cell>
          <cell r="BU1692">
            <v>0</v>
          </cell>
          <cell r="BV1692">
            <v>0</v>
          </cell>
        </row>
        <row r="1693">
          <cell r="A1693" t="str">
            <v>Opel</v>
          </cell>
          <cell r="B1693" t="str">
            <v>FHR&amp;ARM</v>
          </cell>
          <cell r="D1693">
            <v>0</v>
          </cell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</row>
        <row r="1694">
          <cell r="A1694" t="str">
            <v>Opel</v>
          </cell>
          <cell r="B1694" t="str">
            <v>FHR&amp;ARM</v>
          </cell>
          <cell r="D1694">
            <v>0</v>
          </cell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</row>
        <row r="1695">
          <cell r="A1695" t="str">
            <v>Opel</v>
          </cell>
          <cell r="B1695" t="str">
            <v>FHR&amp;ARM</v>
          </cell>
          <cell r="D1695">
            <v>0</v>
          </cell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</row>
        <row r="1696">
          <cell r="A1696" t="str">
            <v>Opel</v>
          </cell>
          <cell r="B1696" t="str">
            <v>FHR&amp;ARM</v>
          </cell>
          <cell r="D1696" t="str">
            <v>Weekly demand</v>
          </cell>
          <cell r="Z1696">
            <v>1712.9411033797217</v>
          </cell>
          <cell r="AA1696">
            <v>1712.9411033797217</v>
          </cell>
          <cell r="AB1696">
            <v>1738.3822067594433</v>
          </cell>
          <cell r="AC1696">
            <v>1738.3822067594433</v>
          </cell>
          <cell r="AD1696">
            <v>1027.7646620278329</v>
          </cell>
          <cell r="AE1696">
            <v>1712.9411033797217</v>
          </cell>
          <cell r="AF1696">
            <v>1712.9411033797217</v>
          </cell>
          <cell r="AG1696">
            <v>1712.9411033797217</v>
          </cell>
          <cell r="AH1696">
            <v>1712.9411033797217</v>
          </cell>
          <cell r="AI1696">
            <v>1712.9411033797217</v>
          </cell>
          <cell r="AJ1696">
            <v>1712.9411033797217</v>
          </cell>
          <cell r="AK1696">
            <v>1370.3528827037774</v>
          </cell>
          <cell r="AL1696">
            <v>1728.2057654075547</v>
          </cell>
          <cell r="AM1696">
            <v>1712.9411033797217</v>
          </cell>
          <cell r="AN1696">
            <v>2065.7057654075547</v>
          </cell>
          <cell r="AO1696">
            <v>2582.1322067594433</v>
          </cell>
          <cell r="AP1696">
            <v>2582.1322067594433</v>
          </cell>
          <cell r="AQ1696">
            <v>2134.8161033797214</v>
          </cell>
          <cell r="AR1696">
            <v>2134.8161033797214</v>
          </cell>
          <cell r="AS1696">
            <v>2224.2793240556657</v>
          </cell>
          <cell r="AT1696">
            <v>2929.8086481113323</v>
          </cell>
          <cell r="AU1696">
            <v>2393.0293240556662</v>
          </cell>
          <cell r="AV1696">
            <v>3301.0586481113323</v>
          </cell>
          <cell r="AW1696">
            <v>2764.2793240556666</v>
          </cell>
          <cell r="AX1696">
            <v>3301.0586481113323</v>
          </cell>
          <cell r="AY1696">
            <v>3301.0586481113323</v>
          </cell>
          <cell r="AZ1696">
            <v>0</v>
          </cell>
          <cell r="BA1696">
            <v>0</v>
          </cell>
          <cell r="BB1696">
            <v>2929.8086481113323</v>
          </cell>
          <cell r="BC1696">
            <v>2929.8086481113323</v>
          </cell>
          <cell r="BD1696">
            <v>2929.8086481113323</v>
          </cell>
          <cell r="BE1696">
            <v>2929.8086481113323</v>
          </cell>
          <cell r="BF1696">
            <v>2929.8086481113323</v>
          </cell>
          <cell r="BG1696">
            <v>2929.8086481113323</v>
          </cell>
          <cell r="BH1696">
            <v>2929.8086481113323</v>
          </cell>
          <cell r="BI1696">
            <v>2929.8086481113323</v>
          </cell>
          <cell r="BJ1696">
            <v>2929.8086481113323</v>
          </cell>
          <cell r="BK1696">
            <v>0</v>
          </cell>
          <cell r="BL1696">
            <v>0</v>
          </cell>
          <cell r="BM1696">
            <v>0</v>
          </cell>
          <cell r="BN1696">
            <v>0</v>
          </cell>
          <cell r="BO1696">
            <v>0</v>
          </cell>
          <cell r="BP1696">
            <v>0</v>
          </cell>
          <cell r="BQ1696">
            <v>0</v>
          </cell>
          <cell r="BR1696">
            <v>0</v>
          </cell>
          <cell r="BS1696">
            <v>0</v>
          </cell>
          <cell r="BT1696">
            <v>0</v>
          </cell>
          <cell r="BU1696">
            <v>0</v>
          </cell>
          <cell r="BV1696">
            <v>0</v>
          </cell>
        </row>
        <row r="1697">
          <cell r="A1697" t="str">
            <v>Opel</v>
          </cell>
          <cell r="B1697" t="str">
            <v>FHR&amp;ARM</v>
          </cell>
          <cell r="D1697" t="str">
            <v>Stock Target</v>
          </cell>
          <cell r="Z1697">
            <v>600</v>
          </cell>
          <cell r="AA1697">
            <v>600</v>
          </cell>
          <cell r="AB1697">
            <v>600</v>
          </cell>
          <cell r="AC1697">
            <v>600</v>
          </cell>
          <cell r="AD1697">
            <v>600</v>
          </cell>
          <cell r="AE1697">
            <v>600</v>
          </cell>
          <cell r="AF1697">
            <v>600</v>
          </cell>
          <cell r="AG1697">
            <v>600</v>
          </cell>
          <cell r="AH1697">
            <v>600</v>
          </cell>
          <cell r="AI1697">
            <v>2527</v>
          </cell>
          <cell r="AJ1697">
            <v>2528</v>
          </cell>
          <cell r="AK1697">
            <v>2529</v>
          </cell>
          <cell r="AL1697">
            <v>2530</v>
          </cell>
          <cell r="AM1697">
            <v>2531</v>
          </cell>
          <cell r="AN1697">
            <v>2532</v>
          </cell>
          <cell r="AO1697">
            <v>2533</v>
          </cell>
          <cell r="AP1697">
            <v>2534</v>
          </cell>
          <cell r="AQ1697">
            <v>2535</v>
          </cell>
          <cell r="AR1697">
            <v>2536</v>
          </cell>
          <cell r="AS1697">
            <v>2537</v>
          </cell>
          <cell r="AT1697">
            <v>2538</v>
          </cell>
          <cell r="AU1697">
            <v>2539</v>
          </cell>
          <cell r="AV1697">
            <v>2540</v>
          </cell>
          <cell r="AW1697">
            <v>2541</v>
          </cell>
          <cell r="AX1697">
            <v>2542</v>
          </cell>
          <cell r="AY1697">
            <v>2543</v>
          </cell>
          <cell r="AZ1697">
            <v>2544</v>
          </cell>
          <cell r="BA1697">
            <v>2545</v>
          </cell>
          <cell r="BB1697">
            <v>2546</v>
          </cell>
          <cell r="BC1697">
            <v>2547</v>
          </cell>
          <cell r="BD1697">
            <v>2548</v>
          </cell>
          <cell r="BE1697">
            <v>2549</v>
          </cell>
          <cell r="BF1697">
            <v>2550</v>
          </cell>
          <cell r="BG1697">
            <v>2551</v>
          </cell>
          <cell r="BH1697">
            <v>2552</v>
          </cell>
          <cell r="BI1697">
            <v>2553</v>
          </cell>
          <cell r="BJ1697">
            <v>2554</v>
          </cell>
          <cell r="BK1697">
            <v>2555</v>
          </cell>
          <cell r="BL1697">
            <v>2556</v>
          </cell>
          <cell r="BM1697">
            <v>2557</v>
          </cell>
          <cell r="BN1697">
            <v>2558</v>
          </cell>
          <cell r="BO1697">
            <v>2559</v>
          </cell>
          <cell r="BP1697">
            <v>2560</v>
          </cell>
          <cell r="BQ1697">
            <v>2561</v>
          </cell>
          <cell r="BR1697">
            <v>2562</v>
          </cell>
          <cell r="BS1697">
            <v>2563</v>
          </cell>
          <cell r="BT1697">
            <v>2564</v>
          </cell>
          <cell r="BU1697">
            <v>2565</v>
          </cell>
          <cell r="BV1697">
            <v>2566</v>
          </cell>
        </row>
        <row r="1698">
          <cell r="A1698" t="str">
            <v>Opel</v>
          </cell>
          <cell r="B1698" t="str">
            <v>FHR&amp;ARM</v>
          </cell>
          <cell r="D1698" t="str">
            <v>ARM</v>
          </cell>
          <cell r="Z1698">
            <v>630</v>
          </cell>
          <cell r="AA1698">
            <v>756</v>
          </cell>
          <cell r="AB1698">
            <v>-138.63220675944331</v>
          </cell>
          <cell r="AC1698">
            <v>-1033.2644135188866</v>
          </cell>
          <cell r="AD1698">
            <v>-1301.6540755467195</v>
          </cell>
          <cell r="AE1698">
            <v>-1748.9701789264411</v>
          </cell>
          <cell r="AF1698">
            <v>-2196.2862823061628</v>
          </cell>
          <cell r="AG1698">
            <v>-2643.6023856858847</v>
          </cell>
          <cell r="AH1698">
            <v>-3090.9184890656061</v>
          </cell>
          <cell r="AI1698">
            <v>-3538.2345924453275</v>
          </cell>
          <cell r="AJ1698">
            <v>-3985.5506958250489</v>
          </cell>
          <cell r="AK1698">
            <v>-4343.4035785288261</v>
          </cell>
          <cell r="AL1698">
            <v>-5059.1093439363804</v>
          </cell>
          <cell r="AM1698">
            <v>-5506.4254473161018</v>
          </cell>
          <cell r="AN1698">
            <v>-6222.1312127236561</v>
          </cell>
          <cell r="AO1698">
            <v>-7116.7634194830989</v>
          </cell>
          <cell r="AP1698">
            <v>-8011.3956262425418</v>
          </cell>
          <cell r="AQ1698">
            <v>-8458.7117296222641</v>
          </cell>
          <cell r="AR1698">
            <v>-8906.0278330019864</v>
          </cell>
          <cell r="AS1698">
            <v>-9442.8071570576521</v>
          </cell>
          <cell r="AT1698">
            <v>-10516.365805168984</v>
          </cell>
          <cell r="AU1698">
            <v>-11053.145129224649</v>
          </cell>
          <cell r="AV1698">
            <v>-12126.703777335981</v>
          </cell>
          <cell r="AW1698">
            <v>-12663.483101391646</v>
          </cell>
          <cell r="AX1698">
            <v>-13737.041749502978</v>
          </cell>
          <cell r="AY1698">
            <v>-14810.600397614309</v>
          </cell>
          <cell r="AZ1698">
            <v>-14810.600397614309</v>
          </cell>
          <cell r="BA1698">
            <v>-14810.600397614309</v>
          </cell>
          <cell r="BB1698">
            <v>-15884.159045725641</v>
          </cell>
          <cell r="BC1698">
            <v>-16957.717693836974</v>
          </cell>
          <cell r="BD1698">
            <v>-18031.276341948305</v>
          </cell>
          <cell r="BE1698">
            <v>-19104.834990059637</v>
          </cell>
          <cell r="BF1698">
            <v>-20178.393638170968</v>
          </cell>
          <cell r="BG1698">
            <v>-21251.9522862823</v>
          </cell>
          <cell r="BH1698">
            <v>-22325.510934393631</v>
          </cell>
          <cell r="BI1698">
            <v>-23399.069582504962</v>
          </cell>
          <cell r="BJ1698">
            <v>-24472.628230616294</v>
          </cell>
          <cell r="BK1698">
            <v>-24472.628230616294</v>
          </cell>
          <cell r="BL1698">
            <v>-24472.628230616294</v>
          </cell>
          <cell r="BM1698">
            <v>-24472.628230616294</v>
          </cell>
          <cell r="BN1698">
            <v>-24472.628230616294</v>
          </cell>
          <cell r="BO1698">
            <v>-24472.628230616294</v>
          </cell>
          <cell r="BP1698">
            <v>-24472.628230616294</v>
          </cell>
          <cell r="BQ1698">
            <v>-24472.628230616294</v>
          </cell>
          <cell r="BR1698">
            <v>-24472.628230616294</v>
          </cell>
          <cell r="BS1698">
            <v>-24472.628230616294</v>
          </cell>
          <cell r="BT1698">
            <v>-24472.628230616294</v>
          </cell>
          <cell r="BU1698">
            <v>-24472.628230616294</v>
          </cell>
          <cell r="BV1698">
            <v>-24472.628230616294</v>
          </cell>
        </row>
        <row r="1699">
          <cell r="A1699" t="str">
            <v>Opel</v>
          </cell>
          <cell r="B1699" t="str">
            <v>FHR&amp;ARM</v>
          </cell>
          <cell r="D1699" t="str">
            <v>FHR</v>
          </cell>
          <cell r="Z1699">
            <v>0</v>
          </cell>
          <cell r="AA1699">
            <v>0</v>
          </cell>
          <cell r="AB1699">
            <v>-843.75</v>
          </cell>
          <cell r="AC1699">
            <v>-1687.5</v>
          </cell>
          <cell r="AD1699">
            <v>-2446.875</v>
          </cell>
          <cell r="AE1699">
            <v>-3712.5</v>
          </cell>
          <cell r="AF1699">
            <v>-4978.125</v>
          </cell>
          <cell r="AG1699">
            <v>-6243.75</v>
          </cell>
          <cell r="AH1699">
            <v>-7509.375</v>
          </cell>
          <cell r="AI1699">
            <v>-8775</v>
          </cell>
          <cell r="AJ1699">
            <v>-10040.625</v>
          </cell>
          <cell r="AK1699">
            <v>-11053.125</v>
          </cell>
          <cell r="AL1699">
            <v>-12065.625</v>
          </cell>
          <cell r="AM1699">
            <v>-13331.25</v>
          </cell>
          <cell r="AN1699">
            <v>-14681.25</v>
          </cell>
          <cell r="AO1699">
            <v>-16368.75</v>
          </cell>
          <cell r="AP1699">
            <v>-18056.25</v>
          </cell>
          <cell r="AQ1699">
            <v>-19743.75</v>
          </cell>
          <cell r="AR1699">
            <v>-21431.25</v>
          </cell>
          <cell r="AS1699">
            <v>-23118.75</v>
          </cell>
          <cell r="AT1699">
            <v>-24975</v>
          </cell>
          <cell r="AU1699">
            <v>-26831.25</v>
          </cell>
          <cell r="AV1699">
            <v>-29058.75</v>
          </cell>
          <cell r="AW1699">
            <v>-31286.25</v>
          </cell>
          <cell r="AX1699">
            <v>-33513.75</v>
          </cell>
          <cell r="AY1699">
            <v>-35741.25</v>
          </cell>
          <cell r="AZ1699">
            <v>-35741.25</v>
          </cell>
          <cell r="BA1699">
            <v>-35741.25</v>
          </cell>
          <cell r="BB1699">
            <v>-37597.5</v>
          </cell>
          <cell r="BC1699">
            <v>-39453.75</v>
          </cell>
          <cell r="BD1699">
            <v>-41310</v>
          </cell>
          <cell r="BE1699">
            <v>-43166.25</v>
          </cell>
          <cell r="BF1699">
            <v>-45022.5</v>
          </cell>
          <cell r="BG1699">
            <v>-46878.75</v>
          </cell>
          <cell r="BH1699">
            <v>-48735</v>
          </cell>
          <cell r="BI1699">
            <v>-50591.25</v>
          </cell>
          <cell r="BJ1699">
            <v>-52447.5</v>
          </cell>
          <cell r="BK1699">
            <v>-52447.5</v>
          </cell>
          <cell r="BL1699">
            <v>-52447.5</v>
          </cell>
          <cell r="BM1699">
            <v>-52447.5</v>
          </cell>
          <cell r="BN1699">
            <v>-52447.5</v>
          </cell>
          <cell r="BO1699">
            <v>-52447.5</v>
          </cell>
          <cell r="BP1699">
            <v>-52447.5</v>
          </cell>
          <cell r="BQ1699">
            <v>-52447.5</v>
          </cell>
          <cell r="BR1699">
            <v>-52447.5</v>
          </cell>
          <cell r="BS1699">
            <v>-52447.5</v>
          </cell>
          <cell r="BT1699">
            <v>-52447.5</v>
          </cell>
          <cell r="BU1699">
            <v>-52447.5</v>
          </cell>
          <cell r="BV1699">
            <v>-52447.5</v>
          </cell>
        </row>
        <row r="1700">
          <cell r="A1700" t="str">
            <v>Opel</v>
          </cell>
          <cell r="B1700" t="str">
            <v>FHR&amp;ARM</v>
          </cell>
          <cell r="D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</row>
        <row r="1701">
          <cell r="A1701" t="str">
            <v>Opel</v>
          </cell>
          <cell r="B1701" t="str">
            <v>FHR&amp;ARM</v>
          </cell>
          <cell r="D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</row>
        <row r="1702">
          <cell r="A1702" t="str">
            <v>Opel</v>
          </cell>
          <cell r="B1702" t="str">
            <v>FHR&amp;ARM</v>
          </cell>
          <cell r="D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</row>
        <row r="1703">
          <cell r="A1703" t="str">
            <v>Opel</v>
          </cell>
          <cell r="B1703" t="str">
            <v>FHR&amp;ARM</v>
          </cell>
          <cell r="D1703" t="str">
            <v>STOCK</v>
          </cell>
          <cell r="Z1703">
            <v>630</v>
          </cell>
          <cell r="AA1703">
            <v>578.59735815873978</v>
          </cell>
          <cell r="AB1703">
            <v>501.75361293775791</v>
          </cell>
          <cell r="AC1703">
            <v>424.90986771677603</v>
          </cell>
          <cell r="AD1703">
            <v>394.06828261201997</v>
          </cell>
          <cell r="AE1703">
            <v>342.66564077075964</v>
          </cell>
          <cell r="AF1703">
            <v>291.26299892949942</v>
          </cell>
          <cell r="AG1703">
            <v>239.8603570882392</v>
          </cell>
          <cell r="AH1703">
            <v>603.84233063159422</v>
          </cell>
          <cell r="AI1703">
            <v>967.82430417494925</v>
          </cell>
          <cell r="AJ1703">
            <v>1331.8062777183043</v>
          </cell>
          <cell r="AK1703">
            <v>1622.9918565529883</v>
          </cell>
          <cell r="AL1703">
            <v>1556.324552683895</v>
          </cell>
          <cell r="AM1703">
            <v>1920.3065262272501</v>
          </cell>
          <cell r="AN1703">
            <v>1516.1392223581568</v>
          </cell>
          <cell r="AO1703">
            <v>1010.9300925217901</v>
          </cell>
          <cell r="AP1703">
            <v>505.7209626854235</v>
          </cell>
          <cell r="AQ1703">
            <v>447.82793622877875</v>
          </cell>
          <cell r="AR1703">
            <v>389.93490977213401</v>
          </cell>
          <cell r="AS1703">
            <v>242.57866263954497</v>
          </cell>
          <cell r="AT1703">
            <v>-194.92229316409566</v>
          </cell>
          <cell r="AU1703">
            <v>-95.643924912069906</v>
          </cell>
          <cell r="AV1703">
            <v>-489.01026533109507</v>
          </cell>
          <cell r="AW1703">
            <v>-345.59728169445452</v>
          </cell>
          <cell r="AX1703">
            <v>-738.96362211347969</v>
          </cell>
          <cell r="AY1703">
            <v>-1132.3299625325049</v>
          </cell>
          <cell r="AZ1703">
            <v>-1132.3299625325049</v>
          </cell>
          <cell r="BA1703">
            <v>-1132.3299625325049</v>
          </cell>
          <cell r="BB1703">
            <v>-1154.44630295153</v>
          </cell>
          <cell r="BC1703">
            <v>-1176.5626433705552</v>
          </cell>
          <cell r="BD1703">
            <v>-1198.6789837895808</v>
          </cell>
          <cell r="BE1703">
            <v>-1220.7953242086055</v>
          </cell>
          <cell r="BF1703">
            <v>-1242.9116646276302</v>
          </cell>
          <cell r="BG1703">
            <v>-1265.0280050466549</v>
          </cell>
          <cell r="BH1703">
            <v>-1287.1443454656796</v>
          </cell>
          <cell r="BI1703">
            <v>-1309.2606858847043</v>
          </cell>
          <cell r="BJ1703">
            <v>-1539.0693339960362</v>
          </cell>
          <cell r="BK1703">
            <v>-292.91548784219026</v>
          </cell>
          <cell r="BL1703">
            <v>454.77681985011736</v>
          </cell>
          <cell r="BM1703">
            <v>1202.469127542425</v>
          </cell>
          <cell r="BN1703">
            <v>1950.1614352347326</v>
          </cell>
          <cell r="BO1703">
            <v>2697.85374292704</v>
          </cell>
          <cell r="BP1703">
            <v>3445.5460506193476</v>
          </cell>
          <cell r="BQ1703">
            <v>4193.2383583116552</v>
          </cell>
          <cell r="BR1703">
            <v>4940.9306660039629</v>
          </cell>
          <cell r="BS1703">
            <v>5688.6229736962705</v>
          </cell>
          <cell r="BT1703">
            <v>6436.3152813885781</v>
          </cell>
          <cell r="BU1703">
            <v>7184.0075890808857</v>
          </cell>
          <cell r="BV1703">
            <v>7931.6998967731934</v>
          </cell>
        </row>
        <row r="1704">
          <cell r="A1704" t="str">
            <v>Blank</v>
          </cell>
          <cell r="B1704" t="str">
            <v>Blank</v>
          </cell>
          <cell r="D1704" t="str">
            <v>Blank</v>
          </cell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</row>
        <row r="1705">
          <cell r="A1705" t="str">
            <v>Volvo</v>
          </cell>
          <cell r="B1705" t="str">
            <v>ROHR</v>
          </cell>
          <cell r="D1705" t="str">
            <v>Work days</v>
          </cell>
          <cell r="Z1705">
            <v>5</v>
          </cell>
          <cell r="AA1705">
            <v>5</v>
          </cell>
          <cell r="AB1705">
            <v>5</v>
          </cell>
          <cell r="AC1705">
            <v>5</v>
          </cell>
          <cell r="AD1705">
            <v>3</v>
          </cell>
          <cell r="AE1705">
            <v>5</v>
          </cell>
          <cell r="AF1705">
            <v>5</v>
          </cell>
          <cell r="AG1705">
            <v>5</v>
          </cell>
          <cell r="AH1705">
            <v>5</v>
          </cell>
          <cell r="AI1705">
            <v>5</v>
          </cell>
          <cell r="AJ1705">
            <v>5</v>
          </cell>
          <cell r="AK1705">
            <v>4</v>
          </cell>
          <cell r="AL1705">
            <v>4</v>
          </cell>
          <cell r="AM1705">
            <v>5</v>
          </cell>
          <cell r="AN1705">
            <v>4</v>
          </cell>
          <cell r="AO1705">
            <v>5</v>
          </cell>
          <cell r="AP1705">
            <v>5</v>
          </cell>
          <cell r="AQ1705">
            <v>5</v>
          </cell>
          <cell r="AR1705">
            <v>5</v>
          </cell>
          <cell r="AS1705">
            <v>5</v>
          </cell>
          <cell r="AT1705">
            <v>5</v>
          </cell>
          <cell r="AU1705">
            <v>5</v>
          </cell>
          <cell r="AV1705">
            <v>5</v>
          </cell>
          <cell r="AW1705">
            <v>5</v>
          </cell>
          <cell r="AX1705">
            <v>5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5</v>
          </cell>
          <cell r="BD1705">
            <v>5</v>
          </cell>
          <cell r="BE1705">
            <v>5</v>
          </cell>
          <cell r="BF1705">
            <v>5</v>
          </cell>
          <cell r="BG1705">
            <v>5</v>
          </cell>
          <cell r="BH1705">
            <v>5</v>
          </cell>
          <cell r="BI1705">
            <v>5</v>
          </cell>
          <cell r="BJ1705">
            <v>5</v>
          </cell>
          <cell r="BK1705">
            <v>5</v>
          </cell>
          <cell r="BL1705">
            <v>3</v>
          </cell>
          <cell r="BM1705">
            <v>3</v>
          </cell>
          <cell r="BN1705">
            <v>3</v>
          </cell>
          <cell r="BO1705">
            <v>3</v>
          </cell>
          <cell r="BP1705">
            <v>3</v>
          </cell>
          <cell r="BQ1705">
            <v>3</v>
          </cell>
          <cell r="BR1705">
            <v>3</v>
          </cell>
          <cell r="BS1705">
            <v>3</v>
          </cell>
          <cell r="BT1705">
            <v>3</v>
          </cell>
          <cell r="BU1705">
            <v>3</v>
          </cell>
          <cell r="BV1705">
            <v>3</v>
          </cell>
        </row>
        <row r="1706">
          <cell r="A1706" t="str">
            <v>Volvo</v>
          </cell>
          <cell r="B1706" t="str">
            <v>ROHR</v>
          </cell>
          <cell r="D1706" t="str">
            <v>SHIFT A HC - operators</v>
          </cell>
          <cell r="Z1706">
            <v>7</v>
          </cell>
          <cell r="AA1706">
            <v>7</v>
          </cell>
          <cell r="AB1706">
            <v>7</v>
          </cell>
          <cell r="AC1706">
            <v>7</v>
          </cell>
          <cell r="AD1706">
            <v>7</v>
          </cell>
          <cell r="AE1706">
            <v>7</v>
          </cell>
          <cell r="AF1706">
            <v>7</v>
          </cell>
          <cell r="AG1706">
            <v>7</v>
          </cell>
          <cell r="AH1706">
            <v>7</v>
          </cell>
          <cell r="AI1706">
            <v>7</v>
          </cell>
          <cell r="AJ1706">
            <v>7</v>
          </cell>
          <cell r="AK1706">
            <v>7</v>
          </cell>
          <cell r="AL1706">
            <v>7</v>
          </cell>
          <cell r="AM1706">
            <v>7</v>
          </cell>
          <cell r="AN1706">
            <v>7</v>
          </cell>
          <cell r="AO1706">
            <v>7</v>
          </cell>
          <cell r="AP1706">
            <v>7</v>
          </cell>
          <cell r="AQ1706">
            <v>7</v>
          </cell>
          <cell r="AR1706">
            <v>7</v>
          </cell>
          <cell r="AS1706">
            <v>7</v>
          </cell>
          <cell r="AT1706">
            <v>7</v>
          </cell>
          <cell r="AU1706">
            <v>7</v>
          </cell>
          <cell r="AV1706">
            <v>7</v>
          </cell>
          <cell r="AW1706">
            <v>7</v>
          </cell>
          <cell r="AX1706">
            <v>7</v>
          </cell>
          <cell r="AY1706">
            <v>7</v>
          </cell>
          <cell r="AZ1706">
            <v>7</v>
          </cell>
          <cell r="BA1706">
            <v>7</v>
          </cell>
          <cell r="BB1706">
            <v>7</v>
          </cell>
          <cell r="BC1706">
            <v>7</v>
          </cell>
          <cell r="BD1706">
            <v>7</v>
          </cell>
          <cell r="BE1706">
            <v>7</v>
          </cell>
          <cell r="BF1706">
            <v>7</v>
          </cell>
          <cell r="BG1706">
            <v>7</v>
          </cell>
          <cell r="BH1706">
            <v>7</v>
          </cell>
          <cell r="BI1706">
            <v>7</v>
          </cell>
          <cell r="BJ1706">
            <v>7</v>
          </cell>
          <cell r="BK1706">
            <v>3</v>
          </cell>
          <cell r="BL1706">
            <v>3</v>
          </cell>
          <cell r="BM1706">
            <v>3</v>
          </cell>
          <cell r="BN1706">
            <v>3</v>
          </cell>
          <cell r="BO1706">
            <v>3</v>
          </cell>
          <cell r="BP1706">
            <v>3</v>
          </cell>
          <cell r="BQ1706">
            <v>3</v>
          </cell>
          <cell r="BR1706">
            <v>3</v>
          </cell>
          <cell r="BS1706">
            <v>3</v>
          </cell>
          <cell r="BT1706">
            <v>3</v>
          </cell>
          <cell r="BU1706">
            <v>3</v>
          </cell>
          <cell r="BV1706">
            <v>3</v>
          </cell>
        </row>
        <row r="1707">
          <cell r="A1707" t="str">
            <v>Volvo</v>
          </cell>
          <cell r="B1707" t="str">
            <v>ROHR</v>
          </cell>
          <cell r="D1707" t="str">
            <v>SHIFT B HC  - operators</v>
          </cell>
          <cell r="Z1707">
            <v>7</v>
          </cell>
          <cell r="AA1707">
            <v>7</v>
          </cell>
          <cell r="AB1707">
            <v>7</v>
          </cell>
          <cell r="AC1707">
            <v>7</v>
          </cell>
          <cell r="AD1707">
            <v>7</v>
          </cell>
          <cell r="AE1707">
            <v>7</v>
          </cell>
          <cell r="AF1707">
            <v>7</v>
          </cell>
          <cell r="AG1707">
            <v>7</v>
          </cell>
          <cell r="AH1707">
            <v>7</v>
          </cell>
          <cell r="AI1707">
            <v>7</v>
          </cell>
          <cell r="AJ1707">
            <v>7</v>
          </cell>
          <cell r="AK1707">
            <v>7</v>
          </cell>
          <cell r="AL1707">
            <v>7</v>
          </cell>
          <cell r="AM1707">
            <v>7</v>
          </cell>
          <cell r="AN1707">
            <v>7</v>
          </cell>
          <cell r="AO1707">
            <v>7</v>
          </cell>
          <cell r="AP1707">
            <v>7</v>
          </cell>
          <cell r="AQ1707">
            <v>7</v>
          </cell>
          <cell r="AR1707">
            <v>7</v>
          </cell>
          <cell r="AS1707">
            <v>7</v>
          </cell>
          <cell r="AT1707">
            <v>7</v>
          </cell>
          <cell r="AU1707">
            <v>7</v>
          </cell>
          <cell r="AV1707">
            <v>7</v>
          </cell>
          <cell r="AW1707">
            <v>7</v>
          </cell>
          <cell r="AX1707">
            <v>7</v>
          </cell>
          <cell r="AY1707">
            <v>7</v>
          </cell>
          <cell r="AZ1707">
            <v>7</v>
          </cell>
          <cell r="BA1707">
            <v>7</v>
          </cell>
          <cell r="BB1707">
            <v>7</v>
          </cell>
          <cell r="BC1707">
            <v>7</v>
          </cell>
          <cell r="BD1707">
            <v>7</v>
          </cell>
          <cell r="BE1707">
            <v>7</v>
          </cell>
          <cell r="BF1707">
            <v>7</v>
          </cell>
          <cell r="BG1707">
            <v>7</v>
          </cell>
          <cell r="BH1707">
            <v>7</v>
          </cell>
          <cell r="BI1707">
            <v>7</v>
          </cell>
          <cell r="BJ1707">
            <v>7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</row>
        <row r="1708">
          <cell r="A1708" t="str">
            <v>Volvo</v>
          </cell>
          <cell r="B1708" t="str">
            <v>ROHR</v>
          </cell>
          <cell r="D1708" t="str">
            <v>SHIFT C HC  - operators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</row>
        <row r="1709">
          <cell r="A1709" t="str">
            <v>Volvo</v>
          </cell>
          <cell r="B1709" t="str">
            <v>ROHR</v>
          </cell>
          <cell r="D1709" t="str">
            <v>Total HC</v>
          </cell>
          <cell r="Z1709">
            <v>14</v>
          </cell>
          <cell r="AA1709">
            <v>14</v>
          </cell>
          <cell r="AB1709">
            <v>14</v>
          </cell>
          <cell r="AC1709">
            <v>14</v>
          </cell>
          <cell r="AD1709">
            <v>14</v>
          </cell>
          <cell r="AE1709">
            <v>14</v>
          </cell>
          <cell r="AF1709">
            <v>14</v>
          </cell>
          <cell r="AG1709">
            <v>14</v>
          </cell>
          <cell r="AH1709">
            <v>14</v>
          </cell>
          <cell r="AI1709">
            <v>14</v>
          </cell>
          <cell r="AJ1709">
            <v>14</v>
          </cell>
          <cell r="AK1709">
            <v>14</v>
          </cell>
          <cell r="AL1709">
            <v>14</v>
          </cell>
          <cell r="AM1709">
            <v>14</v>
          </cell>
          <cell r="AN1709">
            <v>14</v>
          </cell>
          <cell r="AO1709">
            <v>14</v>
          </cell>
          <cell r="AP1709">
            <v>14</v>
          </cell>
          <cell r="AQ1709">
            <v>14</v>
          </cell>
          <cell r="AR1709">
            <v>14</v>
          </cell>
          <cell r="AS1709">
            <v>14</v>
          </cell>
          <cell r="AT1709">
            <v>14</v>
          </cell>
          <cell r="AU1709">
            <v>14</v>
          </cell>
          <cell r="AV1709">
            <v>14</v>
          </cell>
          <cell r="AW1709">
            <v>14</v>
          </cell>
          <cell r="AX1709">
            <v>14</v>
          </cell>
          <cell r="AY1709">
            <v>14</v>
          </cell>
          <cell r="AZ1709">
            <v>14</v>
          </cell>
          <cell r="BA1709">
            <v>14</v>
          </cell>
          <cell r="BB1709">
            <v>14</v>
          </cell>
          <cell r="BC1709">
            <v>14</v>
          </cell>
          <cell r="BD1709">
            <v>14</v>
          </cell>
          <cell r="BE1709">
            <v>14</v>
          </cell>
          <cell r="BF1709">
            <v>14</v>
          </cell>
          <cell r="BG1709">
            <v>14</v>
          </cell>
          <cell r="BH1709">
            <v>14</v>
          </cell>
          <cell r="BI1709">
            <v>14</v>
          </cell>
          <cell r="BJ1709">
            <v>14</v>
          </cell>
          <cell r="BK1709">
            <v>3</v>
          </cell>
          <cell r="BL1709">
            <v>3</v>
          </cell>
          <cell r="BM1709">
            <v>3</v>
          </cell>
          <cell r="BN1709">
            <v>3</v>
          </cell>
          <cell r="BO1709">
            <v>3</v>
          </cell>
          <cell r="BP1709">
            <v>3</v>
          </cell>
          <cell r="BQ1709">
            <v>3</v>
          </cell>
          <cell r="BR1709">
            <v>3</v>
          </cell>
          <cell r="BS1709">
            <v>3</v>
          </cell>
          <cell r="BT1709">
            <v>3</v>
          </cell>
          <cell r="BU1709">
            <v>3</v>
          </cell>
          <cell r="BV1709">
            <v>3</v>
          </cell>
        </row>
        <row r="1710">
          <cell r="A1710" t="str">
            <v>Volvo</v>
          </cell>
          <cell r="B1710" t="str">
            <v>ROHR</v>
          </cell>
          <cell r="D1710" t="str">
            <v>SHIFT A HC  - efficiency</v>
          </cell>
          <cell r="Z1710">
            <v>1.2</v>
          </cell>
          <cell r="AA1710">
            <v>1.2</v>
          </cell>
          <cell r="AB1710">
            <v>1.2</v>
          </cell>
          <cell r="AC1710">
            <v>1.2</v>
          </cell>
          <cell r="AD1710">
            <v>1.2</v>
          </cell>
          <cell r="AE1710">
            <v>1.2</v>
          </cell>
          <cell r="AF1710">
            <v>1.2</v>
          </cell>
          <cell r="AG1710">
            <v>1.2</v>
          </cell>
          <cell r="AH1710">
            <v>1.2</v>
          </cell>
          <cell r="AI1710">
            <v>1.2</v>
          </cell>
          <cell r="AJ1710">
            <v>1.2</v>
          </cell>
          <cell r="AK1710">
            <v>1.2</v>
          </cell>
          <cell r="AL1710">
            <v>1.2</v>
          </cell>
          <cell r="AM1710">
            <v>1.2</v>
          </cell>
          <cell r="AN1710">
            <v>1.2</v>
          </cell>
          <cell r="AO1710">
            <v>1.2</v>
          </cell>
          <cell r="AP1710">
            <v>1.2</v>
          </cell>
          <cell r="AQ1710">
            <v>1.2</v>
          </cell>
          <cell r="AR1710">
            <v>1.2</v>
          </cell>
          <cell r="AS1710">
            <v>1.2</v>
          </cell>
          <cell r="AT1710">
            <v>1.2</v>
          </cell>
          <cell r="AU1710">
            <v>1.2</v>
          </cell>
          <cell r="AV1710">
            <v>1.2</v>
          </cell>
          <cell r="AW1710">
            <v>1.2</v>
          </cell>
          <cell r="AX1710">
            <v>1.2</v>
          </cell>
          <cell r="AY1710">
            <v>1.2</v>
          </cell>
          <cell r="AZ1710">
            <v>1.2</v>
          </cell>
          <cell r="BA1710">
            <v>1.2</v>
          </cell>
          <cell r="BB1710">
            <v>1.2</v>
          </cell>
          <cell r="BC1710">
            <v>1.2</v>
          </cell>
          <cell r="BD1710">
            <v>1.2</v>
          </cell>
          <cell r="BE1710">
            <v>1.2</v>
          </cell>
          <cell r="BF1710">
            <v>1.2</v>
          </cell>
          <cell r="BG1710">
            <v>1.2</v>
          </cell>
          <cell r="BH1710">
            <v>1.2</v>
          </cell>
          <cell r="BI1710">
            <v>1.2</v>
          </cell>
          <cell r="BJ1710">
            <v>1.2</v>
          </cell>
          <cell r="BK1710">
            <v>1.2</v>
          </cell>
          <cell r="BL1710">
            <v>1.2</v>
          </cell>
          <cell r="BM1710">
            <v>1.2</v>
          </cell>
          <cell r="BN1710">
            <v>1.2</v>
          </cell>
          <cell r="BO1710">
            <v>1.2</v>
          </cell>
          <cell r="BP1710">
            <v>1.2</v>
          </cell>
          <cell r="BQ1710">
            <v>1.2</v>
          </cell>
          <cell r="BR1710">
            <v>1.2</v>
          </cell>
          <cell r="BS1710">
            <v>1.2</v>
          </cell>
          <cell r="BT1710">
            <v>1.2</v>
          </cell>
          <cell r="BU1710">
            <v>1.2</v>
          </cell>
          <cell r="BV1710">
            <v>1.2</v>
          </cell>
        </row>
        <row r="1711">
          <cell r="A1711" t="str">
            <v>Volvo</v>
          </cell>
          <cell r="B1711" t="str">
            <v>ROHR</v>
          </cell>
          <cell r="D1711" t="str">
            <v>SHIFT B HC  - efficiency</v>
          </cell>
          <cell r="Z1711">
            <v>1.2</v>
          </cell>
          <cell r="AA1711">
            <v>1.2</v>
          </cell>
          <cell r="AB1711">
            <v>1.2</v>
          </cell>
          <cell r="AC1711">
            <v>1.2</v>
          </cell>
          <cell r="AD1711">
            <v>1.2</v>
          </cell>
          <cell r="AE1711">
            <v>1.2</v>
          </cell>
          <cell r="AF1711">
            <v>1.2</v>
          </cell>
          <cell r="AG1711">
            <v>1.2</v>
          </cell>
          <cell r="AH1711">
            <v>1.2</v>
          </cell>
          <cell r="AI1711">
            <v>1.2</v>
          </cell>
          <cell r="AJ1711">
            <v>1.2</v>
          </cell>
          <cell r="AK1711">
            <v>1.2</v>
          </cell>
          <cell r="AL1711">
            <v>1.2</v>
          </cell>
          <cell r="AM1711">
            <v>1.2</v>
          </cell>
          <cell r="AN1711">
            <v>1.2</v>
          </cell>
          <cell r="AO1711">
            <v>1.2</v>
          </cell>
          <cell r="AP1711">
            <v>1.2</v>
          </cell>
          <cell r="AQ1711">
            <v>1.2</v>
          </cell>
          <cell r="AR1711">
            <v>1.2</v>
          </cell>
          <cell r="AS1711">
            <v>1.2</v>
          </cell>
          <cell r="AT1711">
            <v>1.2</v>
          </cell>
          <cell r="AU1711">
            <v>1.2</v>
          </cell>
          <cell r="AV1711">
            <v>1.2</v>
          </cell>
          <cell r="AW1711">
            <v>1.2</v>
          </cell>
          <cell r="AX1711">
            <v>1.2</v>
          </cell>
          <cell r="AY1711">
            <v>1.2</v>
          </cell>
          <cell r="AZ1711">
            <v>1.2</v>
          </cell>
          <cell r="BA1711">
            <v>1.2</v>
          </cell>
          <cell r="BB1711">
            <v>1.2</v>
          </cell>
          <cell r="BC1711">
            <v>1.2</v>
          </cell>
          <cell r="BD1711">
            <v>1.2</v>
          </cell>
          <cell r="BE1711">
            <v>1.2</v>
          </cell>
          <cell r="BF1711">
            <v>1.2</v>
          </cell>
          <cell r="BG1711">
            <v>1.2</v>
          </cell>
          <cell r="BH1711">
            <v>1.2</v>
          </cell>
          <cell r="BI1711">
            <v>1.2</v>
          </cell>
          <cell r="BJ1711">
            <v>1.2</v>
          </cell>
          <cell r="BK1711">
            <v>1</v>
          </cell>
          <cell r="BL1711">
            <v>1</v>
          </cell>
          <cell r="BM1711">
            <v>1</v>
          </cell>
          <cell r="BN1711">
            <v>1</v>
          </cell>
          <cell r="BO1711">
            <v>1</v>
          </cell>
          <cell r="BP1711">
            <v>1</v>
          </cell>
          <cell r="BQ1711">
            <v>1</v>
          </cell>
          <cell r="BR1711">
            <v>1</v>
          </cell>
          <cell r="BS1711">
            <v>1</v>
          </cell>
          <cell r="BT1711">
            <v>1</v>
          </cell>
          <cell r="BU1711">
            <v>1</v>
          </cell>
          <cell r="BV1711">
            <v>1</v>
          </cell>
        </row>
        <row r="1712">
          <cell r="A1712" t="str">
            <v>Volvo</v>
          </cell>
          <cell r="B1712" t="str">
            <v>ROHR</v>
          </cell>
          <cell r="D1712" t="str">
            <v>SHIFT C HC  - efficiency</v>
          </cell>
          <cell r="Z1712">
            <v>1</v>
          </cell>
          <cell r="AA1712">
            <v>1</v>
          </cell>
          <cell r="AB1712">
            <v>1</v>
          </cell>
          <cell r="AC1712">
            <v>1</v>
          </cell>
          <cell r="AD1712">
            <v>1</v>
          </cell>
          <cell r="AE1712">
            <v>1</v>
          </cell>
          <cell r="AF1712">
            <v>1</v>
          </cell>
          <cell r="AG1712">
            <v>1</v>
          </cell>
          <cell r="AH1712">
            <v>1</v>
          </cell>
          <cell r="AI1712">
            <v>1</v>
          </cell>
          <cell r="AJ1712">
            <v>1</v>
          </cell>
          <cell r="AK1712">
            <v>1</v>
          </cell>
          <cell r="AL1712">
            <v>1</v>
          </cell>
          <cell r="AM1712">
            <v>1</v>
          </cell>
          <cell r="AN1712">
            <v>1</v>
          </cell>
          <cell r="AO1712">
            <v>1</v>
          </cell>
          <cell r="AP1712">
            <v>1</v>
          </cell>
          <cell r="AQ1712">
            <v>1</v>
          </cell>
          <cell r="AR1712">
            <v>1</v>
          </cell>
          <cell r="AS1712">
            <v>1</v>
          </cell>
          <cell r="AT1712">
            <v>1</v>
          </cell>
          <cell r="AU1712">
            <v>1</v>
          </cell>
          <cell r="AV1712">
            <v>1</v>
          </cell>
          <cell r="AW1712">
            <v>1</v>
          </cell>
          <cell r="AX1712">
            <v>1</v>
          </cell>
          <cell r="AY1712">
            <v>1</v>
          </cell>
          <cell r="AZ1712">
            <v>1</v>
          </cell>
          <cell r="BA1712">
            <v>1</v>
          </cell>
          <cell r="BB1712">
            <v>1</v>
          </cell>
          <cell r="BC1712">
            <v>1</v>
          </cell>
          <cell r="BD1712">
            <v>1</v>
          </cell>
          <cell r="BE1712">
            <v>1</v>
          </cell>
          <cell r="BF1712">
            <v>1</v>
          </cell>
          <cell r="BG1712">
            <v>1</v>
          </cell>
          <cell r="BH1712">
            <v>1</v>
          </cell>
          <cell r="BI1712">
            <v>1</v>
          </cell>
          <cell r="BJ1712">
            <v>1</v>
          </cell>
          <cell r="BK1712">
            <v>1</v>
          </cell>
          <cell r="BL1712">
            <v>1</v>
          </cell>
          <cell r="BM1712">
            <v>1</v>
          </cell>
          <cell r="BN1712">
            <v>1</v>
          </cell>
          <cell r="BO1712">
            <v>1</v>
          </cell>
          <cell r="BP1712">
            <v>1</v>
          </cell>
          <cell r="BQ1712">
            <v>1</v>
          </cell>
          <cell r="BR1712">
            <v>1</v>
          </cell>
          <cell r="BS1712">
            <v>1</v>
          </cell>
          <cell r="BT1712">
            <v>1</v>
          </cell>
          <cell r="BU1712">
            <v>1</v>
          </cell>
          <cell r="BV1712">
            <v>1</v>
          </cell>
        </row>
        <row r="1713">
          <cell r="A1713" t="str">
            <v>Volvo</v>
          </cell>
          <cell r="B1713" t="str">
            <v>ROHR</v>
          </cell>
          <cell r="D1713" t="str">
            <v>Total efficiency</v>
          </cell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</row>
        <row r="1714">
          <cell r="A1714" t="str">
            <v>Volvo</v>
          </cell>
          <cell r="B1714" t="str">
            <v>ROHR</v>
          </cell>
          <cell r="D1714" t="str">
            <v>SHIFT A - output</v>
          </cell>
          <cell r="Z1714">
            <v>959.39086294416245</v>
          </cell>
          <cell r="AA1714">
            <v>959.39086294416245</v>
          </cell>
          <cell r="AB1714">
            <v>959.39086294416245</v>
          </cell>
          <cell r="AC1714">
            <v>959.39086294416245</v>
          </cell>
          <cell r="AD1714">
            <v>959.39086294416245</v>
          </cell>
          <cell r="AE1714">
            <v>959.39086294416245</v>
          </cell>
          <cell r="AF1714">
            <v>959.39086294416245</v>
          </cell>
          <cell r="AG1714">
            <v>959.39086294416245</v>
          </cell>
          <cell r="AH1714">
            <v>959.39086294416245</v>
          </cell>
          <cell r="AI1714">
            <v>959.39086294416245</v>
          </cell>
          <cell r="AJ1714">
            <v>959.39086294416245</v>
          </cell>
          <cell r="AK1714">
            <v>959.39086294416245</v>
          </cell>
          <cell r="AL1714">
            <v>959.39086294416245</v>
          </cell>
          <cell r="AM1714">
            <v>959.39086294416245</v>
          </cell>
          <cell r="AN1714">
            <v>959.39086294416245</v>
          </cell>
          <cell r="AO1714">
            <v>959.39086294416245</v>
          </cell>
          <cell r="AP1714">
            <v>959.39086294416245</v>
          </cell>
          <cell r="AQ1714">
            <v>959.39086294416245</v>
          </cell>
          <cell r="AR1714">
            <v>959.39086294416245</v>
          </cell>
          <cell r="AS1714">
            <v>959.39086294416245</v>
          </cell>
          <cell r="AT1714">
            <v>959.39086294416245</v>
          </cell>
          <cell r="AU1714">
            <v>959.39086294416245</v>
          </cell>
          <cell r="AV1714">
            <v>959.39086294416245</v>
          </cell>
          <cell r="AW1714">
            <v>959.39086294416245</v>
          </cell>
          <cell r="AX1714">
            <v>959.39086294416245</v>
          </cell>
          <cell r="AY1714">
            <v>959.39086294416245</v>
          </cell>
          <cell r="AZ1714">
            <v>959.39086294416245</v>
          </cell>
          <cell r="BA1714">
            <v>959.39086294416245</v>
          </cell>
          <cell r="BB1714">
            <v>959.39086294416245</v>
          </cell>
          <cell r="BC1714">
            <v>959.39086294416245</v>
          </cell>
          <cell r="BD1714">
            <v>959.39086294416245</v>
          </cell>
          <cell r="BE1714">
            <v>959.39086294416245</v>
          </cell>
          <cell r="BF1714">
            <v>959.39086294416245</v>
          </cell>
          <cell r="BG1714">
            <v>959.39086294416245</v>
          </cell>
          <cell r="BH1714">
            <v>959.39086294416245</v>
          </cell>
          <cell r="BI1714">
            <v>959.39086294416245</v>
          </cell>
          <cell r="BJ1714">
            <v>959.39086294416245</v>
          </cell>
          <cell r="BK1714">
            <v>411.1675126903553</v>
          </cell>
          <cell r="BL1714">
            <v>411.1675126903553</v>
          </cell>
          <cell r="BM1714">
            <v>411.1675126903553</v>
          </cell>
          <cell r="BN1714">
            <v>411.1675126903553</v>
          </cell>
          <cell r="BO1714">
            <v>411.1675126903553</v>
          </cell>
          <cell r="BP1714">
            <v>411.1675126903553</v>
          </cell>
          <cell r="BQ1714">
            <v>411.1675126903553</v>
          </cell>
          <cell r="BR1714">
            <v>411.1675126903553</v>
          </cell>
          <cell r="BS1714">
            <v>411.1675126903553</v>
          </cell>
          <cell r="BT1714">
            <v>411.1675126903553</v>
          </cell>
          <cell r="BU1714">
            <v>411.1675126903553</v>
          </cell>
          <cell r="BV1714">
            <v>411.1675126903553</v>
          </cell>
        </row>
        <row r="1715">
          <cell r="A1715" t="str">
            <v>Volvo</v>
          </cell>
          <cell r="B1715" t="str">
            <v>ROHR</v>
          </cell>
          <cell r="D1715" t="str">
            <v>SHIFT B  - output</v>
          </cell>
          <cell r="Z1715">
            <v>959.39086294416245</v>
          </cell>
          <cell r="AA1715">
            <v>959.39086294416245</v>
          </cell>
          <cell r="AB1715">
            <v>959.39086294416245</v>
          </cell>
          <cell r="AC1715">
            <v>959.39086294416245</v>
          </cell>
          <cell r="AD1715">
            <v>959.39086294416245</v>
          </cell>
          <cell r="AE1715">
            <v>959.39086294416245</v>
          </cell>
          <cell r="AF1715">
            <v>959.39086294416245</v>
          </cell>
          <cell r="AG1715">
            <v>959.39086294416245</v>
          </cell>
          <cell r="AH1715">
            <v>959.39086294416245</v>
          </cell>
          <cell r="AI1715">
            <v>959.39086294416245</v>
          </cell>
          <cell r="AJ1715">
            <v>959.39086294416245</v>
          </cell>
          <cell r="AK1715">
            <v>959.39086294416245</v>
          </cell>
          <cell r="AL1715">
            <v>959.39086294416245</v>
          </cell>
          <cell r="AM1715">
            <v>959.39086294416245</v>
          </cell>
          <cell r="AN1715">
            <v>959.39086294416245</v>
          </cell>
          <cell r="AO1715">
            <v>959.39086294416245</v>
          </cell>
          <cell r="AP1715">
            <v>959.39086294416245</v>
          </cell>
          <cell r="AQ1715">
            <v>959.39086294416245</v>
          </cell>
          <cell r="AR1715">
            <v>959.39086294416245</v>
          </cell>
          <cell r="AS1715">
            <v>959.39086294416245</v>
          </cell>
          <cell r="AT1715">
            <v>959.39086294416245</v>
          </cell>
          <cell r="AU1715">
            <v>959.39086294416245</v>
          </cell>
          <cell r="AV1715">
            <v>959.39086294416245</v>
          </cell>
          <cell r="AW1715">
            <v>959.39086294416245</v>
          </cell>
          <cell r="AX1715">
            <v>959.39086294416245</v>
          </cell>
          <cell r="AY1715">
            <v>959.39086294416245</v>
          </cell>
          <cell r="AZ1715">
            <v>959.39086294416245</v>
          </cell>
          <cell r="BA1715">
            <v>959.39086294416245</v>
          </cell>
          <cell r="BB1715">
            <v>959.39086294416245</v>
          </cell>
          <cell r="BC1715">
            <v>959.39086294416245</v>
          </cell>
          <cell r="BD1715">
            <v>959.39086294416245</v>
          </cell>
          <cell r="BE1715">
            <v>959.39086294416245</v>
          </cell>
          <cell r="BF1715">
            <v>959.39086294416245</v>
          </cell>
          <cell r="BG1715">
            <v>959.39086294416245</v>
          </cell>
          <cell r="BH1715">
            <v>959.39086294416245</v>
          </cell>
          <cell r="BI1715">
            <v>959.39086294416245</v>
          </cell>
          <cell r="BJ1715">
            <v>959.39086294416245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</row>
        <row r="1716">
          <cell r="A1716" t="str">
            <v>Volvo</v>
          </cell>
          <cell r="B1716" t="str">
            <v>ROHR</v>
          </cell>
          <cell r="D1716" t="str">
            <v>SHIFT C  - output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</row>
        <row r="1717">
          <cell r="A1717" t="str">
            <v>Volvo</v>
          </cell>
          <cell r="B1717" t="str">
            <v>ROHR</v>
          </cell>
          <cell r="D1717" t="str">
            <v>Est. Output (Pcs day)</v>
          </cell>
          <cell r="E1717">
            <v>3.94</v>
          </cell>
          <cell r="Z1717">
            <v>1918.7817258883249</v>
          </cell>
          <cell r="AA1717">
            <v>1918.7817258883249</v>
          </cell>
          <cell r="AB1717">
            <v>1918.7817258883249</v>
          </cell>
          <cell r="AC1717">
            <v>1918.7817258883249</v>
          </cell>
          <cell r="AD1717">
            <v>1918.7817258883249</v>
          </cell>
          <cell r="AE1717">
            <v>1918.7817258883249</v>
          </cell>
          <cell r="AF1717">
            <v>1918.7817258883249</v>
          </cell>
          <cell r="AG1717">
            <v>1918.7817258883249</v>
          </cell>
          <cell r="AH1717">
            <v>1918.7817258883249</v>
          </cell>
          <cell r="AI1717">
            <v>1918.7817258883249</v>
          </cell>
          <cell r="AJ1717">
            <v>1918.7817258883249</v>
          </cell>
          <cell r="AK1717">
            <v>1918.7817258883249</v>
          </cell>
          <cell r="AL1717">
            <v>1918.7817258883249</v>
          </cell>
          <cell r="AM1717">
            <v>1918.7817258883249</v>
          </cell>
          <cell r="AN1717">
            <v>1918.7817258883249</v>
          </cell>
          <cell r="AO1717">
            <v>1918.7817258883249</v>
          </cell>
          <cell r="AP1717">
            <v>1918.7817258883249</v>
          </cell>
          <cell r="AQ1717">
            <v>1918.7817258883249</v>
          </cell>
          <cell r="AR1717">
            <v>1918.7817258883249</v>
          </cell>
          <cell r="AS1717">
            <v>1918.7817258883249</v>
          </cell>
          <cell r="AT1717">
            <v>1918.7817258883249</v>
          </cell>
          <cell r="AU1717">
            <v>1918.7817258883249</v>
          </cell>
          <cell r="AV1717">
            <v>1918.7817258883249</v>
          </cell>
          <cell r="AW1717">
            <v>1918.7817258883249</v>
          </cell>
          <cell r="AX1717">
            <v>1918.7817258883249</v>
          </cell>
          <cell r="AY1717">
            <v>1918.7817258883249</v>
          </cell>
          <cell r="AZ1717">
            <v>1918.7817258883249</v>
          </cell>
          <cell r="BA1717">
            <v>1918.7817258883249</v>
          </cell>
          <cell r="BB1717">
            <v>1918.7817258883249</v>
          </cell>
          <cell r="BC1717">
            <v>1918.7817258883249</v>
          </cell>
          <cell r="BD1717">
            <v>1918.7817258883249</v>
          </cell>
          <cell r="BE1717">
            <v>1918.7817258883249</v>
          </cell>
          <cell r="BF1717">
            <v>1918.7817258883249</v>
          </cell>
          <cell r="BG1717">
            <v>1918.7817258883249</v>
          </cell>
          <cell r="BH1717">
            <v>1918.7817258883249</v>
          </cell>
          <cell r="BI1717">
            <v>1918.7817258883249</v>
          </cell>
          <cell r="BJ1717">
            <v>1918.7817258883249</v>
          </cell>
          <cell r="BK1717">
            <v>411.1675126903553</v>
          </cell>
          <cell r="BL1717">
            <v>411.1675126903553</v>
          </cell>
          <cell r="BM1717">
            <v>411.1675126903553</v>
          </cell>
          <cell r="BN1717">
            <v>411.1675126903553</v>
          </cell>
          <cell r="BO1717">
            <v>411.1675126903553</v>
          </cell>
          <cell r="BP1717">
            <v>411.1675126903553</v>
          </cell>
          <cell r="BQ1717">
            <v>411.1675126903553</v>
          </cell>
          <cell r="BR1717">
            <v>411.1675126903553</v>
          </cell>
          <cell r="BS1717">
            <v>411.1675126903553</v>
          </cell>
          <cell r="BT1717">
            <v>411.1675126903553</v>
          </cell>
          <cell r="BU1717">
            <v>411.1675126903553</v>
          </cell>
          <cell r="BV1717">
            <v>411.1675126903553</v>
          </cell>
        </row>
        <row r="1718">
          <cell r="A1718" t="str">
            <v>Volvo</v>
          </cell>
          <cell r="B1718" t="str">
            <v>ROHR</v>
          </cell>
          <cell r="D1718" t="str">
            <v>Weekly Output PLAN</v>
          </cell>
          <cell r="E1718" t="str">
            <v>ASSY</v>
          </cell>
          <cell r="Z1718">
            <v>9593.9086294416247</v>
          </cell>
          <cell r="AA1718">
            <v>9593.9086294416247</v>
          </cell>
          <cell r="AB1718">
            <v>9593.9086294416247</v>
          </cell>
          <cell r="AC1718">
            <v>9593.9086294416247</v>
          </cell>
          <cell r="AD1718">
            <v>5756.3451776649745</v>
          </cell>
          <cell r="AE1718">
            <v>9593.9086294416247</v>
          </cell>
          <cell r="AF1718">
            <v>9593.9086294416247</v>
          </cell>
          <cell r="AG1718">
            <v>9593.9086294416247</v>
          </cell>
          <cell r="AH1718">
            <v>9593.9086294416247</v>
          </cell>
          <cell r="AI1718">
            <v>9593.9086294416247</v>
          </cell>
          <cell r="AJ1718">
            <v>9593.9086294416247</v>
          </cell>
          <cell r="AK1718">
            <v>7675.1269035532996</v>
          </cell>
          <cell r="AL1718">
            <v>7675.1269035532996</v>
          </cell>
          <cell r="AM1718">
            <v>9593.9086294416247</v>
          </cell>
          <cell r="AN1718">
            <v>7675.1269035532996</v>
          </cell>
          <cell r="AO1718">
            <v>9593.9086294416247</v>
          </cell>
          <cell r="AP1718">
            <v>9593.9086294416247</v>
          </cell>
          <cell r="AQ1718">
            <v>9593.9086294416247</v>
          </cell>
          <cell r="AR1718">
            <v>9593.9086294416247</v>
          </cell>
          <cell r="AS1718">
            <v>9593.9086294416247</v>
          </cell>
          <cell r="AT1718">
            <v>9593.9086294416247</v>
          </cell>
          <cell r="AU1718">
            <v>9593.9086294416247</v>
          </cell>
          <cell r="AV1718">
            <v>9593.9086294416247</v>
          </cell>
          <cell r="AW1718">
            <v>9593.9086294416247</v>
          </cell>
          <cell r="AX1718">
            <v>9593.9086294416247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9593.9086294416247</v>
          </cell>
          <cell r="BD1718">
            <v>9593.9086294416247</v>
          </cell>
          <cell r="BE1718">
            <v>9593.9086294416247</v>
          </cell>
          <cell r="BF1718">
            <v>9593.9086294416247</v>
          </cell>
          <cell r="BG1718">
            <v>9593.9086294416247</v>
          </cell>
          <cell r="BH1718">
            <v>9593.9086294416247</v>
          </cell>
          <cell r="BI1718">
            <v>9593.9086294416247</v>
          </cell>
          <cell r="BJ1718">
            <v>9593.9086294416247</v>
          </cell>
          <cell r="BK1718">
            <v>2055.8375634517765</v>
          </cell>
          <cell r="BL1718">
            <v>1233.5025380710658</v>
          </cell>
          <cell r="BM1718">
            <v>1233.5025380710658</v>
          </cell>
          <cell r="BN1718">
            <v>1233.5025380710658</v>
          </cell>
          <cell r="BO1718">
            <v>1233.5025380710658</v>
          </cell>
          <cell r="BP1718">
            <v>1233.5025380710658</v>
          </cell>
          <cell r="BQ1718">
            <v>1233.5025380710658</v>
          </cell>
          <cell r="BR1718">
            <v>1233.5025380710658</v>
          </cell>
          <cell r="BS1718">
            <v>1233.5025380710658</v>
          </cell>
          <cell r="BT1718">
            <v>1233.5025380710658</v>
          </cell>
          <cell r="BU1718">
            <v>1233.5025380710658</v>
          </cell>
          <cell r="BV1718">
            <v>1233.5025380710658</v>
          </cell>
        </row>
        <row r="1719">
          <cell r="A1719" t="str">
            <v>Volvo</v>
          </cell>
          <cell r="B1719" t="str">
            <v>ROHR</v>
          </cell>
          <cell r="D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</row>
        <row r="1720">
          <cell r="A1720" t="str">
            <v>Volvo</v>
          </cell>
          <cell r="B1720" t="str">
            <v>ROHR</v>
          </cell>
          <cell r="D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</row>
        <row r="1721">
          <cell r="A1721" t="str">
            <v>Volvo</v>
          </cell>
          <cell r="B1721" t="str">
            <v>ROHR</v>
          </cell>
          <cell r="D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</row>
        <row r="1722">
          <cell r="A1722" t="str">
            <v>Volvo</v>
          </cell>
          <cell r="B1722" t="str">
            <v>ROHR</v>
          </cell>
          <cell r="D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</row>
        <row r="1723">
          <cell r="A1723" t="str">
            <v>Volvo</v>
          </cell>
          <cell r="B1723" t="str">
            <v>ROHR</v>
          </cell>
          <cell r="D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</row>
        <row r="1724">
          <cell r="A1724" t="str">
            <v>Volvo</v>
          </cell>
          <cell r="B1724" t="str">
            <v>ROHR</v>
          </cell>
          <cell r="D1724" t="str">
            <v>Weekly Output PLAN - SUM of models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</row>
        <row r="1725">
          <cell r="A1725" t="str">
            <v>Volvo</v>
          </cell>
          <cell r="B1725" t="str">
            <v>ROHR</v>
          </cell>
          <cell r="D1725" t="str">
            <v>Weekly Output CHECK with TO time multiple</v>
          </cell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</row>
        <row r="1726">
          <cell r="A1726" t="str">
            <v>Volvo</v>
          </cell>
          <cell r="B1726" t="str">
            <v>ROHR</v>
          </cell>
          <cell r="D1726" t="str">
            <v>Weekly Output ACT</v>
          </cell>
          <cell r="Z1726">
            <v>9593.9086294416247</v>
          </cell>
          <cell r="AA1726">
            <v>9593.9086294416247</v>
          </cell>
          <cell r="AB1726">
            <v>9593.9086294416247</v>
          </cell>
          <cell r="AC1726">
            <v>9593.9086294416247</v>
          </cell>
          <cell r="AD1726">
            <v>5756.3451776649745</v>
          </cell>
          <cell r="AE1726">
            <v>9593.9086294416247</v>
          </cell>
          <cell r="AF1726">
            <v>9593.9086294416247</v>
          </cell>
          <cell r="AG1726">
            <v>9593.9086294416247</v>
          </cell>
          <cell r="AH1726">
            <v>9593.9086294416247</v>
          </cell>
          <cell r="AI1726">
            <v>9593.9086294416247</v>
          </cell>
          <cell r="AJ1726">
            <v>9593.9086294416247</v>
          </cell>
          <cell r="AK1726">
            <v>7675.1269035532996</v>
          </cell>
          <cell r="AL1726">
            <v>7675.1269035532996</v>
          </cell>
          <cell r="AM1726">
            <v>9593.9086294416247</v>
          </cell>
          <cell r="AN1726">
            <v>7675.1269035532996</v>
          </cell>
          <cell r="AO1726">
            <v>9593.9086294416247</v>
          </cell>
          <cell r="AP1726">
            <v>9593.9086294416247</v>
          </cell>
          <cell r="AQ1726">
            <v>9593.9086294416247</v>
          </cell>
          <cell r="AR1726">
            <v>9593.9086294416247</v>
          </cell>
          <cell r="AS1726">
            <v>9593.9086294416247</v>
          </cell>
          <cell r="AT1726">
            <v>9593.9086294416247</v>
          </cell>
          <cell r="AU1726">
            <v>9593.9086294416247</v>
          </cell>
          <cell r="AV1726">
            <v>9593.9086294416247</v>
          </cell>
          <cell r="AW1726">
            <v>9593.9086294416247</v>
          </cell>
          <cell r="AX1726">
            <v>9593.9086294416247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9593.9086294416247</v>
          </cell>
          <cell r="BD1726">
            <v>9593.9086294416247</v>
          </cell>
          <cell r="BE1726">
            <v>9593.9086294416247</v>
          </cell>
          <cell r="BF1726">
            <v>9593.9086294416247</v>
          </cell>
          <cell r="BG1726">
            <v>9593.9086294416247</v>
          </cell>
          <cell r="BH1726">
            <v>9593.9086294416247</v>
          </cell>
          <cell r="BI1726">
            <v>9593.9086294416247</v>
          </cell>
          <cell r="BJ1726">
            <v>9593.9086294416247</v>
          </cell>
          <cell r="BK1726">
            <v>2055.8375634517765</v>
          </cell>
          <cell r="BL1726">
            <v>1233.5025380710658</v>
          </cell>
          <cell r="BM1726">
            <v>1233.5025380710658</v>
          </cell>
          <cell r="BN1726">
            <v>1233.5025380710658</v>
          </cell>
          <cell r="BO1726">
            <v>1233.5025380710658</v>
          </cell>
          <cell r="BP1726">
            <v>1233.5025380710658</v>
          </cell>
          <cell r="BQ1726">
            <v>1233.5025380710658</v>
          </cell>
          <cell r="BR1726">
            <v>1233.5025380710658</v>
          </cell>
          <cell r="BS1726">
            <v>1233.5025380710658</v>
          </cell>
          <cell r="BT1726">
            <v>1233.5025380710658</v>
          </cell>
          <cell r="BU1726">
            <v>1233.5025380710658</v>
          </cell>
          <cell r="BV1726">
            <v>1233.5025380710658</v>
          </cell>
        </row>
        <row r="1727">
          <cell r="A1727" t="str">
            <v>Volvo</v>
          </cell>
          <cell r="B1727" t="str">
            <v>ROHR</v>
          </cell>
          <cell r="D1727">
            <v>0</v>
          </cell>
          <cell r="Z1727">
            <v>3465</v>
          </cell>
          <cell r="AA1727">
            <v>6615</v>
          </cell>
          <cell r="AB1727">
            <v>5880</v>
          </cell>
          <cell r="AC1727">
            <v>4515</v>
          </cell>
          <cell r="AD1727">
            <v>4830</v>
          </cell>
          <cell r="AE1727">
            <v>5250</v>
          </cell>
          <cell r="AF1727">
            <v>5985</v>
          </cell>
          <cell r="AG1727">
            <v>5565</v>
          </cell>
          <cell r="AH1727">
            <v>4830</v>
          </cell>
          <cell r="AI1727">
            <v>3045</v>
          </cell>
          <cell r="AJ1727">
            <v>4620</v>
          </cell>
          <cell r="AK1727">
            <v>4725</v>
          </cell>
          <cell r="AL1727">
            <v>6090</v>
          </cell>
          <cell r="AM1727">
            <v>5040</v>
          </cell>
          <cell r="AN1727">
            <v>6090</v>
          </cell>
          <cell r="AO1727">
            <v>3780</v>
          </cell>
          <cell r="AP1727">
            <v>6405</v>
          </cell>
          <cell r="AQ1727">
            <v>5460</v>
          </cell>
          <cell r="AR1727">
            <v>3150</v>
          </cell>
          <cell r="AS1727">
            <v>4200</v>
          </cell>
          <cell r="AT1727">
            <v>3360</v>
          </cell>
          <cell r="AU1727">
            <v>3675</v>
          </cell>
          <cell r="AV1727">
            <v>3885</v>
          </cell>
          <cell r="AW1727">
            <v>3045</v>
          </cell>
          <cell r="AX1727">
            <v>0</v>
          </cell>
          <cell r="AY1727">
            <v>0</v>
          </cell>
          <cell r="AZ1727">
            <v>0</v>
          </cell>
          <cell r="BA1727">
            <v>210</v>
          </cell>
          <cell r="BB1727">
            <v>11655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12600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</row>
        <row r="1728">
          <cell r="A1728" t="str">
            <v>Volvo</v>
          </cell>
          <cell r="B1728" t="str">
            <v>ROHR</v>
          </cell>
          <cell r="D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105</v>
          </cell>
          <cell r="AH1728">
            <v>105</v>
          </cell>
          <cell r="AI1728">
            <v>0</v>
          </cell>
          <cell r="AJ1728">
            <v>105</v>
          </cell>
          <cell r="AK1728">
            <v>105</v>
          </cell>
          <cell r="AL1728">
            <v>0</v>
          </cell>
          <cell r="AM1728">
            <v>0</v>
          </cell>
          <cell r="AN1728">
            <v>210</v>
          </cell>
          <cell r="AO1728">
            <v>0</v>
          </cell>
          <cell r="AP1728">
            <v>210</v>
          </cell>
          <cell r="AQ1728">
            <v>0</v>
          </cell>
          <cell r="AR1728">
            <v>210</v>
          </cell>
          <cell r="AS1728">
            <v>0</v>
          </cell>
          <cell r="AT1728">
            <v>210</v>
          </cell>
          <cell r="AU1728">
            <v>0</v>
          </cell>
          <cell r="AV1728">
            <v>210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210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210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</row>
        <row r="1729">
          <cell r="A1729" t="str">
            <v>Volvo</v>
          </cell>
          <cell r="B1729" t="str">
            <v>ROHR</v>
          </cell>
          <cell r="D1729">
            <v>0</v>
          </cell>
          <cell r="Z1729">
            <v>2520</v>
          </cell>
          <cell r="AA1729">
            <v>5880</v>
          </cell>
          <cell r="AB1729">
            <v>6510</v>
          </cell>
          <cell r="AC1729">
            <v>5880</v>
          </cell>
          <cell r="AD1729">
            <v>5250</v>
          </cell>
          <cell r="AE1729">
            <v>4935</v>
          </cell>
          <cell r="AF1729">
            <v>4305</v>
          </cell>
          <cell r="AG1729">
            <v>4725</v>
          </cell>
          <cell r="AH1729">
            <v>5565</v>
          </cell>
          <cell r="AI1729">
            <v>3045</v>
          </cell>
          <cell r="AJ1729">
            <v>5670</v>
          </cell>
          <cell r="AK1729">
            <v>4515</v>
          </cell>
          <cell r="AL1729">
            <v>4095</v>
          </cell>
          <cell r="AM1729">
            <v>2835</v>
          </cell>
          <cell r="AN1729">
            <v>3150</v>
          </cell>
          <cell r="AO1729">
            <v>1890</v>
          </cell>
          <cell r="AP1729">
            <v>3150</v>
          </cell>
          <cell r="AQ1729">
            <v>3360</v>
          </cell>
          <cell r="AR1729">
            <v>3990</v>
          </cell>
          <cell r="AS1729">
            <v>3675</v>
          </cell>
          <cell r="AT1729">
            <v>3675</v>
          </cell>
          <cell r="AU1729">
            <v>3990</v>
          </cell>
          <cell r="AV1729">
            <v>3360</v>
          </cell>
          <cell r="AW1729">
            <v>1680</v>
          </cell>
          <cell r="AX1729">
            <v>0</v>
          </cell>
          <cell r="AY1729">
            <v>0</v>
          </cell>
          <cell r="AZ1729">
            <v>0</v>
          </cell>
          <cell r="BA1729">
            <v>1155</v>
          </cell>
          <cell r="BB1729">
            <v>10080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11550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</row>
        <row r="1730">
          <cell r="A1730" t="str">
            <v>Volvo</v>
          </cell>
          <cell r="B1730" t="str">
            <v>ROHR</v>
          </cell>
          <cell r="D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</row>
        <row r="1731">
          <cell r="A1731" t="str">
            <v>Volvo</v>
          </cell>
          <cell r="B1731" t="str">
            <v>ROHR</v>
          </cell>
          <cell r="D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</row>
        <row r="1732">
          <cell r="A1732" t="str">
            <v>Volvo</v>
          </cell>
          <cell r="B1732" t="str">
            <v>ROHR</v>
          </cell>
          <cell r="D1732" t="str">
            <v>Weekly demand</v>
          </cell>
          <cell r="Z1732">
            <v>5985</v>
          </cell>
          <cell r="AA1732">
            <v>12495</v>
          </cell>
          <cell r="AB1732">
            <v>12390</v>
          </cell>
          <cell r="AC1732">
            <v>10395</v>
          </cell>
          <cell r="AD1732">
            <v>10080</v>
          </cell>
          <cell r="AE1732">
            <v>10185</v>
          </cell>
          <cell r="AF1732">
            <v>10290</v>
          </cell>
          <cell r="AG1732">
            <v>10395</v>
          </cell>
          <cell r="AH1732">
            <v>10500</v>
          </cell>
          <cell r="AI1732">
            <v>6090</v>
          </cell>
          <cell r="AJ1732">
            <v>10395</v>
          </cell>
          <cell r="AK1732">
            <v>9345</v>
          </cell>
          <cell r="AL1732">
            <v>10185</v>
          </cell>
          <cell r="AM1732">
            <v>7875</v>
          </cell>
          <cell r="AN1732">
            <v>9450</v>
          </cell>
          <cell r="AO1732">
            <v>5670</v>
          </cell>
          <cell r="AP1732">
            <v>9765</v>
          </cell>
          <cell r="AQ1732">
            <v>8820</v>
          </cell>
          <cell r="AR1732">
            <v>7350</v>
          </cell>
          <cell r="AS1732">
            <v>7875</v>
          </cell>
          <cell r="AT1732">
            <v>7245</v>
          </cell>
          <cell r="AU1732">
            <v>7665</v>
          </cell>
          <cell r="AV1732">
            <v>7455</v>
          </cell>
          <cell r="AW1732">
            <v>4725</v>
          </cell>
          <cell r="AX1732">
            <v>0</v>
          </cell>
          <cell r="AY1732">
            <v>0</v>
          </cell>
          <cell r="AZ1732">
            <v>0</v>
          </cell>
          <cell r="BA1732">
            <v>1365</v>
          </cell>
          <cell r="BB1732">
            <v>21945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24360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278985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</row>
        <row r="1733">
          <cell r="A1733" t="str">
            <v>Volvo</v>
          </cell>
          <cell r="B1733" t="str">
            <v>ROHR</v>
          </cell>
          <cell r="D1733" t="str">
            <v>Stock Target</v>
          </cell>
          <cell r="Z1733">
            <v>5000</v>
          </cell>
          <cell r="AA1733">
            <v>5000</v>
          </cell>
          <cell r="AB1733">
            <v>5000</v>
          </cell>
          <cell r="AC1733">
            <v>5000</v>
          </cell>
          <cell r="AD1733">
            <v>5000</v>
          </cell>
          <cell r="AE1733">
            <v>5000</v>
          </cell>
          <cell r="AF1733">
            <v>5000</v>
          </cell>
          <cell r="AG1733">
            <v>5000</v>
          </cell>
          <cell r="AH1733">
            <v>5000</v>
          </cell>
          <cell r="AI1733">
            <v>5000</v>
          </cell>
          <cell r="AJ1733">
            <v>2528</v>
          </cell>
          <cell r="AK1733">
            <v>2529</v>
          </cell>
          <cell r="AL1733">
            <v>2530</v>
          </cell>
          <cell r="AM1733">
            <v>2531</v>
          </cell>
          <cell r="AN1733">
            <v>2532</v>
          </cell>
          <cell r="AO1733">
            <v>2533</v>
          </cell>
          <cell r="AP1733">
            <v>2534</v>
          </cell>
          <cell r="AQ1733">
            <v>2535</v>
          </cell>
          <cell r="AR1733">
            <v>2536</v>
          </cell>
          <cell r="AS1733">
            <v>2537</v>
          </cell>
          <cell r="AT1733">
            <v>2538</v>
          </cell>
          <cell r="AU1733">
            <v>2539</v>
          </cell>
          <cell r="AV1733">
            <v>2540</v>
          </cell>
          <cell r="AW1733">
            <v>2541</v>
          </cell>
          <cell r="AX1733">
            <v>2542</v>
          </cell>
          <cell r="AY1733">
            <v>2543</v>
          </cell>
          <cell r="AZ1733">
            <v>2544</v>
          </cell>
          <cell r="BA1733">
            <v>2545</v>
          </cell>
          <cell r="BB1733">
            <v>2546</v>
          </cell>
          <cell r="BC1733">
            <v>2547</v>
          </cell>
          <cell r="BD1733">
            <v>2548</v>
          </cell>
          <cell r="BE1733">
            <v>2549</v>
          </cell>
          <cell r="BF1733">
            <v>2550</v>
          </cell>
          <cell r="BG1733">
            <v>2551</v>
          </cell>
          <cell r="BH1733">
            <v>2552</v>
          </cell>
          <cell r="BI1733">
            <v>2553</v>
          </cell>
          <cell r="BJ1733">
            <v>2554</v>
          </cell>
          <cell r="BK1733">
            <v>2555</v>
          </cell>
          <cell r="BL1733">
            <v>2556</v>
          </cell>
          <cell r="BM1733">
            <v>2557</v>
          </cell>
          <cell r="BN1733">
            <v>2558</v>
          </cell>
          <cell r="BO1733">
            <v>2559</v>
          </cell>
          <cell r="BP1733">
            <v>2560</v>
          </cell>
          <cell r="BQ1733">
            <v>2561</v>
          </cell>
          <cell r="BR1733">
            <v>2562</v>
          </cell>
          <cell r="BS1733">
            <v>2563</v>
          </cell>
          <cell r="BT1733">
            <v>2564</v>
          </cell>
          <cell r="BU1733">
            <v>2565</v>
          </cell>
          <cell r="BV1733">
            <v>2566</v>
          </cell>
        </row>
        <row r="1734">
          <cell r="A1734" t="str">
            <v>Volvo</v>
          </cell>
          <cell r="B1734" t="str">
            <v>ROHR</v>
          </cell>
          <cell r="D1734" t="str">
            <v>ROHR LTH</v>
          </cell>
          <cell r="Z1734">
            <v>2940</v>
          </cell>
          <cell r="AA1734">
            <v>-3675</v>
          </cell>
          <cell r="AB1734">
            <v>-9555</v>
          </cell>
          <cell r="AC1734">
            <v>-14070</v>
          </cell>
          <cell r="AD1734">
            <v>-18900</v>
          </cell>
          <cell r="AE1734">
            <v>-24150</v>
          </cell>
          <cell r="AF1734">
            <v>-30135</v>
          </cell>
          <cell r="AG1734">
            <v>-35700</v>
          </cell>
          <cell r="AH1734">
            <v>-40530</v>
          </cell>
          <cell r="AI1734">
            <v>-43575</v>
          </cell>
          <cell r="AJ1734">
            <v>-48195</v>
          </cell>
          <cell r="AK1734">
            <v>-52920</v>
          </cell>
          <cell r="AL1734">
            <v>-59010</v>
          </cell>
          <cell r="AM1734">
            <v>-64050</v>
          </cell>
          <cell r="AN1734">
            <v>-70140</v>
          </cell>
          <cell r="AO1734">
            <v>-73920</v>
          </cell>
          <cell r="AP1734">
            <v>-80325</v>
          </cell>
          <cell r="AQ1734">
            <v>-85785</v>
          </cell>
          <cell r="AR1734">
            <v>-88935</v>
          </cell>
          <cell r="AS1734">
            <v>-93135</v>
          </cell>
          <cell r="AT1734">
            <v>-96495</v>
          </cell>
          <cell r="AU1734">
            <v>-100170</v>
          </cell>
          <cell r="AV1734">
            <v>-104055</v>
          </cell>
          <cell r="AW1734">
            <v>-107100</v>
          </cell>
          <cell r="AX1734">
            <v>-107100</v>
          </cell>
          <cell r="AY1734">
            <v>-107100</v>
          </cell>
          <cell r="AZ1734">
            <v>-107100</v>
          </cell>
          <cell r="BA1734">
            <v>-107310</v>
          </cell>
          <cell r="BB1734">
            <v>-118965</v>
          </cell>
          <cell r="BC1734">
            <v>-118965</v>
          </cell>
          <cell r="BD1734">
            <v>-118965</v>
          </cell>
          <cell r="BE1734">
            <v>-118965</v>
          </cell>
          <cell r="BF1734">
            <v>-118965</v>
          </cell>
          <cell r="BG1734">
            <v>-131565</v>
          </cell>
          <cell r="BH1734">
            <v>-131565</v>
          </cell>
          <cell r="BI1734">
            <v>-131565</v>
          </cell>
          <cell r="BJ1734">
            <v>-131565</v>
          </cell>
          <cell r="BK1734">
            <v>-131565</v>
          </cell>
          <cell r="BL1734">
            <v>-131565</v>
          </cell>
          <cell r="BM1734">
            <v>-131565</v>
          </cell>
          <cell r="BN1734">
            <v>-131565</v>
          </cell>
          <cell r="BO1734">
            <v>-131565</v>
          </cell>
          <cell r="BP1734">
            <v>-131565</v>
          </cell>
          <cell r="BQ1734">
            <v>-131565</v>
          </cell>
          <cell r="BR1734">
            <v>-131565</v>
          </cell>
          <cell r="BS1734">
            <v>-131565</v>
          </cell>
          <cell r="BT1734">
            <v>-131565</v>
          </cell>
          <cell r="BU1734">
            <v>-131565</v>
          </cell>
          <cell r="BV1734">
            <v>-131565</v>
          </cell>
        </row>
        <row r="1735">
          <cell r="A1735" t="str">
            <v>Volvo</v>
          </cell>
          <cell r="B1735" t="str">
            <v>ROHR</v>
          </cell>
          <cell r="D1735" t="str">
            <v>ROHR TEX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-105</v>
          </cell>
          <cell r="AH1735">
            <v>-210</v>
          </cell>
          <cell r="AI1735">
            <v>-210</v>
          </cell>
          <cell r="AJ1735">
            <v>-315</v>
          </cell>
          <cell r="AK1735">
            <v>-420</v>
          </cell>
          <cell r="AL1735">
            <v>-420</v>
          </cell>
          <cell r="AM1735">
            <v>-420</v>
          </cell>
          <cell r="AN1735">
            <v>-630</v>
          </cell>
          <cell r="AO1735">
            <v>-630</v>
          </cell>
          <cell r="AP1735">
            <v>-840</v>
          </cell>
          <cell r="AQ1735">
            <v>-840</v>
          </cell>
          <cell r="AR1735">
            <v>-1050</v>
          </cell>
          <cell r="AS1735">
            <v>-1050</v>
          </cell>
          <cell r="AT1735">
            <v>-1260</v>
          </cell>
          <cell r="AU1735">
            <v>-1260</v>
          </cell>
          <cell r="AV1735">
            <v>-1470</v>
          </cell>
          <cell r="AW1735">
            <v>-1470</v>
          </cell>
          <cell r="AX1735">
            <v>-1470</v>
          </cell>
          <cell r="AY1735">
            <v>-1470</v>
          </cell>
          <cell r="AZ1735">
            <v>-1470</v>
          </cell>
          <cell r="BA1735">
            <v>-1470</v>
          </cell>
          <cell r="BB1735">
            <v>-1680</v>
          </cell>
          <cell r="BC1735">
            <v>-1680</v>
          </cell>
          <cell r="BD1735">
            <v>-1680</v>
          </cell>
          <cell r="BE1735">
            <v>-1680</v>
          </cell>
          <cell r="BF1735">
            <v>-1680</v>
          </cell>
          <cell r="BG1735">
            <v>-1890</v>
          </cell>
          <cell r="BH1735">
            <v>-1890</v>
          </cell>
          <cell r="BI1735">
            <v>-1890</v>
          </cell>
          <cell r="BJ1735">
            <v>-1890</v>
          </cell>
          <cell r="BK1735">
            <v>-1890</v>
          </cell>
          <cell r="BL1735">
            <v>-1890</v>
          </cell>
          <cell r="BM1735">
            <v>-1890</v>
          </cell>
          <cell r="BN1735">
            <v>-1890</v>
          </cell>
          <cell r="BO1735">
            <v>-1890</v>
          </cell>
          <cell r="BP1735">
            <v>-1890</v>
          </cell>
          <cell r="BQ1735">
            <v>-1890</v>
          </cell>
          <cell r="BR1735">
            <v>-1890</v>
          </cell>
          <cell r="BS1735">
            <v>-1890</v>
          </cell>
          <cell r="BT1735">
            <v>-1890</v>
          </cell>
          <cell r="BU1735">
            <v>-1890</v>
          </cell>
          <cell r="BV1735">
            <v>-1890</v>
          </cell>
        </row>
        <row r="1736">
          <cell r="A1736" t="str">
            <v>Volvo</v>
          </cell>
          <cell r="B1736" t="str">
            <v>ROHR</v>
          </cell>
          <cell r="D1736" t="str">
            <v>ROHR VINYL</v>
          </cell>
          <cell r="Z1736">
            <v>2625</v>
          </cell>
          <cell r="AA1736">
            <v>-3255</v>
          </cell>
          <cell r="AB1736">
            <v>-9765</v>
          </cell>
          <cell r="AC1736">
            <v>-15645</v>
          </cell>
          <cell r="AD1736">
            <v>-20895</v>
          </cell>
          <cell r="AE1736">
            <v>-25830</v>
          </cell>
          <cell r="AF1736">
            <v>-30135</v>
          </cell>
          <cell r="AG1736">
            <v>-34860</v>
          </cell>
          <cell r="AH1736">
            <v>-40425</v>
          </cell>
          <cell r="AI1736">
            <v>-43470</v>
          </cell>
          <cell r="AJ1736">
            <v>-49140</v>
          </cell>
          <cell r="AK1736">
            <v>-53655</v>
          </cell>
          <cell r="AL1736">
            <v>-57750</v>
          </cell>
          <cell r="AM1736">
            <v>-60585</v>
          </cell>
          <cell r="AN1736">
            <v>-63735</v>
          </cell>
          <cell r="AO1736">
            <v>-65625</v>
          </cell>
          <cell r="AP1736">
            <v>-68775</v>
          </cell>
          <cell r="AQ1736">
            <v>-72135</v>
          </cell>
          <cell r="AR1736">
            <v>-76125</v>
          </cell>
          <cell r="AS1736">
            <v>-79800</v>
          </cell>
          <cell r="AT1736">
            <v>-83475</v>
          </cell>
          <cell r="AU1736">
            <v>-87465</v>
          </cell>
          <cell r="AV1736">
            <v>-90825</v>
          </cell>
          <cell r="AW1736">
            <v>-92505</v>
          </cell>
          <cell r="AX1736">
            <v>-92505</v>
          </cell>
          <cell r="AY1736">
            <v>-92505</v>
          </cell>
          <cell r="AZ1736">
            <v>-92505</v>
          </cell>
          <cell r="BA1736">
            <v>-93660</v>
          </cell>
          <cell r="BB1736">
            <v>-103740</v>
          </cell>
          <cell r="BC1736">
            <v>-103740</v>
          </cell>
          <cell r="BD1736">
            <v>-103740</v>
          </cell>
          <cell r="BE1736">
            <v>-103740</v>
          </cell>
          <cell r="BF1736">
            <v>-103740</v>
          </cell>
          <cell r="BG1736">
            <v>-115290</v>
          </cell>
          <cell r="BH1736">
            <v>-115290</v>
          </cell>
          <cell r="BI1736">
            <v>-115290</v>
          </cell>
          <cell r="BJ1736">
            <v>-115290</v>
          </cell>
          <cell r="BK1736">
            <v>-115290</v>
          </cell>
          <cell r="BL1736">
            <v>-115290</v>
          </cell>
          <cell r="BM1736">
            <v>-115290</v>
          </cell>
          <cell r="BN1736">
            <v>-115290</v>
          </cell>
          <cell r="BO1736">
            <v>-115290</v>
          </cell>
          <cell r="BP1736">
            <v>-115290</v>
          </cell>
          <cell r="BQ1736">
            <v>-115290</v>
          </cell>
          <cell r="BR1736">
            <v>-115290</v>
          </cell>
          <cell r="BS1736">
            <v>-115290</v>
          </cell>
          <cell r="BT1736">
            <v>-115290</v>
          </cell>
          <cell r="BU1736">
            <v>-115290</v>
          </cell>
          <cell r="BV1736">
            <v>-115290</v>
          </cell>
        </row>
        <row r="1737">
          <cell r="A1737" t="str">
            <v>Volvo</v>
          </cell>
          <cell r="B1737" t="str">
            <v>ROHR</v>
          </cell>
          <cell r="D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</row>
        <row r="1738">
          <cell r="A1738" t="str">
            <v>Volvo</v>
          </cell>
          <cell r="B1738" t="str">
            <v>ROHR</v>
          </cell>
          <cell r="D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A1739" t="str">
            <v>Volvo</v>
          </cell>
          <cell r="B1739" t="str">
            <v>ROHR</v>
          </cell>
          <cell r="D1739" t="str">
            <v>STOCK</v>
          </cell>
          <cell r="Z1739">
            <v>5565</v>
          </cell>
          <cell r="AA1739">
            <v>2663.9086294416247</v>
          </cell>
          <cell r="AB1739">
            <v>-132.18274111675055</v>
          </cell>
          <cell r="AC1739">
            <v>-933.27411167512582</v>
          </cell>
          <cell r="AD1739">
            <v>-5256.9289340101514</v>
          </cell>
          <cell r="AE1739">
            <v>-5848.0203045685266</v>
          </cell>
          <cell r="AF1739">
            <v>-6544.1116751269019</v>
          </cell>
          <cell r="AG1739">
            <v>-7345.2030456852754</v>
          </cell>
          <cell r="AH1739">
            <v>-8251.2944162436488</v>
          </cell>
          <cell r="AI1739">
            <v>-4747.3857868020241</v>
          </cell>
          <cell r="AJ1739">
            <v>-5548.4771573603994</v>
          </cell>
          <cell r="AK1739">
            <v>-7218.3502538070998</v>
          </cell>
          <cell r="AL1739">
            <v>-9728.2233502538002</v>
          </cell>
          <cell r="AM1739">
            <v>-8009.3147208121754</v>
          </cell>
          <cell r="AN1739">
            <v>-9784.1878172588731</v>
          </cell>
          <cell r="AO1739">
            <v>-5860.2791878172484</v>
          </cell>
          <cell r="AP1739">
            <v>-6031.3705583756237</v>
          </cell>
          <cell r="AQ1739">
            <v>-5257.4619289339989</v>
          </cell>
          <cell r="AR1739">
            <v>-3013.5532994923742</v>
          </cell>
          <cell r="AS1739">
            <v>-1294.6446700507495</v>
          </cell>
          <cell r="AT1739">
            <v>1054.2639593908752</v>
          </cell>
          <cell r="AU1739">
            <v>2983.1725888325</v>
          </cell>
          <cell r="AV1739">
            <v>5122.0812182741247</v>
          </cell>
          <cell r="AW1739">
            <v>9990.9898477157494</v>
          </cell>
          <cell r="AX1739">
            <v>19584.898477157374</v>
          </cell>
          <cell r="AY1739">
            <v>19584.898477157374</v>
          </cell>
          <cell r="AZ1739">
            <v>19584.898477157374</v>
          </cell>
          <cell r="BA1739">
            <v>18219.898477157374</v>
          </cell>
          <cell r="BB1739">
            <v>-3725.1015228426259</v>
          </cell>
          <cell r="BC1739">
            <v>5868.8071065989989</v>
          </cell>
          <cell r="BD1739">
            <v>15462.715736040624</v>
          </cell>
          <cell r="BE1739">
            <v>25056.624365482247</v>
          </cell>
          <cell r="BF1739">
            <v>34650.532994923873</v>
          </cell>
          <cell r="BG1739">
            <v>19884.4416243655</v>
          </cell>
          <cell r="BH1739">
            <v>29478.350253807126</v>
          </cell>
          <cell r="BI1739">
            <v>39072.258883248753</v>
          </cell>
          <cell r="BJ1739">
            <v>48666.167512690379</v>
          </cell>
          <cell r="BK1739">
            <v>50722.005076142159</v>
          </cell>
          <cell r="BL1739">
            <v>-227029.49238578678</v>
          </cell>
          <cell r="BM1739">
            <v>-225795.98984771571</v>
          </cell>
          <cell r="BN1739">
            <v>-224562.48730964464</v>
          </cell>
          <cell r="BO1739">
            <v>-223328.98477157357</v>
          </cell>
          <cell r="BP1739">
            <v>-222095.48223350249</v>
          </cell>
          <cell r="BQ1739">
            <v>-220861.97969543142</v>
          </cell>
          <cell r="BR1739">
            <v>-219628.47715736035</v>
          </cell>
          <cell r="BS1739">
            <v>-218394.97461928928</v>
          </cell>
          <cell r="BT1739">
            <v>-217161.47208121821</v>
          </cell>
          <cell r="BU1739">
            <v>-215927.96954314713</v>
          </cell>
          <cell r="BV1739">
            <v>-214694.46700507606</v>
          </cell>
        </row>
        <row r="1740">
          <cell r="A1740" t="str">
            <v>Blank</v>
          </cell>
          <cell r="B1740" t="str">
            <v>Blank</v>
          </cell>
          <cell r="D1740" t="str">
            <v>Blank</v>
          </cell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</row>
        <row r="1741">
          <cell r="A1741" t="str">
            <v>Volvo</v>
          </cell>
          <cell r="B1741" t="str">
            <v>ROHR Insourcing</v>
          </cell>
          <cell r="D1741" t="str">
            <v>Work days</v>
          </cell>
          <cell r="Z1741">
            <v>4</v>
          </cell>
          <cell r="AA1741">
            <v>5</v>
          </cell>
          <cell r="AB1741">
            <v>0</v>
          </cell>
          <cell r="AC1741">
            <v>5</v>
          </cell>
          <cell r="AD1741">
            <v>3</v>
          </cell>
          <cell r="AE1741">
            <v>5</v>
          </cell>
          <cell r="AF1741">
            <v>5</v>
          </cell>
          <cell r="AG1741">
            <v>5</v>
          </cell>
          <cell r="AH1741">
            <v>6</v>
          </cell>
          <cell r="AI1741">
            <v>6</v>
          </cell>
          <cell r="AJ1741">
            <v>6</v>
          </cell>
          <cell r="AK1741">
            <v>4</v>
          </cell>
          <cell r="AL1741">
            <v>4</v>
          </cell>
          <cell r="AM1741">
            <v>5</v>
          </cell>
          <cell r="AN1741">
            <v>4</v>
          </cell>
          <cell r="AO1741">
            <v>5</v>
          </cell>
          <cell r="AP1741">
            <v>5</v>
          </cell>
          <cell r="AQ1741">
            <v>5</v>
          </cell>
          <cell r="AR1741">
            <v>5</v>
          </cell>
          <cell r="AS1741">
            <v>5</v>
          </cell>
          <cell r="AT1741">
            <v>5</v>
          </cell>
          <cell r="AU1741">
            <v>5</v>
          </cell>
          <cell r="AV1741">
            <v>5</v>
          </cell>
          <cell r="AW1741">
            <v>5</v>
          </cell>
          <cell r="AX1741">
            <v>5</v>
          </cell>
          <cell r="AY1741">
            <v>5</v>
          </cell>
          <cell r="AZ1741">
            <v>0</v>
          </cell>
          <cell r="BA1741">
            <v>0</v>
          </cell>
          <cell r="BB1741">
            <v>5</v>
          </cell>
          <cell r="BC1741">
            <v>5</v>
          </cell>
          <cell r="BD1741">
            <v>5</v>
          </cell>
          <cell r="BE1741">
            <v>5</v>
          </cell>
          <cell r="BF1741">
            <v>5</v>
          </cell>
          <cell r="BG1741">
            <v>5</v>
          </cell>
          <cell r="BH1741">
            <v>5</v>
          </cell>
          <cell r="BI1741">
            <v>5</v>
          </cell>
          <cell r="BJ1741">
            <v>5</v>
          </cell>
          <cell r="BK1741">
            <v>5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</row>
        <row r="1742">
          <cell r="A1742" t="str">
            <v>Volvo</v>
          </cell>
          <cell r="B1742" t="str">
            <v>ROHR Insourcing</v>
          </cell>
          <cell r="D1742" t="str">
            <v>SHIFT A HC - operators</v>
          </cell>
          <cell r="Z1742">
            <v>18</v>
          </cell>
          <cell r="AA1742">
            <v>18</v>
          </cell>
          <cell r="AB1742">
            <v>18</v>
          </cell>
          <cell r="AC1742">
            <v>18</v>
          </cell>
          <cell r="AD1742">
            <v>18</v>
          </cell>
          <cell r="AE1742">
            <v>18</v>
          </cell>
          <cell r="AF1742">
            <v>18</v>
          </cell>
          <cell r="AG1742">
            <v>18</v>
          </cell>
          <cell r="AH1742">
            <v>18</v>
          </cell>
          <cell r="AI1742">
            <v>18</v>
          </cell>
          <cell r="AJ1742">
            <v>18</v>
          </cell>
          <cell r="AK1742">
            <v>18</v>
          </cell>
          <cell r="AL1742">
            <v>18</v>
          </cell>
          <cell r="AM1742">
            <v>18</v>
          </cell>
          <cell r="AN1742">
            <v>18</v>
          </cell>
          <cell r="AO1742">
            <v>18</v>
          </cell>
          <cell r="AP1742">
            <v>18</v>
          </cell>
          <cell r="AQ1742">
            <v>18</v>
          </cell>
          <cell r="AR1742">
            <v>18</v>
          </cell>
          <cell r="AS1742">
            <v>18</v>
          </cell>
          <cell r="AT1742">
            <v>17</v>
          </cell>
          <cell r="AU1742">
            <v>17</v>
          </cell>
          <cell r="AV1742">
            <v>17</v>
          </cell>
          <cell r="AW1742">
            <v>17</v>
          </cell>
          <cell r="AX1742">
            <v>17</v>
          </cell>
          <cell r="AY1742">
            <v>17</v>
          </cell>
          <cell r="AZ1742">
            <v>17</v>
          </cell>
          <cell r="BA1742">
            <v>17</v>
          </cell>
          <cell r="BB1742">
            <v>17</v>
          </cell>
          <cell r="BC1742">
            <v>17</v>
          </cell>
          <cell r="BD1742">
            <v>17</v>
          </cell>
          <cell r="BE1742">
            <v>17</v>
          </cell>
          <cell r="BF1742">
            <v>17</v>
          </cell>
          <cell r="BG1742">
            <v>17</v>
          </cell>
          <cell r="BH1742">
            <v>17</v>
          </cell>
          <cell r="BI1742">
            <v>17</v>
          </cell>
          <cell r="BJ1742">
            <v>17</v>
          </cell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</row>
        <row r="1743">
          <cell r="A1743" t="str">
            <v>Volvo</v>
          </cell>
          <cell r="B1743" t="str">
            <v>ROHR Insourcing</v>
          </cell>
          <cell r="D1743" t="str">
            <v>SHIFT B HC  - operators</v>
          </cell>
          <cell r="Z1743">
            <v>18</v>
          </cell>
          <cell r="AA1743">
            <v>18</v>
          </cell>
          <cell r="AB1743">
            <v>18</v>
          </cell>
          <cell r="AC1743">
            <v>18</v>
          </cell>
          <cell r="AD1743">
            <v>18</v>
          </cell>
          <cell r="AE1743">
            <v>18</v>
          </cell>
          <cell r="AF1743">
            <v>18</v>
          </cell>
          <cell r="AG1743">
            <v>18</v>
          </cell>
          <cell r="AH1743">
            <v>18</v>
          </cell>
          <cell r="AI1743">
            <v>18</v>
          </cell>
          <cell r="AJ1743">
            <v>18</v>
          </cell>
          <cell r="AK1743">
            <v>18</v>
          </cell>
          <cell r="AL1743">
            <v>18</v>
          </cell>
          <cell r="AM1743">
            <v>18</v>
          </cell>
          <cell r="AN1743">
            <v>18</v>
          </cell>
          <cell r="AO1743">
            <v>18</v>
          </cell>
          <cell r="AP1743">
            <v>18</v>
          </cell>
          <cell r="AQ1743">
            <v>18</v>
          </cell>
          <cell r="AR1743">
            <v>18</v>
          </cell>
          <cell r="AS1743">
            <v>18</v>
          </cell>
          <cell r="AT1743">
            <v>17</v>
          </cell>
          <cell r="AU1743">
            <v>17</v>
          </cell>
          <cell r="AV1743">
            <v>17</v>
          </cell>
          <cell r="AW1743">
            <v>17</v>
          </cell>
          <cell r="AX1743">
            <v>17</v>
          </cell>
          <cell r="AY1743">
            <v>17</v>
          </cell>
          <cell r="AZ1743">
            <v>17</v>
          </cell>
          <cell r="BA1743">
            <v>17</v>
          </cell>
          <cell r="BB1743">
            <v>17</v>
          </cell>
          <cell r="BC1743">
            <v>17</v>
          </cell>
          <cell r="BD1743">
            <v>17</v>
          </cell>
          <cell r="BE1743">
            <v>17</v>
          </cell>
          <cell r="BF1743">
            <v>17</v>
          </cell>
          <cell r="BG1743">
            <v>17</v>
          </cell>
          <cell r="BH1743">
            <v>17</v>
          </cell>
          <cell r="BI1743">
            <v>17</v>
          </cell>
          <cell r="BJ1743">
            <v>17</v>
          </cell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</row>
        <row r="1744">
          <cell r="A1744" t="str">
            <v>Volvo</v>
          </cell>
          <cell r="B1744" t="str">
            <v>ROHR Insourcing</v>
          </cell>
          <cell r="D1744" t="str">
            <v>SHIFT C HC  - operators</v>
          </cell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</row>
        <row r="1745">
          <cell r="A1745" t="str">
            <v>Volvo</v>
          </cell>
          <cell r="B1745" t="str">
            <v>ROHR Insourcing</v>
          </cell>
          <cell r="D1745" t="str">
            <v>Total HC</v>
          </cell>
          <cell r="Z1745">
            <v>36</v>
          </cell>
          <cell r="AA1745">
            <v>36</v>
          </cell>
          <cell r="AB1745">
            <v>36</v>
          </cell>
          <cell r="AC1745">
            <v>36</v>
          </cell>
          <cell r="AD1745">
            <v>36</v>
          </cell>
          <cell r="AE1745">
            <v>36</v>
          </cell>
          <cell r="AF1745">
            <v>36</v>
          </cell>
          <cell r="AG1745">
            <v>36</v>
          </cell>
          <cell r="AH1745">
            <v>36</v>
          </cell>
          <cell r="AI1745">
            <v>36</v>
          </cell>
          <cell r="AJ1745">
            <v>36</v>
          </cell>
          <cell r="AK1745">
            <v>36</v>
          </cell>
          <cell r="AL1745">
            <v>36</v>
          </cell>
          <cell r="AM1745">
            <v>36</v>
          </cell>
          <cell r="AN1745">
            <v>36</v>
          </cell>
          <cell r="AO1745">
            <v>36</v>
          </cell>
          <cell r="AP1745">
            <v>36</v>
          </cell>
          <cell r="AQ1745">
            <v>36</v>
          </cell>
          <cell r="AR1745">
            <v>36</v>
          </cell>
          <cell r="AS1745">
            <v>36</v>
          </cell>
          <cell r="AT1745">
            <v>34</v>
          </cell>
          <cell r="AU1745">
            <v>34</v>
          </cell>
          <cell r="AV1745">
            <v>34</v>
          </cell>
          <cell r="AW1745">
            <v>34</v>
          </cell>
          <cell r="AX1745">
            <v>34</v>
          </cell>
          <cell r="AY1745">
            <v>34</v>
          </cell>
          <cell r="AZ1745">
            <v>34</v>
          </cell>
          <cell r="BA1745">
            <v>34</v>
          </cell>
          <cell r="BB1745">
            <v>34</v>
          </cell>
          <cell r="BC1745">
            <v>34</v>
          </cell>
          <cell r="BD1745">
            <v>34</v>
          </cell>
          <cell r="BE1745">
            <v>34</v>
          </cell>
          <cell r="BF1745">
            <v>34</v>
          </cell>
          <cell r="BG1745">
            <v>34</v>
          </cell>
          <cell r="BH1745">
            <v>34</v>
          </cell>
          <cell r="BI1745">
            <v>34</v>
          </cell>
          <cell r="BJ1745">
            <v>34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</row>
        <row r="1746">
          <cell r="A1746" t="str">
            <v>Volvo</v>
          </cell>
          <cell r="B1746" t="str">
            <v>ROHR Insourcing</v>
          </cell>
          <cell r="D1746" t="str">
            <v>SHIFT A HC  - efficiency</v>
          </cell>
          <cell r="Z1746">
            <v>0.2</v>
          </cell>
          <cell r="AA1746">
            <v>0.3</v>
          </cell>
          <cell r="AB1746">
            <v>0.375</v>
          </cell>
          <cell r="AC1746">
            <v>0.38</v>
          </cell>
          <cell r="AD1746">
            <v>0.45500000000000002</v>
          </cell>
          <cell r="AE1746">
            <v>0.53</v>
          </cell>
          <cell r="AF1746">
            <v>0.60499999999999998</v>
          </cell>
          <cell r="AG1746">
            <v>0.65500000000000003</v>
          </cell>
          <cell r="AH1746">
            <v>0.70500000000000007</v>
          </cell>
          <cell r="AI1746">
            <v>0.75500000000000012</v>
          </cell>
          <cell r="AJ1746">
            <v>0.80500000000000016</v>
          </cell>
          <cell r="AK1746">
            <v>0.8550000000000002</v>
          </cell>
          <cell r="AL1746">
            <v>0.90500000000000025</v>
          </cell>
          <cell r="AM1746">
            <v>1</v>
          </cell>
          <cell r="AN1746">
            <v>1</v>
          </cell>
          <cell r="AO1746">
            <v>1</v>
          </cell>
          <cell r="AP1746">
            <v>1</v>
          </cell>
          <cell r="AQ1746">
            <v>1</v>
          </cell>
          <cell r="AR1746">
            <v>1.1000000000000001</v>
          </cell>
          <cell r="AS1746">
            <v>1.1000000000000001</v>
          </cell>
          <cell r="AT1746">
            <v>1.1000000000000001</v>
          </cell>
          <cell r="AU1746">
            <v>1.1000000000000001</v>
          </cell>
          <cell r="AV1746">
            <v>1.1000000000000001</v>
          </cell>
          <cell r="AW1746">
            <v>1.1000000000000001</v>
          </cell>
          <cell r="AX1746">
            <v>1.1000000000000001</v>
          </cell>
          <cell r="AY1746">
            <v>1.1000000000000001</v>
          </cell>
          <cell r="AZ1746">
            <v>1.1000000000000001</v>
          </cell>
          <cell r="BA1746">
            <v>1.1000000000000001</v>
          </cell>
          <cell r="BB1746">
            <v>1.1000000000000001</v>
          </cell>
          <cell r="BC1746">
            <v>1.1000000000000001</v>
          </cell>
          <cell r="BD1746">
            <v>1.1000000000000001</v>
          </cell>
          <cell r="BE1746">
            <v>1.1000000000000001</v>
          </cell>
          <cell r="BF1746">
            <v>1.1000000000000001</v>
          </cell>
          <cell r="BG1746">
            <v>1.1000000000000001</v>
          </cell>
          <cell r="BH1746">
            <v>1.1000000000000001</v>
          </cell>
          <cell r="BI1746">
            <v>1.1000000000000001</v>
          </cell>
          <cell r="BJ1746">
            <v>1.1000000000000001</v>
          </cell>
          <cell r="BK1746">
            <v>1.1000000000000001</v>
          </cell>
          <cell r="BL1746">
            <v>1.1000000000000001</v>
          </cell>
          <cell r="BM1746">
            <v>1.1000000000000001</v>
          </cell>
          <cell r="BN1746"/>
          <cell r="BO1746"/>
          <cell r="BP1746"/>
          <cell r="BQ1746"/>
          <cell r="BR1746"/>
          <cell r="BS1746"/>
          <cell r="BT1746"/>
          <cell r="BU1746"/>
          <cell r="BV1746"/>
        </row>
        <row r="1747">
          <cell r="A1747" t="str">
            <v>Volvo</v>
          </cell>
          <cell r="B1747" t="str">
            <v>ROHR Insourcing</v>
          </cell>
          <cell r="D1747" t="str">
            <v>SHIFT B HC  - efficiency</v>
          </cell>
          <cell r="Z1747">
            <v>0.2</v>
          </cell>
          <cell r="AA1747">
            <v>0.3</v>
          </cell>
          <cell r="AB1747">
            <v>0.375</v>
          </cell>
          <cell r="AC1747">
            <v>0.38</v>
          </cell>
          <cell r="AD1747">
            <v>0.45500000000000002</v>
          </cell>
          <cell r="AE1747">
            <v>0.53</v>
          </cell>
          <cell r="AF1747">
            <v>0.60499999999999998</v>
          </cell>
          <cell r="AG1747">
            <v>0.65500000000000003</v>
          </cell>
          <cell r="AH1747">
            <v>0.70500000000000007</v>
          </cell>
          <cell r="AI1747">
            <v>0.75500000000000012</v>
          </cell>
          <cell r="AJ1747">
            <v>0.80500000000000016</v>
          </cell>
          <cell r="AK1747">
            <v>0.8550000000000002</v>
          </cell>
          <cell r="AL1747">
            <v>0.90500000000000025</v>
          </cell>
          <cell r="AM1747">
            <v>1</v>
          </cell>
          <cell r="AN1747">
            <v>1</v>
          </cell>
          <cell r="AO1747">
            <v>1</v>
          </cell>
          <cell r="AP1747">
            <v>1</v>
          </cell>
          <cell r="AQ1747">
            <v>1</v>
          </cell>
          <cell r="AR1747">
            <v>1.1000000000000001</v>
          </cell>
          <cell r="AS1747">
            <v>1.1000000000000001</v>
          </cell>
          <cell r="AT1747">
            <v>1.1000000000000001</v>
          </cell>
          <cell r="AU1747">
            <v>1.1000000000000001</v>
          </cell>
          <cell r="AV1747">
            <v>1.1000000000000001</v>
          </cell>
          <cell r="AW1747">
            <v>1.1000000000000001</v>
          </cell>
          <cell r="AX1747">
            <v>1.1000000000000001</v>
          </cell>
          <cell r="AY1747">
            <v>1.1000000000000001</v>
          </cell>
          <cell r="AZ1747">
            <v>1.1000000000000003</v>
          </cell>
          <cell r="BA1747">
            <v>1.1000000000000003</v>
          </cell>
          <cell r="BB1747">
            <v>1.1000000000000003</v>
          </cell>
          <cell r="BC1747">
            <v>1.1000000000000003</v>
          </cell>
          <cell r="BD1747">
            <v>1.1000000000000003</v>
          </cell>
          <cell r="BE1747">
            <v>1.1000000000000003</v>
          </cell>
          <cell r="BF1747">
            <v>1.1000000000000003</v>
          </cell>
          <cell r="BG1747">
            <v>1.1000000000000003</v>
          </cell>
          <cell r="BH1747">
            <v>1.1000000000000003</v>
          </cell>
          <cell r="BI1747">
            <v>1.1000000000000003</v>
          </cell>
          <cell r="BJ1747">
            <v>1.1000000000000003</v>
          </cell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</row>
        <row r="1748">
          <cell r="A1748" t="str">
            <v>Volvo</v>
          </cell>
          <cell r="B1748" t="str">
            <v>ROHR Insourcing</v>
          </cell>
          <cell r="D1748" t="str">
            <v>SHIFT C HC  - efficiency</v>
          </cell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</row>
        <row r="1749">
          <cell r="A1749" t="str">
            <v>Volvo</v>
          </cell>
          <cell r="B1749" t="str">
            <v>ROHR Insourcing</v>
          </cell>
          <cell r="D1749" t="str">
            <v>Total efficiency</v>
          </cell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</row>
        <row r="1750">
          <cell r="A1750" t="str">
            <v>Volvo</v>
          </cell>
          <cell r="B1750" t="str">
            <v>ROHR Insourcing</v>
          </cell>
          <cell r="D1750" t="str">
            <v>SHIFT A - output</v>
          </cell>
          <cell r="Z1750">
            <v>204.54545454545453</v>
          </cell>
          <cell r="AA1750">
            <v>306.81818181818176</v>
          </cell>
          <cell r="AB1750">
            <v>383.52272727272725</v>
          </cell>
          <cell r="AC1750">
            <v>388.63636363636363</v>
          </cell>
          <cell r="AD1750">
            <v>465.34090909090907</v>
          </cell>
          <cell r="AE1750">
            <v>542.0454545454545</v>
          </cell>
          <cell r="AF1750">
            <v>618.74999999999989</v>
          </cell>
          <cell r="AG1750">
            <v>669.88636363636363</v>
          </cell>
          <cell r="AH1750">
            <v>721.02272727272725</v>
          </cell>
          <cell r="AI1750">
            <v>772.15909090909099</v>
          </cell>
          <cell r="AJ1750">
            <v>823.29545454545462</v>
          </cell>
          <cell r="AK1750">
            <v>874.43181818181836</v>
          </cell>
          <cell r="AL1750">
            <v>925.56818181818198</v>
          </cell>
          <cell r="AM1750">
            <v>1022.7272727272726</v>
          </cell>
          <cell r="AN1750">
            <v>1022.7272727272726</v>
          </cell>
          <cell r="AO1750">
            <v>1022.7272727272726</v>
          </cell>
          <cell r="AP1750">
            <v>1022.7272727272726</v>
          </cell>
          <cell r="AQ1750">
            <v>1022.7272727272726</v>
          </cell>
          <cell r="AR1750">
            <v>1125</v>
          </cell>
          <cell r="AS1750">
            <v>1125</v>
          </cell>
          <cell r="AT1750">
            <v>1062.5</v>
          </cell>
          <cell r="AU1750">
            <v>1062.5</v>
          </cell>
          <cell r="AV1750">
            <v>1062.5</v>
          </cell>
          <cell r="AW1750">
            <v>1062.5</v>
          </cell>
          <cell r="AX1750">
            <v>1062.5</v>
          </cell>
          <cell r="AY1750">
            <v>1062.5</v>
          </cell>
          <cell r="AZ1750">
            <v>1062.5</v>
          </cell>
          <cell r="BA1750">
            <v>1062.5</v>
          </cell>
          <cell r="BB1750">
            <v>1062.5</v>
          </cell>
          <cell r="BC1750">
            <v>1062.5</v>
          </cell>
          <cell r="BD1750">
            <v>1062.5</v>
          </cell>
          <cell r="BE1750">
            <v>1062.5</v>
          </cell>
          <cell r="BF1750">
            <v>1062.5</v>
          </cell>
          <cell r="BG1750">
            <v>1062.5</v>
          </cell>
          <cell r="BH1750">
            <v>1062.5</v>
          </cell>
          <cell r="BI1750">
            <v>1062.5</v>
          </cell>
          <cell r="BJ1750">
            <v>1062.5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</row>
        <row r="1751">
          <cell r="A1751" t="str">
            <v>Volvo</v>
          </cell>
          <cell r="B1751" t="str">
            <v>ROHR Insourcing</v>
          </cell>
          <cell r="D1751" t="str">
            <v>SHIFT B  - output</v>
          </cell>
          <cell r="Z1751">
            <v>204.54545454545453</v>
          </cell>
          <cell r="AA1751">
            <v>306.81818181818176</v>
          </cell>
          <cell r="AB1751">
            <v>383.52272727272725</v>
          </cell>
          <cell r="AC1751">
            <v>388.63636363636363</v>
          </cell>
          <cell r="AD1751">
            <v>465.34090909090907</v>
          </cell>
          <cell r="AE1751">
            <v>542.0454545454545</v>
          </cell>
          <cell r="AF1751">
            <v>618.74999999999989</v>
          </cell>
          <cell r="AG1751">
            <v>669.88636363636363</v>
          </cell>
          <cell r="AH1751">
            <v>721.02272727272725</v>
          </cell>
          <cell r="AI1751">
            <v>772.15909090909099</v>
          </cell>
          <cell r="AJ1751">
            <v>823.29545454545462</v>
          </cell>
          <cell r="AK1751">
            <v>874.43181818181836</v>
          </cell>
          <cell r="AL1751">
            <v>925.56818181818198</v>
          </cell>
          <cell r="AM1751">
            <v>1022.7272727272726</v>
          </cell>
          <cell r="AN1751">
            <v>1022.7272727272726</v>
          </cell>
          <cell r="AO1751">
            <v>1022.7272727272726</v>
          </cell>
          <cell r="AP1751">
            <v>1022.7272727272726</v>
          </cell>
          <cell r="AQ1751">
            <v>1022.7272727272726</v>
          </cell>
          <cell r="AR1751">
            <v>1125</v>
          </cell>
          <cell r="AS1751">
            <v>1125</v>
          </cell>
          <cell r="AT1751">
            <v>1062.5</v>
          </cell>
          <cell r="AU1751">
            <v>1062.5</v>
          </cell>
          <cell r="AV1751">
            <v>1062.5</v>
          </cell>
          <cell r="AW1751">
            <v>1062.5</v>
          </cell>
          <cell r="AX1751">
            <v>1062.5</v>
          </cell>
          <cell r="AY1751">
            <v>1062.5</v>
          </cell>
          <cell r="AZ1751">
            <v>1062.5000000000002</v>
          </cell>
          <cell r="BA1751">
            <v>1062.5000000000002</v>
          </cell>
          <cell r="BB1751">
            <v>1062.5000000000002</v>
          </cell>
          <cell r="BC1751">
            <v>1062.5000000000002</v>
          </cell>
          <cell r="BD1751">
            <v>1062.5000000000002</v>
          </cell>
          <cell r="BE1751">
            <v>1062.5000000000002</v>
          </cell>
          <cell r="BF1751">
            <v>1062.5000000000002</v>
          </cell>
          <cell r="BG1751">
            <v>1062.5000000000002</v>
          </cell>
          <cell r="BH1751">
            <v>1062.5000000000002</v>
          </cell>
          <cell r="BI1751">
            <v>1062.5000000000002</v>
          </cell>
          <cell r="BJ1751">
            <v>1062.5000000000002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</row>
        <row r="1752">
          <cell r="A1752" t="str">
            <v>Volvo</v>
          </cell>
          <cell r="B1752" t="str">
            <v>ROHR Insourcing</v>
          </cell>
          <cell r="D1752" t="str">
            <v>SHIFT C  - output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</row>
        <row r="1753">
          <cell r="A1753" t="str">
            <v>Volvo</v>
          </cell>
          <cell r="B1753" t="str">
            <v>ROHR Insourcing</v>
          </cell>
          <cell r="D1753" t="str">
            <v>Est. Output (Pcs day)</v>
          </cell>
          <cell r="E1753">
            <v>7.9200000000000008</v>
          </cell>
          <cell r="Z1753">
            <v>409.09090909090907</v>
          </cell>
          <cell r="AA1753">
            <v>613.63636363636351</v>
          </cell>
          <cell r="AB1753">
            <v>767.0454545454545</v>
          </cell>
          <cell r="AC1753">
            <v>777.27272727272725</v>
          </cell>
          <cell r="AD1753">
            <v>930.68181818181813</v>
          </cell>
          <cell r="AE1753">
            <v>1084.090909090909</v>
          </cell>
          <cell r="AF1753">
            <v>1237.4999999999998</v>
          </cell>
          <cell r="AG1753">
            <v>1339.7727272727273</v>
          </cell>
          <cell r="AH1753">
            <v>1442.0454545454545</v>
          </cell>
          <cell r="AI1753">
            <v>1544.318181818182</v>
          </cell>
          <cell r="AJ1753">
            <v>1646.5909090909092</v>
          </cell>
          <cell r="AK1753">
            <v>1748.8636363636367</v>
          </cell>
          <cell r="AL1753">
            <v>1851.136363636364</v>
          </cell>
          <cell r="AM1753">
            <v>2045.4545454545453</v>
          </cell>
          <cell r="AN1753">
            <v>2045.4545454545453</v>
          </cell>
          <cell r="AO1753">
            <v>2045.4545454545453</v>
          </cell>
          <cell r="AP1753">
            <v>2045.4545454545453</v>
          </cell>
          <cell r="AQ1753">
            <v>2045.4545454545453</v>
          </cell>
          <cell r="AR1753">
            <v>2250</v>
          </cell>
          <cell r="AS1753">
            <v>2250</v>
          </cell>
          <cell r="AT1753">
            <v>2125</v>
          </cell>
          <cell r="AU1753">
            <v>2125</v>
          </cell>
          <cell r="AV1753">
            <v>2125</v>
          </cell>
          <cell r="AW1753">
            <v>2125</v>
          </cell>
          <cell r="AX1753">
            <v>2125</v>
          </cell>
          <cell r="AY1753">
            <v>2125</v>
          </cell>
          <cell r="AZ1753">
            <v>2125</v>
          </cell>
          <cell r="BA1753">
            <v>2125</v>
          </cell>
          <cell r="BB1753">
            <v>2125</v>
          </cell>
          <cell r="BC1753">
            <v>2125</v>
          </cell>
          <cell r="BD1753">
            <v>2125</v>
          </cell>
          <cell r="BE1753">
            <v>2125</v>
          </cell>
          <cell r="BF1753">
            <v>2125</v>
          </cell>
          <cell r="BG1753">
            <v>2125</v>
          </cell>
          <cell r="BH1753">
            <v>2125</v>
          </cell>
          <cell r="BI1753">
            <v>2125</v>
          </cell>
          <cell r="BJ1753">
            <v>2125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</row>
        <row r="1754">
          <cell r="A1754" t="str">
            <v>Volvo</v>
          </cell>
          <cell r="B1754" t="str">
            <v>ROHR Insourcing</v>
          </cell>
          <cell r="D1754" t="str">
            <v>Weekly Output PLAN</v>
          </cell>
          <cell r="E1754" t="str">
            <v>SEW</v>
          </cell>
          <cell r="Z1754">
            <v>1636.3636363636363</v>
          </cell>
          <cell r="AA1754">
            <v>3068.1818181818176</v>
          </cell>
          <cell r="AB1754">
            <v>0</v>
          </cell>
          <cell r="AC1754">
            <v>3886.363636363636</v>
          </cell>
          <cell r="AD1754">
            <v>2792.0454545454545</v>
          </cell>
          <cell r="AE1754">
            <v>5420.454545454545</v>
          </cell>
          <cell r="AF1754">
            <v>6187.4999999999991</v>
          </cell>
          <cell r="AG1754">
            <v>6698.863636363636</v>
          </cell>
          <cell r="AH1754">
            <v>8652.2727272727279</v>
          </cell>
          <cell r="AI1754">
            <v>9265.9090909090919</v>
          </cell>
          <cell r="AJ1754">
            <v>9879.5454545454559</v>
          </cell>
          <cell r="AK1754">
            <v>6995.4545454545469</v>
          </cell>
          <cell r="AL1754">
            <v>7404.5454545454559</v>
          </cell>
          <cell r="AM1754">
            <v>10227.272727272726</v>
          </cell>
          <cell r="AN1754">
            <v>8181.8181818181811</v>
          </cell>
          <cell r="AO1754">
            <v>10227.272727272726</v>
          </cell>
          <cell r="AP1754">
            <v>10227.272727272726</v>
          </cell>
          <cell r="AQ1754">
            <v>10227.272727272726</v>
          </cell>
          <cell r="AR1754">
            <v>11250</v>
          </cell>
          <cell r="AS1754">
            <v>11250</v>
          </cell>
          <cell r="AT1754">
            <v>10625</v>
          </cell>
          <cell r="AU1754">
            <v>10625</v>
          </cell>
          <cell r="AV1754">
            <v>10625</v>
          </cell>
          <cell r="AW1754">
            <v>10625</v>
          </cell>
          <cell r="AX1754">
            <v>10625</v>
          </cell>
          <cell r="AY1754">
            <v>10625</v>
          </cell>
          <cell r="AZ1754">
            <v>0</v>
          </cell>
          <cell r="BA1754">
            <v>0</v>
          </cell>
          <cell r="BB1754">
            <v>10625</v>
          </cell>
          <cell r="BC1754">
            <v>10625</v>
          </cell>
          <cell r="BD1754">
            <v>10625</v>
          </cell>
          <cell r="BE1754">
            <v>10625</v>
          </cell>
          <cell r="BF1754">
            <v>10625</v>
          </cell>
          <cell r="BG1754">
            <v>10625</v>
          </cell>
          <cell r="BH1754">
            <v>10625</v>
          </cell>
          <cell r="BI1754">
            <v>10625</v>
          </cell>
          <cell r="BJ1754">
            <v>10625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</row>
        <row r="1755">
          <cell r="A1755" t="str">
            <v>Volvo</v>
          </cell>
          <cell r="B1755" t="str">
            <v>ROHR Insourcing</v>
          </cell>
          <cell r="D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</row>
        <row r="1756">
          <cell r="A1756" t="str">
            <v>Volvo</v>
          </cell>
          <cell r="B1756" t="str">
            <v>ROHR Insourcing</v>
          </cell>
          <cell r="D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</row>
        <row r="1757">
          <cell r="A1757" t="str">
            <v>Volvo</v>
          </cell>
          <cell r="B1757" t="str">
            <v>ROHR Insourcing</v>
          </cell>
          <cell r="D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</row>
        <row r="1758">
          <cell r="A1758" t="str">
            <v>Volvo</v>
          </cell>
          <cell r="B1758" t="str">
            <v>ROHR Insourcing</v>
          </cell>
          <cell r="D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</row>
        <row r="1759">
          <cell r="A1759" t="str">
            <v>Volvo</v>
          </cell>
          <cell r="B1759" t="str">
            <v>ROHR Insourcing</v>
          </cell>
          <cell r="D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</row>
        <row r="1760">
          <cell r="A1760" t="str">
            <v>Volvo</v>
          </cell>
          <cell r="B1760" t="str">
            <v>ROHR Insourcing</v>
          </cell>
          <cell r="D1760" t="str">
            <v>Weekly Output PLAN - SUM of models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</row>
        <row r="1761">
          <cell r="A1761" t="str">
            <v>Volvo</v>
          </cell>
          <cell r="B1761" t="str">
            <v>ROHR Insourcing</v>
          </cell>
          <cell r="D1761" t="str">
            <v>Weekly Output CHECK with TO time multiple</v>
          </cell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</row>
        <row r="1762">
          <cell r="A1762" t="str">
            <v>Volvo</v>
          </cell>
          <cell r="B1762" t="str">
            <v>ROHR Insourcing</v>
          </cell>
          <cell r="D1762" t="str">
            <v>Weekly Output ACT</v>
          </cell>
          <cell r="Z1762">
            <v>1636.3636363636363</v>
          </cell>
          <cell r="AA1762">
            <v>3068.1818181818176</v>
          </cell>
          <cell r="AB1762">
            <v>0</v>
          </cell>
          <cell r="AC1762">
            <v>3886.363636363636</v>
          </cell>
          <cell r="AD1762">
            <v>2792.0454545454545</v>
          </cell>
          <cell r="AE1762">
            <v>5420.454545454545</v>
          </cell>
          <cell r="AF1762">
            <v>6187.4999999999991</v>
          </cell>
          <cell r="AG1762">
            <v>6698.863636363636</v>
          </cell>
          <cell r="AH1762">
            <v>8652.2727272727279</v>
          </cell>
          <cell r="AI1762">
            <v>9265.9090909090919</v>
          </cell>
          <cell r="AJ1762">
            <v>9879.5454545454559</v>
          </cell>
          <cell r="AK1762">
            <v>6995.4545454545469</v>
          </cell>
          <cell r="AL1762">
            <v>7404.5454545454559</v>
          </cell>
          <cell r="AM1762">
            <v>10227.272727272726</v>
          </cell>
          <cell r="AN1762">
            <v>8181.8181818181811</v>
          </cell>
          <cell r="AO1762">
            <v>10227.272727272726</v>
          </cell>
          <cell r="AP1762">
            <v>10227.272727272726</v>
          </cell>
          <cell r="AQ1762">
            <v>10227.272727272726</v>
          </cell>
          <cell r="AR1762">
            <v>11250</v>
          </cell>
          <cell r="AS1762">
            <v>11250</v>
          </cell>
          <cell r="AT1762">
            <v>10625</v>
          </cell>
          <cell r="AU1762">
            <v>10625</v>
          </cell>
          <cell r="AV1762">
            <v>10625</v>
          </cell>
          <cell r="AW1762">
            <v>10625</v>
          </cell>
          <cell r="AX1762">
            <v>10625</v>
          </cell>
          <cell r="AY1762">
            <v>10625</v>
          </cell>
          <cell r="AZ1762">
            <v>0</v>
          </cell>
          <cell r="BA1762">
            <v>0</v>
          </cell>
          <cell r="BB1762">
            <v>10625</v>
          </cell>
          <cell r="BC1762">
            <v>10625</v>
          </cell>
          <cell r="BD1762">
            <v>10625</v>
          </cell>
          <cell r="BE1762">
            <v>10625</v>
          </cell>
          <cell r="BF1762">
            <v>10625</v>
          </cell>
          <cell r="BG1762">
            <v>10625</v>
          </cell>
          <cell r="BH1762">
            <v>10625</v>
          </cell>
          <cell r="BI1762">
            <v>10625</v>
          </cell>
          <cell r="BJ1762">
            <v>10625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</row>
        <row r="1763">
          <cell r="A1763" t="str">
            <v>Volvo</v>
          </cell>
          <cell r="B1763" t="str">
            <v>ROHR Insourcing</v>
          </cell>
          <cell r="D1763">
            <v>0</v>
          </cell>
          <cell r="Z1763"/>
          <cell r="AA1763"/>
          <cell r="AB1763"/>
          <cell r="AC1763"/>
          <cell r="AD1763">
            <v>2700</v>
          </cell>
          <cell r="AE1763">
            <v>5200</v>
          </cell>
          <cell r="AF1763">
            <v>9593.9086294416247</v>
          </cell>
          <cell r="AG1763">
            <v>9593.9086294416247</v>
          </cell>
          <cell r="AH1763">
            <v>9593.9086294416247</v>
          </cell>
          <cell r="AI1763">
            <v>9593.9086294416247</v>
          </cell>
          <cell r="AJ1763">
            <v>9593.9086294416247</v>
          </cell>
          <cell r="AK1763">
            <v>7675.1269035532996</v>
          </cell>
          <cell r="AL1763">
            <v>7675.1269035532996</v>
          </cell>
          <cell r="AM1763">
            <v>9593.9086294416247</v>
          </cell>
          <cell r="AN1763">
            <v>7675.1269035532996</v>
          </cell>
          <cell r="AO1763">
            <v>9593.9086294416247</v>
          </cell>
          <cell r="AP1763">
            <v>9593.9086294416247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</row>
        <row r="1764">
          <cell r="A1764" t="str">
            <v>Volvo</v>
          </cell>
          <cell r="B1764" t="str">
            <v>ROHR Insourcing</v>
          </cell>
          <cell r="D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</row>
        <row r="1765">
          <cell r="A1765" t="str">
            <v>Volvo</v>
          </cell>
          <cell r="B1765" t="str">
            <v>ROHR Insourcing</v>
          </cell>
          <cell r="D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</row>
        <row r="1766">
          <cell r="A1766" t="str">
            <v>Volvo</v>
          </cell>
          <cell r="B1766" t="str">
            <v>ROHR Insourcing</v>
          </cell>
          <cell r="D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</row>
        <row r="1767">
          <cell r="A1767" t="str">
            <v>Volvo</v>
          </cell>
          <cell r="B1767" t="str">
            <v>ROHR Insourcing</v>
          </cell>
          <cell r="D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</row>
        <row r="1768">
          <cell r="A1768" t="str">
            <v>Volvo</v>
          </cell>
          <cell r="B1768" t="str">
            <v>ROHR Insourcing</v>
          </cell>
          <cell r="D1768" t="str">
            <v>Weekly demand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2700</v>
          </cell>
          <cell r="AE1768">
            <v>5200</v>
          </cell>
          <cell r="AF1768">
            <v>9593.9086294416247</v>
          </cell>
          <cell r="AG1768">
            <v>9593.9086294416247</v>
          </cell>
          <cell r="AH1768">
            <v>9593.9086294416247</v>
          </cell>
          <cell r="AI1768">
            <v>9593.9086294416247</v>
          </cell>
          <cell r="AJ1768">
            <v>9593.9086294416247</v>
          </cell>
          <cell r="AK1768">
            <v>7675.1269035532996</v>
          </cell>
          <cell r="AL1768">
            <v>7675.1269035532996</v>
          </cell>
          <cell r="AM1768">
            <v>9593.9086294416247</v>
          </cell>
          <cell r="AN1768">
            <v>7675.1269035532996</v>
          </cell>
          <cell r="AO1768">
            <v>9593.9086294416247</v>
          </cell>
          <cell r="AP1768">
            <v>9593.9086294416247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</row>
        <row r="1769">
          <cell r="A1769" t="str">
            <v>Volvo</v>
          </cell>
          <cell r="B1769" t="str">
            <v>ROHR Insourcing</v>
          </cell>
          <cell r="D1769" t="str">
            <v>Stock Target</v>
          </cell>
          <cell r="Z1769">
            <v>600</v>
          </cell>
          <cell r="AA1769">
            <v>600</v>
          </cell>
          <cell r="AB1769">
            <v>600</v>
          </cell>
          <cell r="AC1769">
            <v>600</v>
          </cell>
          <cell r="AD1769">
            <v>600</v>
          </cell>
          <cell r="AE1769">
            <v>600</v>
          </cell>
          <cell r="AF1769">
            <v>600</v>
          </cell>
          <cell r="AG1769">
            <v>2525</v>
          </cell>
          <cell r="AH1769">
            <v>2526</v>
          </cell>
          <cell r="AI1769">
            <v>2527</v>
          </cell>
          <cell r="AJ1769">
            <v>2528</v>
          </cell>
          <cell r="AK1769">
            <v>2529</v>
          </cell>
          <cell r="AL1769">
            <v>2530</v>
          </cell>
          <cell r="AM1769">
            <v>2531</v>
          </cell>
          <cell r="AN1769">
            <v>2532</v>
          </cell>
          <cell r="AO1769">
            <v>2533</v>
          </cell>
          <cell r="AP1769">
            <v>2534</v>
          </cell>
          <cell r="AQ1769">
            <v>2535</v>
          </cell>
          <cell r="AR1769">
            <v>2536</v>
          </cell>
          <cell r="AS1769">
            <v>2537</v>
          </cell>
          <cell r="AT1769">
            <v>2538</v>
          </cell>
          <cell r="AU1769">
            <v>2539</v>
          </cell>
          <cell r="AV1769">
            <v>2540</v>
          </cell>
          <cell r="AW1769">
            <v>2541</v>
          </cell>
          <cell r="AX1769">
            <v>2542</v>
          </cell>
          <cell r="AY1769">
            <v>2543</v>
          </cell>
          <cell r="AZ1769">
            <v>2544</v>
          </cell>
          <cell r="BA1769">
            <v>2545</v>
          </cell>
          <cell r="BB1769">
            <v>2546</v>
          </cell>
          <cell r="BC1769">
            <v>2547</v>
          </cell>
          <cell r="BD1769">
            <v>2548</v>
          </cell>
          <cell r="BE1769">
            <v>2549</v>
          </cell>
          <cell r="BF1769">
            <v>2550</v>
          </cell>
          <cell r="BG1769">
            <v>2551</v>
          </cell>
          <cell r="BH1769">
            <v>2552</v>
          </cell>
          <cell r="BI1769">
            <v>2553</v>
          </cell>
          <cell r="BJ1769">
            <v>2554</v>
          </cell>
          <cell r="BK1769">
            <v>2555</v>
          </cell>
          <cell r="BL1769">
            <v>2556</v>
          </cell>
          <cell r="BM1769">
            <v>2557</v>
          </cell>
          <cell r="BN1769">
            <v>2558</v>
          </cell>
          <cell r="BO1769">
            <v>2559</v>
          </cell>
          <cell r="BP1769">
            <v>2560</v>
          </cell>
          <cell r="BQ1769">
            <v>2561</v>
          </cell>
          <cell r="BR1769">
            <v>2562</v>
          </cell>
          <cell r="BS1769">
            <v>2563</v>
          </cell>
          <cell r="BT1769">
            <v>2564</v>
          </cell>
          <cell r="BU1769">
            <v>2565</v>
          </cell>
          <cell r="BV1769">
            <v>2566</v>
          </cell>
        </row>
        <row r="1770">
          <cell r="A1770" t="str">
            <v>Volvo</v>
          </cell>
          <cell r="B1770" t="str">
            <v>ROHR Insourcing</v>
          </cell>
          <cell r="D1770">
            <v>0</v>
          </cell>
          <cell r="E1770" t="str">
            <v>6407175-48</v>
          </cell>
          <cell r="Z1770">
            <v>1221.5999999999999</v>
          </cell>
          <cell r="AA1770">
            <v>2300</v>
          </cell>
          <cell r="AB1770">
            <v>2300</v>
          </cell>
          <cell r="AC1770">
            <v>2300</v>
          </cell>
          <cell r="AD1770">
            <v>-400</v>
          </cell>
          <cell r="AE1770">
            <v>-5600</v>
          </cell>
          <cell r="AF1770">
            <v>-15193.908629441625</v>
          </cell>
          <cell r="AG1770">
            <v>-24787.817258883249</v>
          </cell>
          <cell r="AH1770">
            <v>-34381.725888324872</v>
          </cell>
          <cell r="AI1770">
            <v>-43975.634517766499</v>
          </cell>
          <cell r="AJ1770">
            <v>-53569.543147208125</v>
          </cell>
          <cell r="AK1770">
            <v>-61244.670050761422</v>
          </cell>
          <cell r="AL1770">
            <v>-68919.796954314719</v>
          </cell>
          <cell r="AM1770">
            <v>-78513.705583756338</v>
          </cell>
          <cell r="AN1770">
            <v>-86188.832487309643</v>
          </cell>
          <cell r="AO1770">
            <v>-95782.741116751262</v>
          </cell>
          <cell r="AP1770">
            <v>-105376.64974619288</v>
          </cell>
          <cell r="AQ1770">
            <v>-105376.64974619288</v>
          </cell>
          <cell r="AR1770">
            <v>-105376.64974619288</v>
          </cell>
          <cell r="AS1770">
            <v>-105376.64974619288</v>
          </cell>
          <cell r="AT1770">
            <v>-105376.64974619288</v>
          </cell>
          <cell r="AU1770">
            <v>-105376.64974619288</v>
          </cell>
          <cell r="AV1770">
            <v>-105376.64974619288</v>
          </cell>
          <cell r="AW1770">
            <v>-105376.64974619288</v>
          </cell>
          <cell r="AX1770">
            <v>-105376.64974619288</v>
          </cell>
          <cell r="AY1770">
            <v>-105376.64974619288</v>
          </cell>
          <cell r="AZ1770">
            <v>-105376.64974619288</v>
          </cell>
          <cell r="BA1770">
            <v>-105376.64974619288</v>
          </cell>
          <cell r="BB1770">
            <v>-105376.64974619288</v>
          </cell>
          <cell r="BC1770">
            <v>-105376.64974619288</v>
          </cell>
          <cell r="BD1770">
            <v>-105376.64974619288</v>
          </cell>
          <cell r="BE1770">
            <v>-105376.64974619288</v>
          </cell>
          <cell r="BF1770">
            <v>-105376.64974619288</v>
          </cell>
          <cell r="BG1770">
            <v>-105376.64974619288</v>
          </cell>
          <cell r="BH1770">
            <v>-105376.64974619288</v>
          </cell>
          <cell r="BI1770">
            <v>-105376.64974619288</v>
          </cell>
          <cell r="BJ1770">
            <v>-105376.64974619288</v>
          </cell>
          <cell r="BK1770">
            <v>-105376.64974619288</v>
          </cell>
          <cell r="BL1770">
            <v>-105376.64974619288</v>
          </cell>
          <cell r="BM1770">
            <v>-105376.64974619288</v>
          </cell>
          <cell r="BN1770">
            <v>-105376.64974619288</v>
          </cell>
          <cell r="BO1770">
            <v>-105376.64974619288</v>
          </cell>
          <cell r="BP1770">
            <v>-105376.64974619288</v>
          </cell>
          <cell r="BQ1770">
            <v>-105376.64974619288</v>
          </cell>
          <cell r="BR1770">
            <v>-105376.64974619288</v>
          </cell>
          <cell r="BS1770">
            <v>-105376.64974619288</v>
          </cell>
          <cell r="BT1770">
            <v>-105376.64974619288</v>
          </cell>
          <cell r="BU1770">
            <v>-105376.64974619288</v>
          </cell>
          <cell r="BV1770">
            <v>-105376.64974619288</v>
          </cell>
        </row>
        <row r="1771">
          <cell r="A1771" t="str">
            <v>Volvo</v>
          </cell>
          <cell r="B1771" t="str">
            <v>ROHR Insourcing</v>
          </cell>
          <cell r="D1771">
            <v>0</v>
          </cell>
          <cell r="E1771" t="str">
            <v>6407175-NK</v>
          </cell>
          <cell r="Z1771">
            <v>1056</v>
          </cell>
          <cell r="AA1771">
            <v>3060</v>
          </cell>
          <cell r="AB1771">
            <v>3060</v>
          </cell>
          <cell r="AC1771">
            <v>3060</v>
          </cell>
          <cell r="AD1771">
            <v>3060</v>
          </cell>
          <cell r="AE1771">
            <v>3060</v>
          </cell>
          <cell r="AF1771">
            <v>3060</v>
          </cell>
          <cell r="AG1771">
            <v>3060</v>
          </cell>
          <cell r="AH1771">
            <v>3060</v>
          </cell>
          <cell r="AI1771">
            <v>3060</v>
          </cell>
          <cell r="AJ1771">
            <v>3060</v>
          </cell>
          <cell r="AK1771">
            <v>3060</v>
          </cell>
          <cell r="AL1771">
            <v>3060</v>
          </cell>
          <cell r="AM1771">
            <v>3060</v>
          </cell>
          <cell r="AN1771">
            <v>3060</v>
          </cell>
          <cell r="AO1771">
            <v>3060</v>
          </cell>
          <cell r="AP1771">
            <v>3060</v>
          </cell>
          <cell r="AQ1771">
            <v>3060</v>
          </cell>
          <cell r="AR1771">
            <v>3060</v>
          </cell>
          <cell r="AS1771">
            <v>3060</v>
          </cell>
          <cell r="AT1771">
            <v>3060</v>
          </cell>
          <cell r="AU1771">
            <v>3060</v>
          </cell>
          <cell r="AV1771">
            <v>3060</v>
          </cell>
          <cell r="AW1771">
            <v>3060</v>
          </cell>
          <cell r="AX1771">
            <v>3060</v>
          </cell>
          <cell r="AY1771">
            <v>3060</v>
          </cell>
          <cell r="AZ1771">
            <v>3060</v>
          </cell>
          <cell r="BA1771">
            <v>3060</v>
          </cell>
          <cell r="BB1771">
            <v>3060</v>
          </cell>
          <cell r="BC1771">
            <v>3060</v>
          </cell>
          <cell r="BD1771">
            <v>3060</v>
          </cell>
          <cell r="BE1771">
            <v>3060</v>
          </cell>
          <cell r="BF1771">
            <v>3060</v>
          </cell>
          <cell r="BG1771">
            <v>3060</v>
          </cell>
          <cell r="BH1771">
            <v>3060</v>
          </cell>
          <cell r="BI1771">
            <v>3060</v>
          </cell>
          <cell r="BJ1771">
            <v>3060</v>
          </cell>
          <cell r="BK1771">
            <v>3060</v>
          </cell>
          <cell r="BL1771">
            <v>3060</v>
          </cell>
          <cell r="BM1771">
            <v>3060</v>
          </cell>
          <cell r="BN1771">
            <v>3060</v>
          </cell>
          <cell r="BO1771">
            <v>3060</v>
          </cell>
          <cell r="BP1771">
            <v>3060</v>
          </cell>
          <cell r="BQ1771">
            <v>3060</v>
          </cell>
          <cell r="BR1771">
            <v>3060</v>
          </cell>
          <cell r="BS1771">
            <v>3060</v>
          </cell>
          <cell r="BT1771">
            <v>3060</v>
          </cell>
          <cell r="BU1771">
            <v>3060</v>
          </cell>
          <cell r="BV1771">
            <v>3060</v>
          </cell>
        </row>
        <row r="1772">
          <cell r="A1772" t="str">
            <v>Volvo</v>
          </cell>
          <cell r="B1772" t="str">
            <v>ROHR Insourcing</v>
          </cell>
          <cell r="D1772">
            <v>0</v>
          </cell>
          <cell r="Z1772"/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</row>
        <row r="1773">
          <cell r="A1773" t="str">
            <v>Volvo</v>
          </cell>
          <cell r="B1773" t="str">
            <v>ROHR Insourcing</v>
          </cell>
          <cell r="D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</row>
        <row r="1774">
          <cell r="A1774" t="str">
            <v>Volvo</v>
          </cell>
          <cell r="B1774" t="str">
            <v>ROHR Insourcing</v>
          </cell>
          <cell r="D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</row>
        <row r="1775">
          <cell r="A1775" t="str">
            <v>Volvo</v>
          </cell>
          <cell r="B1775" t="str">
            <v>ROHR Insourcing</v>
          </cell>
          <cell r="D1775" t="str">
            <v>STOCK</v>
          </cell>
          <cell r="Z1775">
            <v>2277.6</v>
          </cell>
          <cell r="AA1775">
            <v>5345.7818181818175</v>
          </cell>
          <cell r="AB1775">
            <v>5345.7818181818175</v>
          </cell>
          <cell r="AC1775">
            <v>9232.1454545454544</v>
          </cell>
          <cell r="AD1775">
            <v>9324.1909090909085</v>
          </cell>
          <cell r="AE1775">
            <v>9544.6454545454544</v>
          </cell>
          <cell r="AF1775">
            <v>6138.2368251038288</v>
          </cell>
          <cell r="AG1775">
            <v>3243.1918320258401</v>
          </cell>
          <cell r="AH1775">
            <v>2301.5559298569433</v>
          </cell>
          <cell r="AI1775">
            <v>1973.5563913244105</v>
          </cell>
          <cell r="AJ1775">
            <v>2259.1932164282416</v>
          </cell>
          <cell r="AK1775">
            <v>1579.5208583294889</v>
          </cell>
          <cell r="AL1775">
            <v>1308.9394093216451</v>
          </cell>
          <cell r="AM1775">
            <v>1942.3035071527465</v>
          </cell>
          <cell r="AN1775">
            <v>2448.994785417628</v>
          </cell>
          <cell r="AO1775">
            <v>3082.3588832487294</v>
          </cell>
          <cell r="AP1775">
            <v>3715.7229810798308</v>
          </cell>
          <cell r="AQ1775">
            <v>13942.995708352557</v>
          </cell>
          <cell r="AR1775">
            <v>25192.995708352559</v>
          </cell>
          <cell r="AS1775">
            <v>36442.995708352559</v>
          </cell>
          <cell r="AT1775">
            <v>47067.995708352559</v>
          </cell>
          <cell r="AU1775">
            <v>57692.995708352559</v>
          </cell>
          <cell r="AV1775">
            <v>68317.995708352566</v>
          </cell>
          <cell r="AW1775">
            <v>78942.995708352566</v>
          </cell>
          <cell r="AX1775">
            <v>89567.995708352566</v>
          </cell>
          <cell r="AY1775">
            <v>100192.99570835257</v>
          </cell>
          <cell r="AZ1775">
            <v>100192.99570835257</v>
          </cell>
          <cell r="BA1775">
            <v>100192.99570835257</v>
          </cell>
          <cell r="BB1775">
            <v>110817.99570835257</v>
          </cell>
          <cell r="BC1775">
            <v>121442.99570835257</v>
          </cell>
          <cell r="BD1775">
            <v>132067.99570835257</v>
          </cell>
          <cell r="BE1775">
            <v>142692.99570835257</v>
          </cell>
          <cell r="BF1775">
            <v>153317.99570835257</v>
          </cell>
          <cell r="BG1775">
            <v>163942.99570835257</v>
          </cell>
          <cell r="BH1775">
            <v>174567.99570835257</v>
          </cell>
          <cell r="BI1775">
            <v>185192.99570835257</v>
          </cell>
          <cell r="BJ1775">
            <v>195817.99570835257</v>
          </cell>
          <cell r="BK1775">
            <v>195817.99570835257</v>
          </cell>
          <cell r="BL1775">
            <v>195817.99570835257</v>
          </cell>
          <cell r="BM1775">
            <v>195817.99570835257</v>
          </cell>
          <cell r="BN1775">
            <v>195817.99570835257</v>
          </cell>
          <cell r="BO1775">
            <v>195817.99570835257</v>
          </cell>
          <cell r="BP1775">
            <v>195817.99570835257</v>
          </cell>
          <cell r="BQ1775">
            <v>195817.99570835257</v>
          </cell>
          <cell r="BR1775">
            <v>195817.99570835257</v>
          </cell>
          <cell r="BS1775">
            <v>195817.99570835257</v>
          </cell>
          <cell r="BT1775">
            <v>195817.99570835257</v>
          </cell>
          <cell r="BU1775">
            <v>195817.99570835257</v>
          </cell>
          <cell r="BV1775">
            <v>195817.99570835257</v>
          </cell>
        </row>
        <row r="1776">
          <cell r="A1776" t="str">
            <v>Total</v>
          </cell>
          <cell r="B1776" t="str">
            <v>Blank</v>
          </cell>
          <cell r="D1776" t="str">
            <v>Blank</v>
          </cell>
          <cell r="Z1776">
            <v>8685</v>
          </cell>
          <cell r="AA1776">
            <v>16520</v>
          </cell>
          <cell r="AB1776">
            <v>16940</v>
          </cell>
          <cell r="AC1776">
            <v>14620</v>
          </cell>
          <cell r="AD1776">
            <v>13955</v>
          </cell>
          <cell r="AE1776">
            <v>14185</v>
          </cell>
          <cell r="AF1776">
            <v>14340</v>
          </cell>
          <cell r="AG1776">
            <v>14320</v>
          </cell>
          <cell r="AH1776">
            <v>14300</v>
          </cell>
          <cell r="AI1776">
            <v>8665</v>
          </cell>
          <cell r="AJ1776">
            <v>14195</v>
          </cell>
          <cell r="AK1776">
            <v>14745</v>
          </cell>
          <cell r="AL1776">
            <v>13485</v>
          </cell>
          <cell r="AM1776">
            <v>10625</v>
          </cell>
          <cell r="AN1776">
            <v>12300</v>
          </cell>
          <cell r="AO1776">
            <v>8995</v>
          </cell>
          <cell r="AP1776">
            <v>12915</v>
          </cell>
          <cell r="AQ1776">
            <v>11920</v>
          </cell>
          <cell r="AR1776">
            <v>9900</v>
          </cell>
          <cell r="AS1776">
            <v>12400</v>
          </cell>
          <cell r="AT1776">
            <v>9995</v>
          </cell>
          <cell r="AU1776">
            <v>10715</v>
          </cell>
          <cell r="AV1776">
            <v>10505</v>
          </cell>
          <cell r="AW1776">
            <v>6875</v>
          </cell>
          <cell r="AX1776">
            <v>50</v>
          </cell>
          <cell r="AY1776">
            <v>0</v>
          </cell>
          <cell r="AZ1776">
            <v>50</v>
          </cell>
          <cell r="BA1776">
            <v>2165</v>
          </cell>
          <cell r="BB1776">
            <v>33145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37510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394110</v>
          </cell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</row>
        <row r="1777">
          <cell r="A1777" t="str">
            <v>Volvo</v>
          </cell>
          <cell r="B1777" t="str">
            <v>LOW SPEC</v>
          </cell>
          <cell r="D1777" t="str">
            <v>Work days</v>
          </cell>
          <cell r="Z1777">
            <v>5</v>
          </cell>
          <cell r="AA1777">
            <v>5</v>
          </cell>
          <cell r="AB1777">
            <v>5</v>
          </cell>
          <cell r="AC1777">
            <v>5</v>
          </cell>
          <cell r="AD1777">
            <v>3</v>
          </cell>
          <cell r="AE1777">
            <v>5</v>
          </cell>
          <cell r="AF1777">
            <v>5</v>
          </cell>
          <cell r="AG1777">
            <v>5</v>
          </cell>
          <cell r="AH1777">
            <v>5</v>
          </cell>
          <cell r="AI1777">
            <v>5</v>
          </cell>
          <cell r="AJ1777">
            <v>5</v>
          </cell>
          <cell r="AK1777">
            <v>4</v>
          </cell>
          <cell r="AL1777">
            <v>4</v>
          </cell>
          <cell r="AM1777">
            <v>5</v>
          </cell>
          <cell r="AN1777">
            <v>4</v>
          </cell>
          <cell r="AO1777">
            <v>5</v>
          </cell>
          <cell r="AP1777">
            <v>5</v>
          </cell>
          <cell r="AQ1777">
            <v>5</v>
          </cell>
          <cell r="AR1777">
            <v>5</v>
          </cell>
          <cell r="AS1777">
            <v>5</v>
          </cell>
          <cell r="AT1777">
            <v>5</v>
          </cell>
          <cell r="AU1777">
            <v>5</v>
          </cell>
          <cell r="AV1777">
            <v>5</v>
          </cell>
          <cell r="AW1777">
            <v>5</v>
          </cell>
          <cell r="AX1777">
            <v>5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5</v>
          </cell>
          <cell r="BD1777">
            <v>5</v>
          </cell>
          <cell r="BE1777">
            <v>5</v>
          </cell>
          <cell r="BF1777">
            <v>5</v>
          </cell>
          <cell r="BG1777">
            <v>5</v>
          </cell>
          <cell r="BH1777">
            <v>5</v>
          </cell>
          <cell r="BI1777">
            <v>5</v>
          </cell>
          <cell r="BJ1777">
            <v>5</v>
          </cell>
          <cell r="BK1777">
            <v>5</v>
          </cell>
          <cell r="BL1777">
            <v>3</v>
          </cell>
          <cell r="BM1777">
            <v>3</v>
          </cell>
          <cell r="BN1777">
            <v>3</v>
          </cell>
          <cell r="BO1777">
            <v>3</v>
          </cell>
          <cell r="BP1777">
            <v>3</v>
          </cell>
          <cell r="BQ1777">
            <v>3</v>
          </cell>
          <cell r="BR1777">
            <v>3</v>
          </cell>
          <cell r="BS1777">
            <v>3</v>
          </cell>
          <cell r="BT1777">
            <v>3</v>
          </cell>
          <cell r="BU1777">
            <v>3</v>
          </cell>
          <cell r="BV1777">
            <v>3</v>
          </cell>
        </row>
        <row r="1778">
          <cell r="A1778" t="str">
            <v>Volvo</v>
          </cell>
          <cell r="B1778" t="str">
            <v>LOW SPEC</v>
          </cell>
          <cell r="D1778" t="str">
            <v>SHIFT A HC - operators</v>
          </cell>
          <cell r="Z1778">
            <v>6</v>
          </cell>
          <cell r="AA1778">
            <v>6</v>
          </cell>
          <cell r="AB1778">
            <v>6</v>
          </cell>
          <cell r="AC1778">
            <v>6</v>
          </cell>
          <cell r="AD1778">
            <v>6</v>
          </cell>
          <cell r="AE1778">
            <v>6</v>
          </cell>
          <cell r="AF1778">
            <v>6</v>
          </cell>
          <cell r="AG1778">
            <v>6</v>
          </cell>
          <cell r="AH1778">
            <v>6</v>
          </cell>
          <cell r="AI1778">
            <v>6</v>
          </cell>
          <cell r="AJ1778">
            <v>6</v>
          </cell>
          <cell r="AK1778">
            <v>6</v>
          </cell>
          <cell r="AL1778">
            <v>6</v>
          </cell>
          <cell r="AM1778">
            <v>6</v>
          </cell>
          <cell r="AN1778">
            <v>6</v>
          </cell>
          <cell r="AO1778">
            <v>6</v>
          </cell>
          <cell r="AP1778">
            <v>6</v>
          </cell>
          <cell r="AQ1778">
            <v>6</v>
          </cell>
          <cell r="AR1778">
            <v>6</v>
          </cell>
          <cell r="AS1778">
            <v>6</v>
          </cell>
          <cell r="AT1778">
            <v>6</v>
          </cell>
          <cell r="AU1778">
            <v>6</v>
          </cell>
          <cell r="AV1778">
            <v>6</v>
          </cell>
          <cell r="AW1778">
            <v>6</v>
          </cell>
          <cell r="AX1778">
            <v>6</v>
          </cell>
          <cell r="AY1778">
            <v>6</v>
          </cell>
          <cell r="AZ1778">
            <v>6</v>
          </cell>
          <cell r="BA1778">
            <v>6</v>
          </cell>
          <cell r="BB1778">
            <v>6</v>
          </cell>
          <cell r="BC1778">
            <v>6</v>
          </cell>
          <cell r="BD1778">
            <v>6</v>
          </cell>
          <cell r="BE1778">
            <v>6</v>
          </cell>
          <cell r="BF1778">
            <v>6</v>
          </cell>
          <cell r="BG1778">
            <v>6</v>
          </cell>
          <cell r="BH1778">
            <v>6</v>
          </cell>
          <cell r="BI1778">
            <v>6</v>
          </cell>
          <cell r="BJ1778">
            <v>6</v>
          </cell>
          <cell r="BK1778">
            <v>3</v>
          </cell>
          <cell r="BL1778">
            <v>3</v>
          </cell>
          <cell r="BM1778">
            <v>3</v>
          </cell>
          <cell r="BN1778">
            <v>3</v>
          </cell>
          <cell r="BO1778">
            <v>3</v>
          </cell>
          <cell r="BP1778">
            <v>3</v>
          </cell>
          <cell r="BQ1778">
            <v>3</v>
          </cell>
          <cell r="BR1778">
            <v>3</v>
          </cell>
          <cell r="BS1778">
            <v>3</v>
          </cell>
          <cell r="BT1778">
            <v>3</v>
          </cell>
          <cell r="BU1778">
            <v>3</v>
          </cell>
          <cell r="BV1778">
            <v>3</v>
          </cell>
        </row>
        <row r="1779">
          <cell r="A1779" t="str">
            <v>Volvo</v>
          </cell>
          <cell r="B1779" t="str">
            <v>LOW SPEC</v>
          </cell>
          <cell r="D1779" t="str">
            <v>SHIFT B HC  - operators</v>
          </cell>
          <cell r="Z1779">
            <v>6</v>
          </cell>
          <cell r="AA1779">
            <v>6</v>
          </cell>
          <cell r="AB1779">
            <v>6</v>
          </cell>
          <cell r="AC1779">
            <v>6</v>
          </cell>
          <cell r="AD1779">
            <v>6</v>
          </cell>
          <cell r="AE1779">
            <v>6</v>
          </cell>
          <cell r="AF1779">
            <v>6</v>
          </cell>
          <cell r="AG1779">
            <v>6</v>
          </cell>
          <cell r="AH1779">
            <v>6</v>
          </cell>
          <cell r="AI1779">
            <v>6</v>
          </cell>
          <cell r="AJ1779">
            <v>6</v>
          </cell>
          <cell r="AK1779">
            <v>6</v>
          </cell>
          <cell r="AL1779">
            <v>6</v>
          </cell>
          <cell r="AM1779">
            <v>6</v>
          </cell>
          <cell r="AN1779">
            <v>6</v>
          </cell>
          <cell r="AO1779">
            <v>6</v>
          </cell>
          <cell r="AP1779">
            <v>6</v>
          </cell>
          <cell r="AQ1779">
            <v>6</v>
          </cell>
          <cell r="AR1779">
            <v>6</v>
          </cell>
          <cell r="AS1779">
            <v>6</v>
          </cell>
          <cell r="AT1779">
            <v>6</v>
          </cell>
          <cell r="AU1779">
            <v>6</v>
          </cell>
          <cell r="AV1779">
            <v>6</v>
          </cell>
          <cell r="AW1779">
            <v>6</v>
          </cell>
          <cell r="AX1779">
            <v>6</v>
          </cell>
          <cell r="AY1779">
            <v>6</v>
          </cell>
          <cell r="AZ1779">
            <v>6</v>
          </cell>
          <cell r="BA1779">
            <v>6</v>
          </cell>
          <cell r="BB1779">
            <v>6</v>
          </cell>
          <cell r="BC1779">
            <v>6</v>
          </cell>
          <cell r="BD1779">
            <v>6</v>
          </cell>
          <cell r="BE1779">
            <v>6</v>
          </cell>
          <cell r="BF1779">
            <v>6</v>
          </cell>
          <cell r="BG1779">
            <v>6</v>
          </cell>
          <cell r="BH1779">
            <v>6</v>
          </cell>
          <cell r="BI1779">
            <v>6</v>
          </cell>
          <cell r="BJ1779">
            <v>6</v>
          </cell>
          <cell r="BK1779">
            <v>0</v>
          </cell>
          <cell r="BL1779">
            <v>0</v>
          </cell>
          <cell r="BM1779">
            <v>0</v>
          </cell>
          <cell r="BN1779">
            <v>0</v>
          </cell>
          <cell r="BO1779">
            <v>0</v>
          </cell>
          <cell r="BP1779">
            <v>0</v>
          </cell>
          <cell r="BQ1779">
            <v>0</v>
          </cell>
          <cell r="BR1779">
            <v>0</v>
          </cell>
          <cell r="BS1779">
            <v>0</v>
          </cell>
          <cell r="BT1779">
            <v>0</v>
          </cell>
          <cell r="BU1779">
            <v>0</v>
          </cell>
          <cell r="BV1779">
            <v>0</v>
          </cell>
        </row>
        <row r="1780">
          <cell r="A1780" t="str">
            <v>Volvo</v>
          </cell>
          <cell r="B1780" t="str">
            <v>LOW SPEC</v>
          </cell>
          <cell r="D1780" t="str">
            <v>SHIFT C HC  - operators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  <cell r="BK1780">
            <v>0</v>
          </cell>
          <cell r="BL1780">
            <v>0</v>
          </cell>
          <cell r="BM1780">
            <v>0</v>
          </cell>
          <cell r="BN1780">
            <v>0</v>
          </cell>
          <cell r="BO1780">
            <v>0</v>
          </cell>
          <cell r="BP1780">
            <v>0</v>
          </cell>
          <cell r="BQ1780">
            <v>0</v>
          </cell>
          <cell r="BR1780">
            <v>0</v>
          </cell>
          <cell r="BS1780">
            <v>0</v>
          </cell>
          <cell r="BT1780">
            <v>0</v>
          </cell>
          <cell r="BU1780">
            <v>0</v>
          </cell>
          <cell r="BV1780">
            <v>0</v>
          </cell>
        </row>
        <row r="1781">
          <cell r="A1781" t="str">
            <v>Volvo</v>
          </cell>
          <cell r="B1781" t="str">
            <v>LOW SPEC</v>
          </cell>
          <cell r="D1781" t="str">
            <v>Total HC</v>
          </cell>
          <cell r="Z1781">
            <v>12</v>
          </cell>
          <cell r="AA1781">
            <v>12</v>
          </cell>
          <cell r="AB1781">
            <v>12</v>
          </cell>
          <cell r="AC1781">
            <v>12</v>
          </cell>
          <cell r="AD1781">
            <v>12</v>
          </cell>
          <cell r="AE1781">
            <v>12</v>
          </cell>
          <cell r="AF1781">
            <v>12</v>
          </cell>
          <cell r="AG1781">
            <v>12</v>
          </cell>
          <cell r="AH1781">
            <v>12</v>
          </cell>
          <cell r="AI1781">
            <v>12</v>
          </cell>
          <cell r="AJ1781">
            <v>12</v>
          </cell>
          <cell r="AK1781">
            <v>12</v>
          </cell>
          <cell r="AL1781">
            <v>12</v>
          </cell>
          <cell r="AM1781">
            <v>12</v>
          </cell>
          <cell r="AN1781">
            <v>12</v>
          </cell>
          <cell r="AO1781">
            <v>12</v>
          </cell>
          <cell r="AP1781">
            <v>12</v>
          </cell>
          <cell r="AQ1781">
            <v>12</v>
          </cell>
          <cell r="AR1781">
            <v>12</v>
          </cell>
          <cell r="AS1781">
            <v>12</v>
          </cell>
          <cell r="AT1781">
            <v>12</v>
          </cell>
          <cell r="AU1781">
            <v>12</v>
          </cell>
          <cell r="AV1781">
            <v>12</v>
          </cell>
          <cell r="AW1781">
            <v>12</v>
          </cell>
          <cell r="AX1781">
            <v>12</v>
          </cell>
          <cell r="AY1781">
            <v>12</v>
          </cell>
          <cell r="AZ1781">
            <v>12</v>
          </cell>
          <cell r="BA1781">
            <v>12</v>
          </cell>
          <cell r="BB1781">
            <v>12</v>
          </cell>
          <cell r="BC1781">
            <v>12</v>
          </cell>
          <cell r="BD1781">
            <v>12</v>
          </cell>
          <cell r="BE1781">
            <v>12</v>
          </cell>
          <cell r="BF1781">
            <v>12</v>
          </cell>
          <cell r="BG1781">
            <v>12</v>
          </cell>
          <cell r="BH1781">
            <v>12</v>
          </cell>
          <cell r="BI1781">
            <v>12</v>
          </cell>
          <cell r="BJ1781">
            <v>12</v>
          </cell>
          <cell r="BK1781">
            <v>3</v>
          </cell>
          <cell r="BL1781">
            <v>3</v>
          </cell>
          <cell r="BM1781">
            <v>3</v>
          </cell>
          <cell r="BN1781">
            <v>3</v>
          </cell>
          <cell r="BO1781">
            <v>3</v>
          </cell>
          <cell r="BP1781">
            <v>3</v>
          </cell>
          <cell r="BQ1781">
            <v>3</v>
          </cell>
          <cell r="BR1781">
            <v>3</v>
          </cell>
          <cell r="BS1781">
            <v>3</v>
          </cell>
          <cell r="BT1781">
            <v>3</v>
          </cell>
          <cell r="BU1781">
            <v>3</v>
          </cell>
          <cell r="BV1781">
            <v>3</v>
          </cell>
        </row>
        <row r="1782">
          <cell r="A1782" t="str">
            <v>Volvo</v>
          </cell>
          <cell r="B1782" t="str">
            <v>LOW SPEC</v>
          </cell>
          <cell r="D1782" t="str">
            <v>SHIFT A HC  - efficiency</v>
          </cell>
          <cell r="Z1782">
            <v>0.87</v>
          </cell>
          <cell r="AA1782">
            <v>0.87</v>
          </cell>
          <cell r="AB1782">
            <v>0.87</v>
          </cell>
          <cell r="AC1782">
            <v>0.87</v>
          </cell>
          <cell r="AD1782">
            <v>0.87</v>
          </cell>
          <cell r="AE1782">
            <v>0.87</v>
          </cell>
          <cell r="AF1782">
            <v>0.85</v>
          </cell>
          <cell r="AG1782">
            <v>0.85</v>
          </cell>
          <cell r="AH1782">
            <v>0.85</v>
          </cell>
          <cell r="AI1782">
            <v>0.85</v>
          </cell>
          <cell r="AJ1782">
            <v>0.85</v>
          </cell>
          <cell r="AK1782">
            <v>0.85</v>
          </cell>
          <cell r="AL1782">
            <v>0.85</v>
          </cell>
          <cell r="AM1782">
            <v>0.85</v>
          </cell>
          <cell r="AN1782">
            <v>0.85</v>
          </cell>
          <cell r="AO1782">
            <v>0.85</v>
          </cell>
          <cell r="AP1782">
            <v>0.85</v>
          </cell>
          <cell r="AQ1782">
            <v>0.85</v>
          </cell>
          <cell r="AR1782">
            <v>0.85</v>
          </cell>
          <cell r="AS1782">
            <v>0.85</v>
          </cell>
          <cell r="AT1782">
            <v>0.85</v>
          </cell>
          <cell r="AU1782">
            <v>0.85</v>
          </cell>
          <cell r="AV1782">
            <v>0.85</v>
          </cell>
          <cell r="AW1782">
            <v>0.85</v>
          </cell>
          <cell r="AX1782">
            <v>0.85</v>
          </cell>
          <cell r="AY1782">
            <v>0.85</v>
          </cell>
          <cell r="AZ1782">
            <v>0.85</v>
          </cell>
          <cell r="BA1782">
            <v>0.85</v>
          </cell>
          <cell r="BB1782">
            <v>0.85</v>
          </cell>
          <cell r="BC1782">
            <v>0.85</v>
          </cell>
          <cell r="BD1782">
            <v>0.85</v>
          </cell>
          <cell r="BE1782">
            <v>0.85</v>
          </cell>
          <cell r="BF1782">
            <v>0.85</v>
          </cell>
          <cell r="BG1782">
            <v>0.85</v>
          </cell>
          <cell r="BH1782">
            <v>0.85</v>
          </cell>
          <cell r="BI1782">
            <v>0.85</v>
          </cell>
          <cell r="BJ1782">
            <v>0.85</v>
          </cell>
          <cell r="BK1782">
            <v>1.2</v>
          </cell>
          <cell r="BL1782">
            <v>1.2</v>
          </cell>
          <cell r="BM1782">
            <v>1.2</v>
          </cell>
          <cell r="BN1782">
            <v>1.2</v>
          </cell>
          <cell r="BO1782">
            <v>1.2</v>
          </cell>
          <cell r="BP1782">
            <v>1.2</v>
          </cell>
          <cell r="BQ1782">
            <v>1.2</v>
          </cell>
          <cell r="BR1782">
            <v>1.2</v>
          </cell>
          <cell r="BS1782">
            <v>1.2</v>
          </cell>
          <cell r="BT1782">
            <v>1.2</v>
          </cell>
          <cell r="BU1782">
            <v>1.2</v>
          </cell>
          <cell r="BV1782">
            <v>1.2</v>
          </cell>
        </row>
        <row r="1783">
          <cell r="A1783" t="str">
            <v>Volvo</v>
          </cell>
          <cell r="B1783" t="str">
            <v>LOW SPEC</v>
          </cell>
          <cell r="D1783" t="str">
            <v>SHIFT B HC  - efficiency</v>
          </cell>
          <cell r="Z1783">
            <v>0.87</v>
          </cell>
          <cell r="AA1783">
            <v>0.87</v>
          </cell>
          <cell r="AB1783">
            <v>0.87</v>
          </cell>
          <cell r="AC1783">
            <v>0.87</v>
          </cell>
          <cell r="AD1783">
            <v>0.87</v>
          </cell>
          <cell r="AE1783">
            <v>0.87</v>
          </cell>
          <cell r="AF1783">
            <v>0.85</v>
          </cell>
          <cell r="AG1783">
            <v>0.85</v>
          </cell>
          <cell r="AH1783">
            <v>0.85</v>
          </cell>
          <cell r="AI1783">
            <v>0.85</v>
          </cell>
          <cell r="AJ1783">
            <v>0.85</v>
          </cell>
          <cell r="AK1783">
            <v>0.85</v>
          </cell>
          <cell r="AL1783">
            <v>0.85</v>
          </cell>
          <cell r="AM1783">
            <v>0.85</v>
          </cell>
          <cell r="AN1783">
            <v>0.85</v>
          </cell>
          <cell r="AO1783">
            <v>0.85</v>
          </cell>
          <cell r="AP1783">
            <v>0.85</v>
          </cell>
          <cell r="AQ1783">
            <v>0.85</v>
          </cell>
          <cell r="AR1783">
            <v>0.85</v>
          </cell>
          <cell r="AS1783">
            <v>0.85</v>
          </cell>
          <cell r="AT1783">
            <v>0.85</v>
          </cell>
          <cell r="AU1783">
            <v>0.85</v>
          </cell>
          <cell r="AV1783">
            <v>0.85</v>
          </cell>
          <cell r="AW1783">
            <v>0.85</v>
          </cell>
          <cell r="AX1783">
            <v>0.85</v>
          </cell>
          <cell r="AY1783">
            <v>0.85</v>
          </cell>
          <cell r="AZ1783">
            <v>0.85</v>
          </cell>
          <cell r="BA1783">
            <v>0.85</v>
          </cell>
          <cell r="BB1783">
            <v>0.85</v>
          </cell>
          <cell r="BC1783">
            <v>0.85</v>
          </cell>
          <cell r="BD1783">
            <v>0.85</v>
          </cell>
          <cell r="BE1783">
            <v>0.85</v>
          </cell>
          <cell r="BF1783">
            <v>0.85</v>
          </cell>
          <cell r="BG1783">
            <v>0.85</v>
          </cell>
          <cell r="BH1783">
            <v>0.85</v>
          </cell>
          <cell r="BI1783">
            <v>0.85</v>
          </cell>
          <cell r="BJ1783">
            <v>0.85</v>
          </cell>
          <cell r="BK1783">
            <v>1</v>
          </cell>
          <cell r="BL1783">
            <v>1</v>
          </cell>
          <cell r="BM1783">
            <v>1</v>
          </cell>
          <cell r="BN1783">
            <v>1</v>
          </cell>
          <cell r="BO1783">
            <v>1</v>
          </cell>
          <cell r="BP1783">
            <v>1</v>
          </cell>
          <cell r="BQ1783">
            <v>1</v>
          </cell>
          <cell r="BR1783">
            <v>1</v>
          </cell>
          <cell r="BS1783">
            <v>1</v>
          </cell>
          <cell r="BT1783">
            <v>1</v>
          </cell>
          <cell r="BU1783">
            <v>1</v>
          </cell>
          <cell r="BV1783">
            <v>1</v>
          </cell>
        </row>
        <row r="1784">
          <cell r="A1784" t="str">
            <v>Volvo</v>
          </cell>
          <cell r="B1784" t="str">
            <v>LOW SPEC</v>
          </cell>
          <cell r="D1784" t="str">
            <v>SHIFT C HC  - efficiency</v>
          </cell>
          <cell r="Z1784">
            <v>1</v>
          </cell>
          <cell r="AA1784">
            <v>1</v>
          </cell>
          <cell r="AB1784">
            <v>1</v>
          </cell>
          <cell r="AC1784">
            <v>1</v>
          </cell>
          <cell r="AD1784">
            <v>1</v>
          </cell>
          <cell r="AE1784">
            <v>1</v>
          </cell>
          <cell r="AF1784">
            <v>1</v>
          </cell>
          <cell r="AG1784">
            <v>1</v>
          </cell>
          <cell r="AH1784">
            <v>1</v>
          </cell>
          <cell r="AI1784">
            <v>1</v>
          </cell>
          <cell r="AJ1784">
            <v>1</v>
          </cell>
          <cell r="AK1784">
            <v>1</v>
          </cell>
          <cell r="AL1784">
            <v>1</v>
          </cell>
          <cell r="AM1784">
            <v>1</v>
          </cell>
          <cell r="AN1784">
            <v>1</v>
          </cell>
          <cell r="AO1784">
            <v>1</v>
          </cell>
          <cell r="AP1784">
            <v>1</v>
          </cell>
          <cell r="AQ1784">
            <v>1</v>
          </cell>
          <cell r="AR1784">
            <v>1</v>
          </cell>
          <cell r="AS1784">
            <v>1</v>
          </cell>
          <cell r="AT1784">
            <v>1</v>
          </cell>
          <cell r="AU1784">
            <v>1</v>
          </cell>
          <cell r="AV1784">
            <v>1</v>
          </cell>
          <cell r="AW1784">
            <v>1</v>
          </cell>
          <cell r="AX1784">
            <v>1</v>
          </cell>
          <cell r="AY1784">
            <v>1</v>
          </cell>
          <cell r="AZ1784">
            <v>1</v>
          </cell>
          <cell r="BA1784">
            <v>1</v>
          </cell>
          <cell r="BB1784">
            <v>1</v>
          </cell>
          <cell r="BC1784">
            <v>1</v>
          </cell>
          <cell r="BD1784">
            <v>1</v>
          </cell>
          <cell r="BE1784">
            <v>1</v>
          </cell>
          <cell r="BF1784">
            <v>1</v>
          </cell>
          <cell r="BG1784">
            <v>1</v>
          </cell>
          <cell r="BH1784">
            <v>1</v>
          </cell>
          <cell r="BI1784">
            <v>1</v>
          </cell>
          <cell r="BJ1784">
            <v>1</v>
          </cell>
          <cell r="BK1784">
            <v>1</v>
          </cell>
          <cell r="BL1784">
            <v>1</v>
          </cell>
          <cell r="BM1784">
            <v>1</v>
          </cell>
          <cell r="BN1784">
            <v>1</v>
          </cell>
          <cell r="BO1784">
            <v>1</v>
          </cell>
          <cell r="BP1784">
            <v>1</v>
          </cell>
          <cell r="BQ1784">
            <v>1</v>
          </cell>
          <cell r="BR1784">
            <v>1</v>
          </cell>
          <cell r="BS1784">
            <v>1</v>
          </cell>
          <cell r="BT1784">
            <v>1</v>
          </cell>
          <cell r="BU1784">
            <v>1</v>
          </cell>
          <cell r="BV1784">
            <v>1</v>
          </cell>
        </row>
        <row r="1785">
          <cell r="A1785" t="str">
            <v>Volvo</v>
          </cell>
          <cell r="B1785" t="str">
            <v>LOW SPEC</v>
          </cell>
          <cell r="D1785" t="str">
            <v>Total efficiency</v>
          </cell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</row>
        <row r="1786">
          <cell r="A1786" t="str">
            <v>Volvo</v>
          </cell>
          <cell r="B1786" t="str">
            <v>LOW SPEC</v>
          </cell>
          <cell r="D1786" t="str">
            <v>SHIFT A - output</v>
          </cell>
          <cell r="Z1786">
            <v>363.06027820710977</v>
          </cell>
          <cell r="AA1786">
            <v>363.06027820710977</v>
          </cell>
          <cell r="AB1786">
            <v>363.06027820710977</v>
          </cell>
          <cell r="AC1786">
            <v>363.06027820710977</v>
          </cell>
          <cell r="AD1786">
            <v>363.06027820710977</v>
          </cell>
          <cell r="AE1786">
            <v>363.06027820710977</v>
          </cell>
          <cell r="AF1786">
            <v>354.71406491499226</v>
          </cell>
          <cell r="AG1786">
            <v>354.71406491499226</v>
          </cell>
          <cell r="AH1786">
            <v>354.71406491499226</v>
          </cell>
          <cell r="AI1786">
            <v>354.71406491499226</v>
          </cell>
          <cell r="AJ1786">
            <v>354.71406491499226</v>
          </cell>
          <cell r="AK1786">
            <v>354.71406491499226</v>
          </cell>
          <cell r="AL1786">
            <v>354.71406491499226</v>
          </cell>
          <cell r="AM1786">
            <v>354.71406491499226</v>
          </cell>
          <cell r="AN1786">
            <v>354.71406491499226</v>
          </cell>
          <cell r="AO1786">
            <v>354.71406491499226</v>
          </cell>
          <cell r="AP1786">
            <v>354.71406491499226</v>
          </cell>
          <cell r="AQ1786">
            <v>354.71406491499226</v>
          </cell>
          <cell r="AR1786">
            <v>354.71406491499226</v>
          </cell>
          <cell r="AS1786">
            <v>354.71406491499226</v>
          </cell>
          <cell r="AT1786">
            <v>354.71406491499226</v>
          </cell>
          <cell r="AU1786">
            <v>354.71406491499226</v>
          </cell>
          <cell r="AV1786">
            <v>354.71406491499226</v>
          </cell>
          <cell r="AW1786">
            <v>354.71406491499226</v>
          </cell>
          <cell r="AX1786">
            <v>354.71406491499226</v>
          </cell>
          <cell r="AY1786">
            <v>354.71406491499226</v>
          </cell>
          <cell r="AZ1786">
            <v>354.71406491499226</v>
          </cell>
          <cell r="BA1786">
            <v>354.71406491499226</v>
          </cell>
          <cell r="BB1786">
            <v>354.71406491499226</v>
          </cell>
          <cell r="BC1786">
            <v>354.71406491499226</v>
          </cell>
          <cell r="BD1786">
            <v>354.71406491499226</v>
          </cell>
          <cell r="BE1786">
            <v>354.71406491499226</v>
          </cell>
          <cell r="BF1786">
            <v>354.71406491499226</v>
          </cell>
          <cell r="BG1786">
            <v>354.71406491499226</v>
          </cell>
          <cell r="BH1786">
            <v>354.71406491499226</v>
          </cell>
          <cell r="BI1786">
            <v>354.71406491499226</v>
          </cell>
          <cell r="BJ1786">
            <v>354.71406491499226</v>
          </cell>
          <cell r="BK1786">
            <v>250.38639876352397</v>
          </cell>
          <cell r="BL1786">
            <v>250.38639876352397</v>
          </cell>
          <cell r="BM1786">
            <v>250.38639876352397</v>
          </cell>
          <cell r="BN1786">
            <v>250.38639876352397</v>
          </cell>
          <cell r="BO1786">
            <v>250.38639876352397</v>
          </cell>
          <cell r="BP1786">
            <v>250.38639876352397</v>
          </cell>
          <cell r="BQ1786">
            <v>250.38639876352397</v>
          </cell>
          <cell r="BR1786">
            <v>250.38639876352397</v>
          </cell>
          <cell r="BS1786">
            <v>250.38639876352397</v>
          </cell>
          <cell r="BT1786">
            <v>250.38639876352397</v>
          </cell>
          <cell r="BU1786">
            <v>250.38639876352397</v>
          </cell>
          <cell r="BV1786">
            <v>250.38639876352397</v>
          </cell>
        </row>
        <row r="1787">
          <cell r="A1787" t="str">
            <v>Volvo</v>
          </cell>
          <cell r="B1787" t="str">
            <v>LOW SPEC</v>
          </cell>
          <cell r="D1787" t="str">
            <v>SHIFT B  - output</v>
          </cell>
          <cell r="Z1787">
            <v>363.06027820710977</v>
          </cell>
          <cell r="AA1787">
            <v>363.06027820710977</v>
          </cell>
          <cell r="AB1787">
            <v>363.06027820710977</v>
          </cell>
          <cell r="AC1787">
            <v>363.06027820710977</v>
          </cell>
          <cell r="AD1787">
            <v>363.06027820710977</v>
          </cell>
          <cell r="AE1787">
            <v>363.06027820710977</v>
          </cell>
          <cell r="AF1787">
            <v>354.71406491499226</v>
          </cell>
          <cell r="AG1787">
            <v>354.71406491499226</v>
          </cell>
          <cell r="AH1787">
            <v>354.71406491499226</v>
          </cell>
          <cell r="AI1787">
            <v>354.71406491499226</v>
          </cell>
          <cell r="AJ1787">
            <v>354.71406491499226</v>
          </cell>
          <cell r="AK1787">
            <v>354.71406491499226</v>
          </cell>
          <cell r="AL1787">
            <v>354.71406491499226</v>
          </cell>
          <cell r="AM1787">
            <v>354.71406491499226</v>
          </cell>
          <cell r="AN1787">
            <v>354.71406491499226</v>
          </cell>
          <cell r="AO1787">
            <v>354.71406491499226</v>
          </cell>
          <cell r="AP1787">
            <v>354.71406491499226</v>
          </cell>
          <cell r="AQ1787">
            <v>354.71406491499226</v>
          </cell>
          <cell r="AR1787">
            <v>354.71406491499226</v>
          </cell>
          <cell r="AS1787">
            <v>354.71406491499226</v>
          </cell>
          <cell r="AT1787">
            <v>354.71406491499226</v>
          </cell>
          <cell r="AU1787">
            <v>354.71406491499226</v>
          </cell>
          <cell r="AV1787">
            <v>354.71406491499226</v>
          </cell>
          <cell r="AW1787">
            <v>354.71406491499226</v>
          </cell>
          <cell r="AX1787">
            <v>354.71406491499226</v>
          </cell>
          <cell r="AY1787">
            <v>354.71406491499226</v>
          </cell>
          <cell r="AZ1787">
            <v>354.71406491499226</v>
          </cell>
          <cell r="BA1787">
            <v>354.71406491499226</v>
          </cell>
          <cell r="BB1787">
            <v>354.71406491499226</v>
          </cell>
          <cell r="BC1787">
            <v>354.71406491499226</v>
          </cell>
          <cell r="BD1787">
            <v>354.71406491499226</v>
          </cell>
          <cell r="BE1787">
            <v>354.71406491499226</v>
          </cell>
          <cell r="BF1787">
            <v>354.71406491499226</v>
          </cell>
          <cell r="BG1787">
            <v>354.71406491499226</v>
          </cell>
          <cell r="BH1787">
            <v>354.71406491499226</v>
          </cell>
          <cell r="BI1787">
            <v>354.71406491499226</v>
          </cell>
          <cell r="BJ1787">
            <v>354.71406491499226</v>
          </cell>
          <cell r="BK1787">
            <v>0</v>
          </cell>
          <cell r="BL1787">
            <v>0</v>
          </cell>
          <cell r="BM1787">
            <v>0</v>
          </cell>
          <cell r="BN1787">
            <v>0</v>
          </cell>
          <cell r="BO1787">
            <v>0</v>
          </cell>
          <cell r="BP1787">
            <v>0</v>
          </cell>
          <cell r="BQ1787">
            <v>0</v>
          </cell>
          <cell r="BR1787">
            <v>0</v>
          </cell>
          <cell r="BS1787">
            <v>0</v>
          </cell>
          <cell r="BT1787">
            <v>0</v>
          </cell>
          <cell r="BU1787">
            <v>0</v>
          </cell>
          <cell r="BV1787">
            <v>0</v>
          </cell>
        </row>
        <row r="1788">
          <cell r="A1788" t="str">
            <v>Volvo</v>
          </cell>
          <cell r="B1788" t="str">
            <v>LOW SPEC</v>
          </cell>
          <cell r="D1788" t="str">
            <v>SHIFT C  - output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  <cell r="BK1788">
            <v>0</v>
          </cell>
          <cell r="BL1788">
            <v>0</v>
          </cell>
          <cell r="BM1788">
            <v>0</v>
          </cell>
          <cell r="BN1788">
            <v>0</v>
          </cell>
          <cell r="BO1788">
            <v>0</v>
          </cell>
          <cell r="BP1788">
            <v>0</v>
          </cell>
          <cell r="BQ1788">
            <v>0</v>
          </cell>
          <cell r="BR1788">
            <v>0</v>
          </cell>
          <cell r="BS1788">
            <v>0</v>
          </cell>
          <cell r="BT1788">
            <v>0</v>
          </cell>
          <cell r="BU1788">
            <v>0</v>
          </cell>
          <cell r="BV1788">
            <v>0</v>
          </cell>
        </row>
        <row r="1789">
          <cell r="A1789" t="str">
            <v>Volvo</v>
          </cell>
          <cell r="B1789" t="str">
            <v>LOW SPEC</v>
          </cell>
          <cell r="D1789" t="str">
            <v>Est. Output (Pcs day)</v>
          </cell>
          <cell r="E1789">
            <v>6.47</v>
          </cell>
          <cell r="Z1789">
            <v>726.12055641421955</v>
          </cell>
          <cell r="AA1789">
            <v>726.12055641421955</v>
          </cell>
          <cell r="AB1789">
            <v>726.12055641421955</v>
          </cell>
          <cell r="AC1789">
            <v>726.12055641421955</v>
          </cell>
          <cell r="AD1789">
            <v>726.12055641421955</v>
          </cell>
          <cell r="AE1789">
            <v>726.12055641421955</v>
          </cell>
          <cell r="AF1789">
            <v>709.42812982998453</v>
          </cell>
          <cell r="AG1789">
            <v>709.42812982998453</v>
          </cell>
          <cell r="AH1789">
            <v>709.42812982998453</v>
          </cell>
          <cell r="AI1789">
            <v>709.42812982998453</v>
          </cell>
          <cell r="AJ1789">
            <v>709.42812982998453</v>
          </cell>
          <cell r="AK1789">
            <v>709.42812982998453</v>
          </cell>
          <cell r="AL1789">
            <v>709.42812982998453</v>
          </cell>
          <cell r="AM1789">
            <v>709.42812982998453</v>
          </cell>
          <cell r="AN1789">
            <v>709.42812982998453</v>
          </cell>
          <cell r="AO1789">
            <v>709.42812982998453</v>
          </cell>
          <cell r="AP1789">
            <v>709.42812982998453</v>
          </cell>
          <cell r="AQ1789">
            <v>709.42812982998453</v>
          </cell>
          <cell r="AR1789">
            <v>709.42812982998453</v>
          </cell>
          <cell r="AS1789">
            <v>709.42812982998453</v>
          </cell>
          <cell r="AT1789">
            <v>709.42812982998453</v>
          </cell>
          <cell r="AU1789">
            <v>709.42812982998453</v>
          </cell>
          <cell r="AV1789">
            <v>709.42812982998453</v>
          </cell>
          <cell r="AW1789">
            <v>709.42812982998453</v>
          </cell>
          <cell r="AX1789">
            <v>709.42812982998453</v>
          </cell>
          <cell r="AY1789">
            <v>709.42812982998453</v>
          </cell>
          <cell r="AZ1789">
            <v>709.42812982998453</v>
          </cell>
          <cell r="BA1789">
            <v>709.42812982998453</v>
          </cell>
          <cell r="BB1789">
            <v>709.42812982998453</v>
          </cell>
          <cell r="BC1789">
            <v>709.42812982998453</v>
          </cell>
          <cell r="BD1789">
            <v>709.42812982998453</v>
          </cell>
          <cell r="BE1789">
            <v>709.42812982998453</v>
          </cell>
          <cell r="BF1789">
            <v>709.42812982998453</v>
          </cell>
          <cell r="BG1789">
            <v>709.42812982998453</v>
          </cell>
          <cell r="BH1789">
            <v>709.42812982998453</v>
          </cell>
          <cell r="BI1789">
            <v>709.42812982998453</v>
          </cell>
          <cell r="BJ1789">
            <v>709.42812982998453</v>
          </cell>
          <cell r="BK1789">
            <v>250.38639876352397</v>
          </cell>
          <cell r="BL1789">
            <v>250.38639876352397</v>
          </cell>
          <cell r="BM1789">
            <v>250.38639876352397</v>
          </cell>
          <cell r="BN1789">
            <v>250.38639876352397</v>
          </cell>
          <cell r="BO1789">
            <v>250.38639876352397</v>
          </cell>
          <cell r="BP1789">
            <v>250.38639876352397</v>
          </cell>
          <cell r="BQ1789">
            <v>250.38639876352397</v>
          </cell>
          <cell r="BR1789">
            <v>250.38639876352397</v>
          </cell>
          <cell r="BS1789">
            <v>250.38639876352397</v>
          </cell>
          <cell r="BT1789">
            <v>250.38639876352397</v>
          </cell>
          <cell r="BU1789">
            <v>250.38639876352397</v>
          </cell>
          <cell r="BV1789">
            <v>250.38639876352397</v>
          </cell>
        </row>
        <row r="1790">
          <cell r="A1790" t="str">
            <v>Volvo</v>
          </cell>
          <cell r="B1790" t="str">
            <v>LOW SPEC</v>
          </cell>
          <cell r="D1790" t="str">
            <v>Weekly Output PLAN</v>
          </cell>
          <cell r="E1790" t="str">
            <v>ASSY</v>
          </cell>
          <cell r="Z1790">
            <v>3630.6027820710979</v>
          </cell>
          <cell r="AA1790">
            <v>3630.6027820710979</v>
          </cell>
          <cell r="AB1790">
            <v>3630.6027820710979</v>
          </cell>
          <cell r="AC1790">
            <v>3630.6027820710979</v>
          </cell>
          <cell r="AD1790">
            <v>2178.3616692426585</v>
          </cell>
          <cell r="AE1790">
            <v>3630.6027820710979</v>
          </cell>
          <cell r="AF1790">
            <v>3547.1406491499229</v>
          </cell>
          <cell r="AG1790">
            <v>3547.1406491499229</v>
          </cell>
          <cell r="AH1790">
            <v>3547.1406491499229</v>
          </cell>
          <cell r="AI1790">
            <v>3547.1406491499229</v>
          </cell>
          <cell r="AJ1790">
            <v>3547.1406491499229</v>
          </cell>
          <cell r="AK1790">
            <v>2837.7125193199381</v>
          </cell>
          <cell r="AL1790">
            <v>2837.7125193199381</v>
          </cell>
          <cell r="AM1790">
            <v>3547.1406491499229</v>
          </cell>
          <cell r="AN1790">
            <v>2837.7125193199381</v>
          </cell>
          <cell r="AO1790">
            <v>3547.1406491499229</v>
          </cell>
          <cell r="AP1790">
            <v>3547.1406491499229</v>
          </cell>
          <cell r="AQ1790">
            <v>3547.1406491499229</v>
          </cell>
          <cell r="AR1790">
            <v>3547.1406491499229</v>
          </cell>
          <cell r="AS1790">
            <v>3547.1406491499229</v>
          </cell>
          <cell r="AT1790">
            <v>3547.1406491499229</v>
          </cell>
          <cell r="AU1790">
            <v>3547.1406491499229</v>
          </cell>
          <cell r="AV1790">
            <v>3547.1406491499229</v>
          </cell>
          <cell r="AW1790">
            <v>3547.1406491499229</v>
          </cell>
          <cell r="AX1790">
            <v>3547.1406491499229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3547.1406491499229</v>
          </cell>
          <cell r="BD1790">
            <v>3547.1406491499229</v>
          </cell>
          <cell r="BE1790">
            <v>3547.1406491499229</v>
          </cell>
          <cell r="BF1790">
            <v>3547.1406491499229</v>
          </cell>
          <cell r="BG1790">
            <v>3547.1406491499229</v>
          </cell>
          <cell r="BH1790">
            <v>3547.1406491499229</v>
          </cell>
          <cell r="BI1790">
            <v>3547.1406491499229</v>
          </cell>
          <cell r="BJ1790">
            <v>3547.1406491499229</v>
          </cell>
          <cell r="BK1790">
            <v>1251.93199381762</v>
          </cell>
          <cell r="BL1790">
            <v>751.15919629057191</v>
          </cell>
          <cell r="BM1790">
            <v>751.15919629057191</v>
          </cell>
          <cell r="BN1790">
            <v>751.15919629057191</v>
          </cell>
          <cell r="BO1790">
            <v>751.15919629057191</v>
          </cell>
          <cell r="BP1790">
            <v>751.15919629057191</v>
          </cell>
          <cell r="BQ1790">
            <v>751.15919629057191</v>
          </cell>
          <cell r="BR1790">
            <v>751.15919629057191</v>
          </cell>
          <cell r="BS1790">
            <v>751.15919629057191</v>
          </cell>
          <cell r="BT1790">
            <v>751.15919629057191</v>
          </cell>
          <cell r="BU1790">
            <v>751.15919629057191</v>
          </cell>
          <cell r="BV1790">
            <v>751.15919629057191</v>
          </cell>
        </row>
        <row r="1791">
          <cell r="A1791" t="str">
            <v>Volvo</v>
          </cell>
          <cell r="B1791" t="str">
            <v>LOW SPEC</v>
          </cell>
          <cell r="D1791" t="str">
            <v>Low spec vinil</v>
          </cell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</row>
        <row r="1792">
          <cell r="A1792" t="str">
            <v>Volvo</v>
          </cell>
          <cell r="B1792" t="str">
            <v>LOW SPEC</v>
          </cell>
          <cell r="D1792" t="str">
            <v>Low spec LTH</v>
          </cell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</row>
        <row r="1793">
          <cell r="A1793" t="str">
            <v>Volvo</v>
          </cell>
          <cell r="B1793" t="str">
            <v>LOW SPEC</v>
          </cell>
          <cell r="D1793" t="str">
            <v>Low spec tekstil</v>
          </cell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</row>
        <row r="1794">
          <cell r="A1794" t="str">
            <v>Volvo</v>
          </cell>
          <cell r="B1794" t="str">
            <v>LOW SPEC</v>
          </cell>
          <cell r="D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</row>
        <row r="1795">
          <cell r="A1795" t="str">
            <v>Volvo</v>
          </cell>
          <cell r="B1795" t="str">
            <v>LOW SPEC</v>
          </cell>
          <cell r="D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</row>
        <row r="1796">
          <cell r="A1796" t="str">
            <v>Volvo</v>
          </cell>
          <cell r="B1796" t="str">
            <v>LOW SPEC</v>
          </cell>
          <cell r="D1796" t="str">
            <v>Weekly Output PLAN - SUM of models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  <cell r="BK1796">
            <v>0</v>
          </cell>
          <cell r="BL1796">
            <v>0</v>
          </cell>
          <cell r="BM1796">
            <v>0</v>
          </cell>
          <cell r="BN1796">
            <v>0</v>
          </cell>
          <cell r="BO1796">
            <v>0</v>
          </cell>
          <cell r="BP1796">
            <v>0</v>
          </cell>
          <cell r="BQ1796">
            <v>0</v>
          </cell>
          <cell r="BR1796">
            <v>0</v>
          </cell>
          <cell r="BS1796">
            <v>0</v>
          </cell>
          <cell r="BT1796">
            <v>0</v>
          </cell>
          <cell r="BU1796">
            <v>0</v>
          </cell>
          <cell r="BV1796">
            <v>0</v>
          </cell>
        </row>
        <row r="1797">
          <cell r="A1797" t="str">
            <v>Volvo</v>
          </cell>
          <cell r="B1797" t="str">
            <v>LOW SPEC</v>
          </cell>
          <cell r="D1797" t="str">
            <v>Weekly Output CHECK with TO time multiple</v>
          </cell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</row>
        <row r="1798">
          <cell r="A1798" t="str">
            <v>Volvo</v>
          </cell>
          <cell r="B1798" t="str">
            <v>LOW SPEC</v>
          </cell>
          <cell r="D1798" t="str">
            <v>Weekly Output ACT</v>
          </cell>
          <cell r="Z1798">
            <v>3630.6027820710979</v>
          </cell>
          <cell r="AA1798">
            <v>3630.6027820710979</v>
          </cell>
          <cell r="AB1798">
            <v>3630.6027820710979</v>
          </cell>
          <cell r="AC1798">
            <v>3630.6027820710979</v>
          </cell>
          <cell r="AD1798">
            <v>2178.3616692426585</v>
          </cell>
          <cell r="AE1798">
            <v>3630.6027820710979</v>
          </cell>
          <cell r="AF1798">
            <v>3547.1406491499229</v>
          </cell>
          <cell r="AG1798">
            <v>3547.1406491499229</v>
          </cell>
          <cell r="AH1798">
            <v>3547.1406491499229</v>
          </cell>
          <cell r="AI1798">
            <v>3547.1406491499229</v>
          </cell>
          <cell r="AJ1798">
            <v>3547.1406491499229</v>
          </cell>
          <cell r="AK1798">
            <v>2837.7125193199381</v>
          </cell>
          <cell r="AL1798">
            <v>2837.7125193199381</v>
          </cell>
          <cell r="AM1798">
            <v>3547.1406491499229</v>
          </cell>
          <cell r="AN1798">
            <v>2837.7125193199381</v>
          </cell>
          <cell r="AO1798">
            <v>3547.1406491499229</v>
          </cell>
          <cell r="AP1798">
            <v>3547.1406491499229</v>
          </cell>
          <cell r="AQ1798">
            <v>3547.1406491499229</v>
          </cell>
          <cell r="AR1798">
            <v>3547.1406491499229</v>
          </cell>
          <cell r="AS1798">
            <v>3547.1406491499229</v>
          </cell>
          <cell r="AT1798">
            <v>3547.1406491499229</v>
          </cell>
          <cell r="AU1798">
            <v>3547.1406491499229</v>
          </cell>
          <cell r="AV1798">
            <v>3547.1406491499229</v>
          </cell>
          <cell r="AW1798">
            <v>3547.1406491499229</v>
          </cell>
          <cell r="AX1798">
            <v>3547.1406491499229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3547.1406491499229</v>
          </cell>
          <cell r="BD1798">
            <v>3547.1406491499229</v>
          </cell>
          <cell r="BE1798">
            <v>3547.1406491499229</v>
          </cell>
          <cell r="BF1798">
            <v>3547.1406491499229</v>
          </cell>
          <cell r="BG1798">
            <v>3547.1406491499229</v>
          </cell>
          <cell r="BH1798">
            <v>3547.1406491499229</v>
          </cell>
          <cell r="BI1798">
            <v>3547.1406491499229</v>
          </cell>
          <cell r="BJ1798">
            <v>3547.1406491499229</v>
          </cell>
          <cell r="BK1798">
            <v>1251.93199381762</v>
          </cell>
          <cell r="BL1798">
            <v>751.15919629057191</v>
          </cell>
          <cell r="BM1798">
            <v>751.15919629057191</v>
          </cell>
          <cell r="BN1798">
            <v>751.15919629057191</v>
          </cell>
          <cell r="BO1798">
            <v>751.15919629057191</v>
          </cell>
          <cell r="BP1798">
            <v>751.15919629057191</v>
          </cell>
          <cell r="BQ1798">
            <v>751.15919629057191</v>
          </cell>
          <cell r="BR1798">
            <v>751.15919629057191</v>
          </cell>
          <cell r="BS1798">
            <v>751.15919629057191</v>
          </cell>
          <cell r="BT1798">
            <v>751.15919629057191</v>
          </cell>
          <cell r="BU1798">
            <v>751.15919629057191</v>
          </cell>
          <cell r="BV1798">
            <v>751.15919629057191</v>
          </cell>
        </row>
        <row r="1799">
          <cell r="A1799" t="str">
            <v>Volvo</v>
          </cell>
          <cell r="B1799" t="str">
            <v>LOW SPEC</v>
          </cell>
          <cell r="D1799" t="str">
            <v>Low spec vinil</v>
          </cell>
          <cell r="Z1799">
            <v>1625</v>
          </cell>
          <cell r="AA1799">
            <v>1900</v>
          </cell>
          <cell r="AB1799">
            <v>2425</v>
          </cell>
          <cell r="AC1799">
            <v>1925</v>
          </cell>
          <cell r="AD1799">
            <v>2025</v>
          </cell>
          <cell r="AE1799">
            <v>1875</v>
          </cell>
          <cell r="AF1799">
            <v>2150</v>
          </cell>
          <cell r="AG1799">
            <v>2150</v>
          </cell>
          <cell r="AH1799">
            <v>2150</v>
          </cell>
          <cell r="AI1799">
            <v>1400</v>
          </cell>
          <cell r="AJ1799">
            <v>2225</v>
          </cell>
          <cell r="AK1799">
            <v>2800</v>
          </cell>
          <cell r="AL1799">
            <v>1400</v>
          </cell>
          <cell r="AM1799">
            <v>1150</v>
          </cell>
          <cell r="AN1799">
            <v>1250</v>
          </cell>
          <cell r="AO1799">
            <v>1400</v>
          </cell>
          <cell r="AP1799">
            <v>1250</v>
          </cell>
          <cell r="AQ1799">
            <v>1300</v>
          </cell>
          <cell r="AR1799">
            <v>800</v>
          </cell>
          <cell r="AS1799">
            <v>2075</v>
          </cell>
          <cell r="AT1799">
            <v>1100</v>
          </cell>
          <cell r="AU1799">
            <v>1400</v>
          </cell>
          <cell r="AV1799">
            <v>1400</v>
          </cell>
          <cell r="AW1799">
            <v>1350</v>
          </cell>
          <cell r="AX1799">
            <v>0</v>
          </cell>
          <cell r="AY1799">
            <v>0</v>
          </cell>
          <cell r="AZ1799">
            <v>0</v>
          </cell>
          <cell r="BA1799">
            <v>50</v>
          </cell>
          <cell r="BB1799">
            <v>4900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6000</v>
          </cell>
          <cell r="BH1799">
            <v>0</v>
          </cell>
          <cell r="BI1799">
            <v>0</v>
          </cell>
          <cell r="BJ1799">
            <v>0</v>
          </cell>
          <cell r="BK1799">
            <v>0</v>
          </cell>
          <cell r="BL1799">
            <v>0</v>
          </cell>
          <cell r="BM1799">
            <v>0</v>
          </cell>
          <cell r="BN1799">
            <v>0</v>
          </cell>
          <cell r="BO1799">
            <v>0</v>
          </cell>
          <cell r="BP1799">
            <v>0</v>
          </cell>
          <cell r="BQ1799">
            <v>0</v>
          </cell>
          <cell r="BR1799">
            <v>0</v>
          </cell>
          <cell r="BS1799">
            <v>0</v>
          </cell>
          <cell r="BT1799">
            <v>0</v>
          </cell>
          <cell r="BU1799">
            <v>0</v>
          </cell>
          <cell r="BV1799">
            <v>0</v>
          </cell>
        </row>
        <row r="1800">
          <cell r="A1800" t="str">
            <v>Volvo</v>
          </cell>
          <cell r="B1800" t="str">
            <v>LOW SPEC</v>
          </cell>
          <cell r="D1800" t="str">
            <v>Low spec LTH</v>
          </cell>
          <cell r="Z1800">
            <v>1000</v>
          </cell>
          <cell r="AA1800">
            <v>1975</v>
          </cell>
          <cell r="AB1800">
            <v>1975</v>
          </cell>
          <cell r="AC1800">
            <v>2050</v>
          </cell>
          <cell r="AD1800">
            <v>1700</v>
          </cell>
          <cell r="AE1800">
            <v>2000</v>
          </cell>
          <cell r="AF1800">
            <v>1775</v>
          </cell>
          <cell r="AG1800">
            <v>1675</v>
          </cell>
          <cell r="AH1800">
            <v>1525</v>
          </cell>
          <cell r="AI1800">
            <v>1100</v>
          </cell>
          <cell r="AJ1800">
            <v>1425</v>
          </cell>
          <cell r="AK1800">
            <v>2250</v>
          </cell>
          <cell r="AL1800">
            <v>1650</v>
          </cell>
          <cell r="AM1800">
            <v>1450</v>
          </cell>
          <cell r="AN1800">
            <v>1450</v>
          </cell>
          <cell r="AO1800">
            <v>1700</v>
          </cell>
          <cell r="AP1800">
            <v>1750</v>
          </cell>
          <cell r="AQ1800">
            <v>1600</v>
          </cell>
          <cell r="AR1800">
            <v>1550</v>
          </cell>
          <cell r="AS1800">
            <v>2100</v>
          </cell>
          <cell r="AT1800">
            <v>1450</v>
          </cell>
          <cell r="AU1800">
            <v>1600</v>
          </cell>
          <cell r="AV1800">
            <v>1450</v>
          </cell>
          <cell r="AW1800">
            <v>800</v>
          </cell>
          <cell r="AX1800">
            <v>50</v>
          </cell>
          <cell r="AY1800">
            <v>0</v>
          </cell>
          <cell r="AZ1800">
            <v>50</v>
          </cell>
          <cell r="BA1800">
            <v>600</v>
          </cell>
          <cell r="BB1800">
            <v>5700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6600</v>
          </cell>
          <cell r="BH1800">
            <v>0</v>
          </cell>
          <cell r="BI1800">
            <v>0</v>
          </cell>
          <cell r="BJ1800">
            <v>0</v>
          </cell>
          <cell r="BK1800">
            <v>0</v>
          </cell>
          <cell r="BL1800">
            <v>0</v>
          </cell>
          <cell r="BM1800">
            <v>0</v>
          </cell>
          <cell r="BN1800">
            <v>0</v>
          </cell>
          <cell r="BO1800">
            <v>0</v>
          </cell>
          <cell r="BP1800">
            <v>0</v>
          </cell>
          <cell r="BQ1800">
            <v>0</v>
          </cell>
          <cell r="BR1800">
            <v>0</v>
          </cell>
          <cell r="BS1800">
            <v>0</v>
          </cell>
          <cell r="BT1800">
            <v>0</v>
          </cell>
          <cell r="BU1800">
            <v>0</v>
          </cell>
          <cell r="BV1800">
            <v>0</v>
          </cell>
        </row>
        <row r="1801">
          <cell r="A1801" t="str">
            <v>Volvo</v>
          </cell>
          <cell r="B1801" t="str">
            <v>LOW SPEC</v>
          </cell>
          <cell r="D1801" t="str">
            <v>Low spec tekstil</v>
          </cell>
          <cell r="Z1801">
            <v>75</v>
          </cell>
          <cell r="AA1801">
            <v>150</v>
          </cell>
          <cell r="AB1801">
            <v>150</v>
          </cell>
          <cell r="AC1801">
            <v>250</v>
          </cell>
          <cell r="AD1801">
            <v>150</v>
          </cell>
          <cell r="AE1801">
            <v>125</v>
          </cell>
          <cell r="AF1801">
            <v>125</v>
          </cell>
          <cell r="AG1801">
            <v>100</v>
          </cell>
          <cell r="AH1801">
            <v>125</v>
          </cell>
          <cell r="AI1801">
            <v>75</v>
          </cell>
          <cell r="AJ1801">
            <v>150</v>
          </cell>
          <cell r="AK1801">
            <v>350</v>
          </cell>
          <cell r="AL1801">
            <v>250</v>
          </cell>
          <cell r="AM1801">
            <v>150</v>
          </cell>
          <cell r="AN1801">
            <v>150</v>
          </cell>
          <cell r="AO1801">
            <v>225</v>
          </cell>
          <cell r="AP1801">
            <v>150</v>
          </cell>
          <cell r="AQ1801">
            <v>200</v>
          </cell>
          <cell r="AR1801">
            <v>200</v>
          </cell>
          <cell r="AS1801">
            <v>350</v>
          </cell>
          <cell r="AT1801">
            <v>200</v>
          </cell>
          <cell r="AU1801">
            <v>50</v>
          </cell>
          <cell r="AV1801">
            <v>200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150</v>
          </cell>
          <cell r="BB1801">
            <v>600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550</v>
          </cell>
          <cell r="BH1801">
            <v>0</v>
          </cell>
          <cell r="BI1801">
            <v>0</v>
          </cell>
          <cell r="BJ1801">
            <v>0</v>
          </cell>
          <cell r="BK1801">
            <v>0</v>
          </cell>
          <cell r="BL1801">
            <v>0</v>
          </cell>
          <cell r="BM1801">
            <v>0</v>
          </cell>
          <cell r="BN1801">
            <v>0</v>
          </cell>
          <cell r="BO1801">
            <v>0</v>
          </cell>
          <cell r="BP1801">
            <v>0</v>
          </cell>
          <cell r="BQ1801">
            <v>0</v>
          </cell>
          <cell r="BR1801">
            <v>0</v>
          </cell>
          <cell r="BS1801">
            <v>0</v>
          </cell>
          <cell r="BT1801">
            <v>0</v>
          </cell>
          <cell r="BU1801">
            <v>0</v>
          </cell>
          <cell r="BV1801">
            <v>0</v>
          </cell>
        </row>
        <row r="1802">
          <cell r="A1802" t="str">
            <v>Volvo</v>
          </cell>
          <cell r="B1802" t="str">
            <v>LOW SPEC</v>
          </cell>
          <cell r="D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  <cell r="BK1802">
            <v>0</v>
          </cell>
          <cell r="BL1802">
            <v>0</v>
          </cell>
          <cell r="BM1802">
            <v>0</v>
          </cell>
          <cell r="BN1802">
            <v>0</v>
          </cell>
          <cell r="BO1802">
            <v>0</v>
          </cell>
          <cell r="BP1802">
            <v>0</v>
          </cell>
          <cell r="BQ1802">
            <v>0</v>
          </cell>
          <cell r="BR1802">
            <v>0</v>
          </cell>
          <cell r="BS1802">
            <v>0</v>
          </cell>
          <cell r="BT1802">
            <v>0</v>
          </cell>
          <cell r="BU1802">
            <v>0</v>
          </cell>
          <cell r="BV1802">
            <v>0</v>
          </cell>
        </row>
        <row r="1803">
          <cell r="A1803" t="str">
            <v>Volvo</v>
          </cell>
          <cell r="B1803" t="str">
            <v>LOW SPEC</v>
          </cell>
          <cell r="D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  <cell r="BK1803">
            <v>0</v>
          </cell>
          <cell r="BL1803">
            <v>0</v>
          </cell>
          <cell r="BM1803">
            <v>0</v>
          </cell>
          <cell r="BN1803">
            <v>0</v>
          </cell>
          <cell r="BO1803">
            <v>0</v>
          </cell>
          <cell r="BP1803">
            <v>0</v>
          </cell>
          <cell r="BQ1803">
            <v>0</v>
          </cell>
          <cell r="BR1803">
            <v>0</v>
          </cell>
          <cell r="BS1803">
            <v>0</v>
          </cell>
          <cell r="BT1803">
            <v>0</v>
          </cell>
          <cell r="BU1803">
            <v>0</v>
          </cell>
          <cell r="BV1803">
            <v>0</v>
          </cell>
        </row>
        <row r="1804">
          <cell r="A1804" t="str">
            <v>Volvo</v>
          </cell>
          <cell r="B1804" t="str">
            <v>LOW SPEC</v>
          </cell>
          <cell r="D1804" t="str">
            <v>Weekly demand</v>
          </cell>
          <cell r="Z1804">
            <v>2700</v>
          </cell>
          <cell r="AA1804">
            <v>4025</v>
          </cell>
          <cell r="AB1804">
            <v>4550</v>
          </cell>
          <cell r="AC1804">
            <v>4225</v>
          </cell>
          <cell r="AD1804">
            <v>3875</v>
          </cell>
          <cell r="AE1804">
            <v>4000</v>
          </cell>
          <cell r="AF1804">
            <v>4050</v>
          </cell>
          <cell r="AG1804">
            <v>3925</v>
          </cell>
          <cell r="AH1804">
            <v>3800</v>
          </cell>
          <cell r="AI1804">
            <v>2575</v>
          </cell>
          <cell r="AJ1804">
            <v>3800</v>
          </cell>
          <cell r="AK1804">
            <v>5400</v>
          </cell>
          <cell r="AL1804">
            <v>3300</v>
          </cell>
          <cell r="AM1804">
            <v>2750</v>
          </cell>
          <cell r="AN1804">
            <v>2850</v>
          </cell>
          <cell r="AO1804">
            <v>3325</v>
          </cell>
          <cell r="AP1804">
            <v>3150</v>
          </cell>
          <cell r="AQ1804">
            <v>3100</v>
          </cell>
          <cell r="AR1804">
            <v>2550</v>
          </cell>
          <cell r="AS1804">
            <v>4525</v>
          </cell>
          <cell r="AT1804">
            <v>2750</v>
          </cell>
          <cell r="AU1804">
            <v>3050</v>
          </cell>
          <cell r="AV1804">
            <v>3050</v>
          </cell>
          <cell r="AW1804">
            <v>2150</v>
          </cell>
          <cell r="AX1804">
            <v>50</v>
          </cell>
          <cell r="AY1804">
            <v>0</v>
          </cell>
          <cell r="AZ1804">
            <v>50</v>
          </cell>
          <cell r="BA1804">
            <v>800</v>
          </cell>
          <cell r="BB1804">
            <v>11200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13150</v>
          </cell>
          <cell r="BH1804">
            <v>0</v>
          </cell>
          <cell r="BI1804">
            <v>0</v>
          </cell>
          <cell r="BJ1804">
            <v>0</v>
          </cell>
          <cell r="BK1804">
            <v>0</v>
          </cell>
          <cell r="BL1804">
            <v>115125</v>
          </cell>
          <cell r="BM1804">
            <v>0</v>
          </cell>
          <cell r="BN1804">
            <v>0</v>
          </cell>
          <cell r="BO1804">
            <v>0</v>
          </cell>
          <cell r="BP1804">
            <v>0</v>
          </cell>
          <cell r="BQ1804">
            <v>0</v>
          </cell>
          <cell r="BR1804">
            <v>0</v>
          </cell>
          <cell r="BS1804">
            <v>0</v>
          </cell>
          <cell r="BT1804">
            <v>0</v>
          </cell>
          <cell r="BU1804">
            <v>0</v>
          </cell>
          <cell r="BV1804">
            <v>0</v>
          </cell>
        </row>
        <row r="1805">
          <cell r="A1805" t="str">
            <v>Volvo</v>
          </cell>
          <cell r="B1805" t="str">
            <v>LOW SPEC</v>
          </cell>
          <cell r="D1805" t="str">
            <v>Stock Target</v>
          </cell>
          <cell r="Z1805">
            <v>2000</v>
          </cell>
          <cell r="AA1805">
            <v>2000</v>
          </cell>
          <cell r="AB1805">
            <v>2000</v>
          </cell>
          <cell r="AC1805">
            <v>2000</v>
          </cell>
          <cell r="AD1805">
            <v>2000</v>
          </cell>
          <cell r="AE1805">
            <v>2000</v>
          </cell>
          <cell r="AF1805">
            <v>2000</v>
          </cell>
          <cell r="AG1805">
            <v>2000</v>
          </cell>
          <cell r="AH1805">
            <v>2000</v>
          </cell>
          <cell r="AI1805">
            <v>2000</v>
          </cell>
          <cell r="AJ1805">
            <v>2528</v>
          </cell>
          <cell r="AK1805">
            <v>2529</v>
          </cell>
          <cell r="AL1805">
            <v>2530</v>
          </cell>
          <cell r="AM1805">
            <v>2531</v>
          </cell>
          <cell r="AN1805">
            <v>2532</v>
          </cell>
          <cell r="AO1805">
            <v>2533</v>
          </cell>
          <cell r="AP1805">
            <v>2534</v>
          </cell>
          <cell r="AQ1805">
            <v>2535</v>
          </cell>
          <cell r="AR1805">
            <v>2536</v>
          </cell>
          <cell r="AS1805">
            <v>2537</v>
          </cell>
          <cell r="AT1805">
            <v>2538</v>
          </cell>
          <cell r="AU1805">
            <v>2539</v>
          </cell>
          <cell r="AV1805">
            <v>2540</v>
          </cell>
          <cell r="AW1805">
            <v>2541</v>
          </cell>
          <cell r="AX1805">
            <v>2542</v>
          </cell>
          <cell r="AY1805">
            <v>2543</v>
          </cell>
          <cell r="AZ1805">
            <v>2544</v>
          </cell>
          <cell r="BA1805">
            <v>2545</v>
          </cell>
          <cell r="BB1805">
            <v>2546</v>
          </cell>
          <cell r="BC1805">
            <v>2547</v>
          </cell>
          <cell r="BD1805">
            <v>2548</v>
          </cell>
          <cell r="BE1805">
            <v>2549</v>
          </cell>
          <cell r="BF1805">
            <v>2550</v>
          </cell>
          <cell r="BG1805">
            <v>2551</v>
          </cell>
          <cell r="BH1805">
            <v>2552</v>
          </cell>
          <cell r="BI1805">
            <v>2553</v>
          </cell>
          <cell r="BJ1805">
            <v>2554</v>
          </cell>
          <cell r="BK1805">
            <v>2555</v>
          </cell>
          <cell r="BL1805">
            <v>2556</v>
          </cell>
          <cell r="BM1805">
            <v>2557</v>
          </cell>
          <cell r="BN1805">
            <v>2558</v>
          </cell>
          <cell r="BO1805">
            <v>2559</v>
          </cell>
          <cell r="BP1805">
            <v>2560</v>
          </cell>
          <cell r="BQ1805">
            <v>2561</v>
          </cell>
          <cell r="BR1805">
            <v>2562</v>
          </cell>
          <cell r="BS1805">
            <v>2563</v>
          </cell>
          <cell r="BT1805">
            <v>2564</v>
          </cell>
          <cell r="BU1805">
            <v>2565</v>
          </cell>
          <cell r="BV1805">
            <v>2566</v>
          </cell>
        </row>
        <row r="1806">
          <cell r="A1806" t="str">
            <v>Volvo</v>
          </cell>
          <cell r="B1806" t="str">
            <v>LOW SPEC</v>
          </cell>
          <cell r="D1806" t="str">
            <v>Low spec vinil</v>
          </cell>
          <cell r="Z1806">
            <v>3775</v>
          </cell>
          <cell r="AA1806">
            <v>1875</v>
          </cell>
          <cell r="AB1806">
            <v>-550</v>
          </cell>
          <cell r="AC1806">
            <v>-2475</v>
          </cell>
          <cell r="AD1806">
            <v>-4500</v>
          </cell>
          <cell r="AE1806">
            <v>-6375</v>
          </cell>
          <cell r="AF1806">
            <v>-8525</v>
          </cell>
          <cell r="AG1806">
            <v>-10675</v>
          </cell>
          <cell r="AH1806">
            <v>-12825</v>
          </cell>
          <cell r="AI1806">
            <v>-14225</v>
          </cell>
          <cell r="AJ1806">
            <v>-16450</v>
          </cell>
          <cell r="AK1806">
            <v>-19250</v>
          </cell>
          <cell r="AL1806">
            <v>-20650</v>
          </cell>
          <cell r="AM1806">
            <v>-21800</v>
          </cell>
          <cell r="AN1806">
            <v>-23050</v>
          </cell>
          <cell r="AO1806">
            <v>-24450</v>
          </cell>
          <cell r="AP1806">
            <v>-25700</v>
          </cell>
          <cell r="AQ1806">
            <v>-27000</v>
          </cell>
          <cell r="AR1806">
            <v>-27800</v>
          </cell>
          <cell r="AS1806">
            <v>-29875</v>
          </cell>
          <cell r="AT1806">
            <v>-30975</v>
          </cell>
          <cell r="AU1806">
            <v>-32375</v>
          </cell>
          <cell r="AV1806">
            <v>-33775</v>
          </cell>
          <cell r="AW1806">
            <v>-35125</v>
          </cell>
          <cell r="AX1806">
            <v>-35125</v>
          </cell>
          <cell r="AY1806">
            <v>-35125</v>
          </cell>
          <cell r="AZ1806">
            <v>-35125</v>
          </cell>
          <cell r="BA1806">
            <v>-35175</v>
          </cell>
          <cell r="BB1806">
            <v>-40075</v>
          </cell>
          <cell r="BC1806">
            <v>-40075</v>
          </cell>
          <cell r="BD1806">
            <v>-40075</v>
          </cell>
          <cell r="BE1806">
            <v>-40075</v>
          </cell>
          <cell r="BF1806">
            <v>-40075</v>
          </cell>
          <cell r="BG1806">
            <v>-46075</v>
          </cell>
          <cell r="BH1806">
            <v>-46075</v>
          </cell>
          <cell r="BI1806">
            <v>-46075</v>
          </cell>
          <cell r="BJ1806">
            <v>-46075</v>
          </cell>
          <cell r="BK1806">
            <v>-46075</v>
          </cell>
          <cell r="BL1806">
            <v>-46075</v>
          </cell>
          <cell r="BM1806">
            <v>-46075</v>
          </cell>
          <cell r="BN1806">
            <v>-46075</v>
          </cell>
          <cell r="BO1806">
            <v>-46075</v>
          </cell>
          <cell r="BP1806">
            <v>-46075</v>
          </cell>
          <cell r="BQ1806">
            <v>-46075</v>
          </cell>
          <cell r="BR1806">
            <v>-46075</v>
          </cell>
          <cell r="BS1806">
            <v>-46075</v>
          </cell>
          <cell r="BT1806">
            <v>-46075</v>
          </cell>
          <cell r="BU1806">
            <v>-46075</v>
          </cell>
          <cell r="BV1806">
            <v>-46075</v>
          </cell>
        </row>
        <row r="1807">
          <cell r="A1807" t="str">
            <v>Volvo</v>
          </cell>
          <cell r="B1807" t="str">
            <v>LOW SPEC</v>
          </cell>
          <cell r="D1807" t="str">
            <v>Low spec LTH</v>
          </cell>
          <cell r="Z1807">
            <v>4425</v>
          </cell>
          <cell r="AA1807">
            <v>2450</v>
          </cell>
          <cell r="AB1807">
            <v>475</v>
          </cell>
          <cell r="AC1807">
            <v>-1575</v>
          </cell>
          <cell r="AD1807">
            <v>-3275</v>
          </cell>
          <cell r="AE1807">
            <v>-5275</v>
          </cell>
          <cell r="AF1807">
            <v>-7050</v>
          </cell>
          <cell r="AG1807">
            <v>-8725</v>
          </cell>
          <cell r="AH1807">
            <v>-10250</v>
          </cell>
          <cell r="AI1807">
            <v>-11350</v>
          </cell>
          <cell r="AJ1807">
            <v>-12775</v>
          </cell>
          <cell r="AK1807">
            <v>-15025</v>
          </cell>
          <cell r="AL1807">
            <v>-16675</v>
          </cell>
          <cell r="AM1807">
            <v>-18125</v>
          </cell>
          <cell r="AN1807">
            <v>-19575</v>
          </cell>
          <cell r="AO1807">
            <v>-21275</v>
          </cell>
          <cell r="AP1807">
            <v>-23025</v>
          </cell>
          <cell r="AQ1807">
            <v>-24625</v>
          </cell>
          <cell r="AR1807">
            <v>-26175</v>
          </cell>
          <cell r="AS1807">
            <v>-28275</v>
          </cell>
          <cell r="AT1807">
            <v>-29725</v>
          </cell>
          <cell r="AU1807">
            <v>-31325</v>
          </cell>
          <cell r="AV1807">
            <v>-32775</v>
          </cell>
          <cell r="AW1807">
            <v>-33575</v>
          </cell>
          <cell r="AX1807">
            <v>-33625</v>
          </cell>
          <cell r="AY1807">
            <v>-33625</v>
          </cell>
          <cell r="AZ1807">
            <v>-33675</v>
          </cell>
          <cell r="BA1807">
            <v>-34275</v>
          </cell>
          <cell r="BB1807">
            <v>-39975</v>
          </cell>
          <cell r="BC1807">
            <v>-39975</v>
          </cell>
          <cell r="BD1807">
            <v>-39975</v>
          </cell>
          <cell r="BE1807">
            <v>-39975</v>
          </cell>
          <cell r="BF1807">
            <v>-39975</v>
          </cell>
          <cell r="BG1807">
            <v>-46575</v>
          </cell>
          <cell r="BH1807">
            <v>-46575</v>
          </cell>
          <cell r="BI1807">
            <v>-46575</v>
          </cell>
          <cell r="BJ1807">
            <v>-46575</v>
          </cell>
          <cell r="BK1807">
            <v>-46575</v>
          </cell>
          <cell r="BL1807">
            <v>-46575</v>
          </cell>
          <cell r="BM1807">
            <v>-46575</v>
          </cell>
          <cell r="BN1807">
            <v>-46575</v>
          </cell>
          <cell r="BO1807">
            <v>-46575</v>
          </cell>
          <cell r="BP1807">
            <v>-46575</v>
          </cell>
          <cell r="BQ1807">
            <v>-46575</v>
          </cell>
          <cell r="BR1807">
            <v>-46575</v>
          </cell>
          <cell r="BS1807">
            <v>-46575</v>
          </cell>
          <cell r="BT1807">
            <v>-46575</v>
          </cell>
          <cell r="BU1807">
            <v>-46575</v>
          </cell>
          <cell r="BV1807">
            <v>-46575</v>
          </cell>
        </row>
        <row r="1808">
          <cell r="A1808" t="str">
            <v>Volvo</v>
          </cell>
          <cell r="B1808" t="str">
            <v>LOW SPEC</v>
          </cell>
          <cell r="D1808" t="str">
            <v>Low spec tekstil</v>
          </cell>
          <cell r="Z1808">
            <v>300</v>
          </cell>
          <cell r="AA1808">
            <v>150</v>
          </cell>
          <cell r="AB1808">
            <v>0</v>
          </cell>
          <cell r="AC1808">
            <v>-250</v>
          </cell>
          <cell r="AD1808">
            <v>-400</v>
          </cell>
          <cell r="AE1808">
            <v>-525</v>
          </cell>
          <cell r="AF1808">
            <v>-650</v>
          </cell>
          <cell r="AG1808">
            <v>-750</v>
          </cell>
          <cell r="AH1808">
            <v>-875</v>
          </cell>
          <cell r="AI1808">
            <v>-950</v>
          </cell>
          <cell r="AJ1808">
            <v>-1100</v>
          </cell>
          <cell r="AK1808">
            <v>-1450</v>
          </cell>
          <cell r="AL1808">
            <v>-1700</v>
          </cell>
          <cell r="AM1808">
            <v>-1850</v>
          </cell>
          <cell r="AN1808">
            <v>-2000</v>
          </cell>
          <cell r="AO1808">
            <v>-2225</v>
          </cell>
          <cell r="AP1808">
            <v>-2375</v>
          </cell>
          <cell r="AQ1808">
            <v>-2575</v>
          </cell>
          <cell r="AR1808">
            <v>-2775</v>
          </cell>
          <cell r="AS1808">
            <v>-3125</v>
          </cell>
          <cell r="AT1808">
            <v>-3325</v>
          </cell>
          <cell r="AU1808">
            <v>-3375</v>
          </cell>
          <cell r="AV1808">
            <v>-3575</v>
          </cell>
          <cell r="AW1808">
            <v>-3575</v>
          </cell>
          <cell r="AX1808">
            <v>-3575</v>
          </cell>
          <cell r="AY1808">
            <v>-3575</v>
          </cell>
          <cell r="AZ1808">
            <v>-3575</v>
          </cell>
          <cell r="BA1808">
            <v>-3725</v>
          </cell>
          <cell r="BB1808">
            <v>-4325</v>
          </cell>
          <cell r="BC1808">
            <v>-4325</v>
          </cell>
          <cell r="BD1808">
            <v>-4325</v>
          </cell>
          <cell r="BE1808">
            <v>-4325</v>
          </cell>
          <cell r="BF1808">
            <v>-4325</v>
          </cell>
          <cell r="BG1808">
            <v>-4875</v>
          </cell>
          <cell r="BH1808">
            <v>-4875</v>
          </cell>
          <cell r="BI1808">
            <v>-4875</v>
          </cell>
          <cell r="BJ1808">
            <v>-4875</v>
          </cell>
          <cell r="BK1808">
            <v>-4875</v>
          </cell>
          <cell r="BL1808">
            <v>-4875</v>
          </cell>
          <cell r="BM1808">
            <v>-4875</v>
          </cell>
          <cell r="BN1808">
            <v>-4875</v>
          </cell>
          <cell r="BO1808">
            <v>-4875</v>
          </cell>
          <cell r="BP1808">
            <v>-4875</v>
          </cell>
          <cell r="BQ1808">
            <v>-4875</v>
          </cell>
          <cell r="BR1808">
            <v>-4875</v>
          </cell>
          <cell r="BS1808">
            <v>-4875</v>
          </cell>
          <cell r="BT1808">
            <v>-4875</v>
          </cell>
          <cell r="BU1808">
            <v>-4875</v>
          </cell>
          <cell r="BV1808">
            <v>-4875</v>
          </cell>
        </row>
        <row r="1809">
          <cell r="A1809" t="str">
            <v>Volvo</v>
          </cell>
          <cell r="B1809" t="str">
            <v>LOW SPEC</v>
          </cell>
          <cell r="D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  <cell r="BK1809">
            <v>0</v>
          </cell>
          <cell r="BL1809">
            <v>0</v>
          </cell>
          <cell r="BM1809">
            <v>0</v>
          </cell>
          <cell r="BN1809">
            <v>0</v>
          </cell>
          <cell r="BO1809">
            <v>0</v>
          </cell>
          <cell r="BP1809">
            <v>0</v>
          </cell>
          <cell r="BQ1809">
            <v>0</v>
          </cell>
          <cell r="BR1809">
            <v>0</v>
          </cell>
          <cell r="BS1809">
            <v>0</v>
          </cell>
          <cell r="BT1809">
            <v>0</v>
          </cell>
          <cell r="BU1809">
            <v>0</v>
          </cell>
          <cell r="BV1809">
            <v>0</v>
          </cell>
        </row>
        <row r="1810">
          <cell r="A1810" t="str">
            <v>Volvo</v>
          </cell>
          <cell r="B1810" t="str">
            <v>LOW SPEC</v>
          </cell>
          <cell r="D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  <cell r="BK1810">
            <v>0</v>
          </cell>
          <cell r="BL1810">
            <v>0</v>
          </cell>
          <cell r="BM1810">
            <v>0</v>
          </cell>
          <cell r="BN1810">
            <v>0</v>
          </cell>
          <cell r="BO1810">
            <v>0</v>
          </cell>
          <cell r="BP1810">
            <v>0</v>
          </cell>
          <cell r="BQ1810">
            <v>0</v>
          </cell>
          <cell r="BR1810">
            <v>0</v>
          </cell>
          <cell r="BS1810">
            <v>0</v>
          </cell>
          <cell r="BT1810">
            <v>0</v>
          </cell>
          <cell r="BU1810">
            <v>0</v>
          </cell>
          <cell r="BV1810">
            <v>0</v>
          </cell>
        </row>
        <row r="1811">
          <cell r="A1811" t="str">
            <v>Volvo</v>
          </cell>
          <cell r="B1811" t="str">
            <v>LOW SPEC</v>
          </cell>
          <cell r="D1811" t="str">
            <v>STOCK</v>
          </cell>
          <cell r="Z1811">
            <v>8500</v>
          </cell>
          <cell r="AA1811">
            <v>8105.6027820710979</v>
          </cell>
          <cell r="AB1811">
            <v>7186.2055641421957</v>
          </cell>
          <cell r="AC1811">
            <v>6591.8083462132936</v>
          </cell>
          <cell r="AD1811">
            <v>4895.1700154559521</v>
          </cell>
          <cell r="AE1811">
            <v>4525.77279752705</v>
          </cell>
          <cell r="AF1811">
            <v>4022.9134466769729</v>
          </cell>
          <cell r="AG1811">
            <v>3645.0540958268957</v>
          </cell>
          <cell r="AH1811">
            <v>3392.1947449768186</v>
          </cell>
          <cell r="AI1811">
            <v>4364.3353941267414</v>
          </cell>
          <cell r="AJ1811">
            <v>4111.4760432766643</v>
          </cell>
          <cell r="AK1811">
            <v>1549.1885625966024</v>
          </cell>
          <cell r="AL1811">
            <v>1086.9010819165405</v>
          </cell>
          <cell r="AM1811">
            <v>1884.0417310664634</v>
          </cell>
          <cell r="AN1811">
            <v>1871.7542503864015</v>
          </cell>
          <cell r="AO1811">
            <v>2093.8948995363244</v>
          </cell>
          <cell r="AP1811">
            <v>2491.0355486862472</v>
          </cell>
          <cell r="AQ1811">
            <v>2938.1761978361701</v>
          </cell>
          <cell r="AR1811">
            <v>3935.316846986093</v>
          </cell>
          <cell r="AS1811">
            <v>2957.4574961360158</v>
          </cell>
          <cell r="AT1811">
            <v>3754.5981452859387</v>
          </cell>
          <cell r="AU1811">
            <v>4251.7387944358616</v>
          </cell>
          <cell r="AV1811">
            <v>4748.8794435857844</v>
          </cell>
          <cell r="AW1811">
            <v>6146.0200927357073</v>
          </cell>
          <cell r="AX1811">
            <v>9643.1607418856292</v>
          </cell>
          <cell r="AY1811">
            <v>9643.1607418856292</v>
          </cell>
          <cell r="AZ1811">
            <v>9593.1607418856292</v>
          </cell>
          <cell r="BA1811">
            <v>8793.1607418856292</v>
          </cell>
          <cell r="BB1811">
            <v>-2406.8392581143708</v>
          </cell>
          <cell r="BC1811">
            <v>1140.3013910355521</v>
          </cell>
          <cell r="BD1811">
            <v>4687.442040185475</v>
          </cell>
          <cell r="BE1811">
            <v>8234.5826893353988</v>
          </cell>
          <cell r="BF1811">
            <v>11781.723338485321</v>
          </cell>
          <cell r="BG1811">
            <v>2178.8639876352436</v>
          </cell>
          <cell r="BH1811">
            <v>5726.0046367851664</v>
          </cell>
          <cell r="BI1811">
            <v>9273.1452859350902</v>
          </cell>
          <cell r="BJ1811">
            <v>12820.285935085012</v>
          </cell>
          <cell r="BK1811">
            <v>14072.217928902632</v>
          </cell>
          <cell r="BL1811">
            <v>-100301.62287480681</v>
          </cell>
          <cell r="BM1811">
            <v>-99550.463678516244</v>
          </cell>
          <cell r="BN1811">
            <v>-98799.304482225678</v>
          </cell>
          <cell r="BO1811">
            <v>-98048.145285935112</v>
          </cell>
          <cell r="BP1811">
            <v>-97296.986089644546</v>
          </cell>
          <cell r="BQ1811">
            <v>-96545.82689335398</v>
          </cell>
          <cell r="BR1811">
            <v>-95794.667697063414</v>
          </cell>
          <cell r="BS1811">
            <v>-95043.508500772848</v>
          </cell>
          <cell r="BT1811">
            <v>-94292.349304482283</v>
          </cell>
          <cell r="BU1811">
            <v>-93541.190108191717</v>
          </cell>
          <cell r="BV1811">
            <v>-92790.030911901151</v>
          </cell>
        </row>
        <row r="1812">
          <cell r="A1812" t="str">
            <v>Blank</v>
          </cell>
          <cell r="B1812" t="str">
            <v>Blank</v>
          </cell>
          <cell r="D1812" t="str">
            <v>Blank</v>
          </cell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</row>
        <row r="1813">
          <cell r="A1813" t="str">
            <v>Volvo</v>
          </cell>
          <cell r="B1813" t="str">
            <v>LOW SPEC</v>
          </cell>
          <cell r="D1813" t="str">
            <v>Work days</v>
          </cell>
          <cell r="Z1813">
            <v>4.5</v>
          </cell>
          <cell r="AA1813">
            <v>5</v>
          </cell>
          <cell r="AB1813">
            <v>5</v>
          </cell>
          <cell r="AC1813">
            <v>5</v>
          </cell>
          <cell r="AD1813">
            <v>3</v>
          </cell>
          <cell r="AE1813">
            <v>5</v>
          </cell>
          <cell r="AF1813">
            <v>5</v>
          </cell>
          <cell r="AG1813">
            <v>5</v>
          </cell>
          <cell r="AH1813">
            <v>5</v>
          </cell>
          <cell r="AI1813">
            <v>5</v>
          </cell>
          <cell r="AJ1813">
            <v>5</v>
          </cell>
          <cell r="AK1813">
            <v>4</v>
          </cell>
          <cell r="AL1813">
            <v>4</v>
          </cell>
          <cell r="AM1813">
            <v>5</v>
          </cell>
          <cell r="AN1813">
            <v>4</v>
          </cell>
          <cell r="AO1813">
            <v>5</v>
          </cell>
          <cell r="AP1813">
            <v>5</v>
          </cell>
          <cell r="AQ1813">
            <v>5</v>
          </cell>
          <cell r="AR1813">
            <v>5</v>
          </cell>
          <cell r="AS1813">
            <v>5</v>
          </cell>
          <cell r="AT1813">
            <v>5</v>
          </cell>
          <cell r="AU1813">
            <v>5</v>
          </cell>
          <cell r="AV1813">
            <v>5</v>
          </cell>
          <cell r="AW1813">
            <v>5</v>
          </cell>
          <cell r="AX1813">
            <v>5</v>
          </cell>
          <cell r="AY1813">
            <v>5</v>
          </cell>
          <cell r="AZ1813">
            <v>0</v>
          </cell>
          <cell r="BA1813">
            <v>0</v>
          </cell>
          <cell r="BB1813">
            <v>0</v>
          </cell>
          <cell r="BC1813">
            <v>5</v>
          </cell>
          <cell r="BD1813">
            <v>5</v>
          </cell>
          <cell r="BE1813">
            <v>5</v>
          </cell>
          <cell r="BF1813">
            <v>5</v>
          </cell>
          <cell r="BG1813">
            <v>5</v>
          </cell>
          <cell r="BH1813">
            <v>5</v>
          </cell>
          <cell r="BI1813">
            <v>5</v>
          </cell>
          <cell r="BJ1813">
            <v>5</v>
          </cell>
          <cell r="BK1813">
            <v>5</v>
          </cell>
          <cell r="BL1813">
            <v>13</v>
          </cell>
          <cell r="BM1813">
            <v>13</v>
          </cell>
          <cell r="BN1813">
            <v>13</v>
          </cell>
          <cell r="BO1813">
            <v>13</v>
          </cell>
          <cell r="BP1813">
            <v>13</v>
          </cell>
          <cell r="BQ1813">
            <v>13</v>
          </cell>
          <cell r="BR1813">
            <v>13</v>
          </cell>
          <cell r="BS1813">
            <v>13</v>
          </cell>
          <cell r="BT1813">
            <v>13</v>
          </cell>
          <cell r="BU1813">
            <v>13</v>
          </cell>
          <cell r="BV1813">
            <v>13</v>
          </cell>
        </row>
        <row r="1814">
          <cell r="A1814" t="str">
            <v>Volvo</v>
          </cell>
          <cell r="B1814" t="str">
            <v>LOW SPEC</v>
          </cell>
          <cell r="D1814" t="str">
            <v>SHIFT A HC - operators</v>
          </cell>
          <cell r="Z1814">
            <v>6</v>
          </cell>
          <cell r="AA1814">
            <v>6</v>
          </cell>
          <cell r="AB1814">
            <v>7</v>
          </cell>
          <cell r="AC1814">
            <v>7</v>
          </cell>
          <cell r="AD1814">
            <v>7</v>
          </cell>
          <cell r="AE1814">
            <v>6</v>
          </cell>
          <cell r="AF1814">
            <v>6</v>
          </cell>
          <cell r="AG1814">
            <v>6</v>
          </cell>
          <cell r="AH1814">
            <v>6</v>
          </cell>
          <cell r="AI1814">
            <v>6</v>
          </cell>
          <cell r="AJ1814">
            <v>6</v>
          </cell>
          <cell r="AK1814">
            <v>6</v>
          </cell>
          <cell r="AL1814">
            <v>6</v>
          </cell>
          <cell r="AM1814">
            <v>6</v>
          </cell>
          <cell r="AN1814">
            <v>6</v>
          </cell>
          <cell r="AO1814">
            <v>6</v>
          </cell>
          <cell r="AP1814">
            <v>6</v>
          </cell>
          <cell r="AQ1814">
            <v>6</v>
          </cell>
          <cell r="AR1814">
            <v>6</v>
          </cell>
          <cell r="AS1814">
            <v>6</v>
          </cell>
          <cell r="AT1814">
            <v>6</v>
          </cell>
          <cell r="AU1814">
            <v>6</v>
          </cell>
          <cell r="AV1814">
            <v>6</v>
          </cell>
          <cell r="AW1814">
            <v>6</v>
          </cell>
          <cell r="AX1814">
            <v>6</v>
          </cell>
          <cell r="AY1814">
            <v>6</v>
          </cell>
          <cell r="AZ1814">
            <v>6</v>
          </cell>
          <cell r="BA1814">
            <v>6</v>
          </cell>
          <cell r="BB1814">
            <v>6</v>
          </cell>
          <cell r="BC1814">
            <v>6</v>
          </cell>
          <cell r="BD1814">
            <v>6</v>
          </cell>
          <cell r="BE1814">
            <v>6</v>
          </cell>
          <cell r="BF1814">
            <v>6</v>
          </cell>
          <cell r="BG1814">
            <v>6</v>
          </cell>
          <cell r="BH1814">
            <v>6</v>
          </cell>
          <cell r="BI1814">
            <v>6</v>
          </cell>
          <cell r="BJ1814">
            <v>6</v>
          </cell>
          <cell r="BK1814">
            <v>7</v>
          </cell>
          <cell r="BL1814">
            <v>7</v>
          </cell>
          <cell r="BM1814">
            <v>7</v>
          </cell>
          <cell r="BN1814">
            <v>7</v>
          </cell>
          <cell r="BO1814">
            <v>7</v>
          </cell>
          <cell r="BP1814">
            <v>7</v>
          </cell>
          <cell r="BQ1814">
            <v>7</v>
          </cell>
          <cell r="BR1814">
            <v>7</v>
          </cell>
          <cell r="BS1814">
            <v>7</v>
          </cell>
          <cell r="BT1814">
            <v>7</v>
          </cell>
          <cell r="BU1814">
            <v>7</v>
          </cell>
          <cell r="BV1814">
            <v>7</v>
          </cell>
        </row>
        <row r="1815">
          <cell r="A1815" t="str">
            <v>Volvo</v>
          </cell>
          <cell r="B1815" t="str">
            <v>LOW SPEC</v>
          </cell>
          <cell r="D1815" t="str">
            <v>SHIFT B HC  - operators</v>
          </cell>
          <cell r="Z1815">
            <v>6</v>
          </cell>
          <cell r="AA1815">
            <v>6</v>
          </cell>
          <cell r="AB1815">
            <v>7</v>
          </cell>
          <cell r="AC1815">
            <v>7</v>
          </cell>
          <cell r="AD1815">
            <v>7</v>
          </cell>
          <cell r="AE1815">
            <v>6</v>
          </cell>
          <cell r="AF1815">
            <v>6</v>
          </cell>
          <cell r="AG1815">
            <v>6</v>
          </cell>
          <cell r="AH1815">
            <v>6</v>
          </cell>
          <cell r="AI1815">
            <v>6</v>
          </cell>
          <cell r="AJ1815">
            <v>6</v>
          </cell>
          <cell r="AK1815">
            <v>6</v>
          </cell>
          <cell r="AL1815">
            <v>6</v>
          </cell>
          <cell r="AM1815">
            <v>6</v>
          </cell>
          <cell r="AN1815">
            <v>6</v>
          </cell>
          <cell r="AO1815">
            <v>6</v>
          </cell>
          <cell r="AP1815">
            <v>6</v>
          </cell>
          <cell r="AQ1815">
            <v>6</v>
          </cell>
          <cell r="AR1815">
            <v>6</v>
          </cell>
          <cell r="AS1815">
            <v>6</v>
          </cell>
          <cell r="AT1815">
            <v>6</v>
          </cell>
          <cell r="AU1815">
            <v>6</v>
          </cell>
          <cell r="AV1815">
            <v>6</v>
          </cell>
          <cell r="AW1815">
            <v>6</v>
          </cell>
          <cell r="AX1815">
            <v>6</v>
          </cell>
          <cell r="AY1815">
            <v>6</v>
          </cell>
          <cell r="AZ1815">
            <v>6</v>
          </cell>
          <cell r="BA1815">
            <v>6</v>
          </cell>
          <cell r="BB1815">
            <v>6</v>
          </cell>
          <cell r="BC1815">
            <v>6</v>
          </cell>
          <cell r="BD1815">
            <v>6</v>
          </cell>
          <cell r="BE1815">
            <v>6</v>
          </cell>
          <cell r="BF1815">
            <v>6</v>
          </cell>
          <cell r="BG1815">
            <v>6</v>
          </cell>
          <cell r="BH1815">
            <v>6</v>
          </cell>
          <cell r="BI1815">
            <v>6</v>
          </cell>
          <cell r="BJ1815">
            <v>6</v>
          </cell>
          <cell r="BK1815">
            <v>6</v>
          </cell>
          <cell r="BL1815">
            <v>6</v>
          </cell>
          <cell r="BM1815">
            <v>6</v>
          </cell>
          <cell r="BN1815">
            <v>6</v>
          </cell>
          <cell r="BO1815">
            <v>6</v>
          </cell>
          <cell r="BP1815">
            <v>6</v>
          </cell>
          <cell r="BQ1815">
            <v>6</v>
          </cell>
          <cell r="BR1815">
            <v>6</v>
          </cell>
          <cell r="BS1815">
            <v>6</v>
          </cell>
          <cell r="BT1815">
            <v>6</v>
          </cell>
          <cell r="BU1815">
            <v>6</v>
          </cell>
          <cell r="BV1815">
            <v>6</v>
          </cell>
        </row>
        <row r="1816">
          <cell r="A1816" t="str">
            <v>Volvo</v>
          </cell>
          <cell r="B1816" t="str">
            <v>LOW SPEC</v>
          </cell>
          <cell r="D1816" t="str">
            <v>SHIFT C HC  - operators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  <cell r="BK1816">
            <v>0</v>
          </cell>
          <cell r="BL1816">
            <v>0</v>
          </cell>
          <cell r="BM1816">
            <v>0</v>
          </cell>
          <cell r="BN1816">
            <v>0</v>
          </cell>
          <cell r="BO1816">
            <v>0</v>
          </cell>
          <cell r="BP1816">
            <v>0</v>
          </cell>
          <cell r="BQ1816">
            <v>0</v>
          </cell>
          <cell r="BR1816">
            <v>0</v>
          </cell>
          <cell r="BS1816">
            <v>0</v>
          </cell>
          <cell r="BT1816">
            <v>0</v>
          </cell>
          <cell r="BU1816">
            <v>0</v>
          </cell>
          <cell r="BV1816">
            <v>0</v>
          </cell>
        </row>
        <row r="1817">
          <cell r="A1817" t="str">
            <v>Volvo</v>
          </cell>
          <cell r="B1817" t="str">
            <v>LOW SPEC</v>
          </cell>
          <cell r="D1817" t="str">
            <v>Total HC</v>
          </cell>
          <cell r="Z1817">
            <v>12</v>
          </cell>
          <cell r="AA1817">
            <v>12</v>
          </cell>
          <cell r="AB1817">
            <v>14</v>
          </cell>
          <cell r="AC1817">
            <v>14</v>
          </cell>
          <cell r="AD1817">
            <v>14</v>
          </cell>
          <cell r="AE1817">
            <v>12</v>
          </cell>
          <cell r="AF1817">
            <v>12</v>
          </cell>
          <cell r="AG1817">
            <v>12</v>
          </cell>
          <cell r="AH1817">
            <v>12</v>
          </cell>
          <cell r="AI1817">
            <v>12</v>
          </cell>
          <cell r="AJ1817">
            <v>12</v>
          </cell>
          <cell r="AK1817">
            <v>12</v>
          </cell>
          <cell r="AL1817">
            <v>12</v>
          </cell>
          <cell r="AM1817">
            <v>12</v>
          </cell>
          <cell r="AN1817">
            <v>12</v>
          </cell>
          <cell r="AO1817">
            <v>12</v>
          </cell>
          <cell r="AP1817">
            <v>12</v>
          </cell>
          <cell r="AQ1817">
            <v>12</v>
          </cell>
          <cell r="AR1817">
            <v>12</v>
          </cell>
          <cell r="AS1817">
            <v>12</v>
          </cell>
          <cell r="AT1817">
            <v>12</v>
          </cell>
          <cell r="AU1817">
            <v>12</v>
          </cell>
          <cell r="AV1817">
            <v>12</v>
          </cell>
          <cell r="AW1817">
            <v>12</v>
          </cell>
          <cell r="AX1817">
            <v>12</v>
          </cell>
          <cell r="AY1817">
            <v>12</v>
          </cell>
          <cell r="AZ1817">
            <v>12</v>
          </cell>
          <cell r="BA1817">
            <v>12</v>
          </cell>
          <cell r="BB1817">
            <v>12</v>
          </cell>
          <cell r="BC1817">
            <v>12</v>
          </cell>
          <cell r="BD1817">
            <v>12</v>
          </cell>
          <cell r="BE1817">
            <v>12</v>
          </cell>
          <cell r="BF1817">
            <v>12</v>
          </cell>
          <cell r="BG1817">
            <v>12</v>
          </cell>
          <cell r="BH1817">
            <v>12</v>
          </cell>
          <cell r="BI1817">
            <v>12</v>
          </cell>
          <cell r="BJ1817">
            <v>12</v>
          </cell>
          <cell r="BK1817">
            <v>13</v>
          </cell>
          <cell r="BL1817">
            <v>13</v>
          </cell>
          <cell r="BM1817">
            <v>13</v>
          </cell>
          <cell r="BN1817">
            <v>13</v>
          </cell>
          <cell r="BO1817">
            <v>13</v>
          </cell>
          <cell r="BP1817">
            <v>13</v>
          </cell>
          <cell r="BQ1817">
            <v>13</v>
          </cell>
          <cell r="BR1817">
            <v>13</v>
          </cell>
          <cell r="BS1817">
            <v>13</v>
          </cell>
          <cell r="BT1817">
            <v>13</v>
          </cell>
          <cell r="BU1817">
            <v>13</v>
          </cell>
          <cell r="BV1817">
            <v>13</v>
          </cell>
        </row>
        <row r="1818">
          <cell r="A1818" t="str">
            <v>Volvo</v>
          </cell>
          <cell r="B1818" t="str">
            <v>LOW SPEC</v>
          </cell>
          <cell r="D1818" t="str">
            <v>SHIFT A HC  - efficiency</v>
          </cell>
          <cell r="Z1818">
            <v>1.1499999999999999</v>
          </cell>
          <cell r="AA1818">
            <v>1.1499999999999999</v>
          </cell>
          <cell r="AB1818">
            <v>1.1499999999999999</v>
          </cell>
          <cell r="AC1818">
            <v>1.1499999999999999</v>
          </cell>
          <cell r="AD1818">
            <v>1.1499999999999999</v>
          </cell>
          <cell r="AE1818">
            <v>1.1499999999999999</v>
          </cell>
          <cell r="AF1818">
            <v>1.1499999999999999</v>
          </cell>
          <cell r="AG1818">
            <v>1.1499999999999999</v>
          </cell>
          <cell r="AH1818">
            <v>1.1499999999999999</v>
          </cell>
          <cell r="AI1818">
            <v>1.1499999999999999</v>
          </cell>
          <cell r="AJ1818">
            <v>1.1499999999999999</v>
          </cell>
          <cell r="AK1818">
            <v>1.1499999999999999</v>
          </cell>
          <cell r="AL1818">
            <v>1.1499999999999999</v>
          </cell>
          <cell r="AM1818">
            <v>1.1499999999999999</v>
          </cell>
          <cell r="AN1818">
            <v>1.1499999999999999</v>
          </cell>
          <cell r="AO1818">
            <v>1.1499999999999999</v>
          </cell>
          <cell r="AP1818">
            <v>1.1499999999999999</v>
          </cell>
          <cell r="AQ1818">
            <v>1.1499999999999999</v>
          </cell>
          <cell r="AR1818">
            <v>1.1499999999999999</v>
          </cell>
          <cell r="AS1818">
            <v>1.1499999999999999</v>
          </cell>
          <cell r="AT1818">
            <v>1.1499999999999999</v>
          </cell>
          <cell r="AU1818">
            <v>1.1499999999999999</v>
          </cell>
          <cell r="AV1818">
            <v>1.1000000000000001</v>
          </cell>
          <cell r="AW1818">
            <v>1.1000000000000001</v>
          </cell>
          <cell r="AX1818">
            <v>1.1000000000000001</v>
          </cell>
          <cell r="AY1818">
            <v>1.1000000000000001</v>
          </cell>
          <cell r="AZ1818">
            <v>1.1000000000000001</v>
          </cell>
          <cell r="BA1818">
            <v>1.1000000000000001</v>
          </cell>
          <cell r="BB1818">
            <v>1.1000000000000001</v>
          </cell>
          <cell r="BC1818">
            <v>1.1000000000000001</v>
          </cell>
          <cell r="BD1818">
            <v>1.1000000000000001</v>
          </cell>
          <cell r="BE1818">
            <v>1.1000000000000001</v>
          </cell>
          <cell r="BF1818">
            <v>1.1000000000000001</v>
          </cell>
          <cell r="BG1818">
            <v>1.1000000000000001</v>
          </cell>
          <cell r="BH1818">
            <v>1.1000000000000001</v>
          </cell>
          <cell r="BI1818">
            <v>1.1000000000000001</v>
          </cell>
          <cell r="BJ1818">
            <v>1.1000000000000001</v>
          </cell>
          <cell r="BK1818">
            <v>1</v>
          </cell>
          <cell r="BL1818">
            <v>1</v>
          </cell>
          <cell r="BM1818">
            <v>1</v>
          </cell>
          <cell r="BN1818">
            <v>1</v>
          </cell>
          <cell r="BO1818">
            <v>1</v>
          </cell>
          <cell r="BP1818">
            <v>1</v>
          </cell>
          <cell r="BQ1818">
            <v>1</v>
          </cell>
          <cell r="BR1818">
            <v>1</v>
          </cell>
          <cell r="BS1818">
            <v>1</v>
          </cell>
          <cell r="BT1818">
            <v>1</v>
          </cell>
          <cell r="BU1818">
            <v>1</v>
          </cell>
          <cell r="BV1818">
            <v>1</v>
          </cell>
        </row>
        <row r="1819">
          <cell r="A1819" t="str">
            <v>Volvo</v>
          </cell>
          <cell r="B1819" t="str">
            <v>LOW SPEC</v>
          </cell>
          <cell r="D1819" t="str">
            <v>SHIFT B HC  - efficiency</v>
          </cell>
          <cell r="Z1819">
            <v>1.1499999999999999</v>
          </cell>
          <cell r="AA1819">
            <v>1.1499999999999999</v>
          </cell>
          <cell r="AB1819">
            <v>1.1499999999999999</v>
          </cell>
          <cell r="AC1819">
            <v>1.1499999999999999</v>
          </cell>
          <cell r="AD1819">
            <v>1.1499999999999999</v>
          </cell>
          <cell r="AE1819">
            <v>1.1499999999999999</v>
          </cell>
          <cell r="AF1819">
            <v>1.1499999999999999</v>
          </cell>
          <cell r="AG1819">
            <v>1.1499999999999999</v>
          </cell>
          <cell r="AH1819">
            <v>1.1499999999999999</v>
          </cell>
          <cell r="AI1819">
            <v>1.1499999999999999</v>
          </cell>
          <cell r="AJ1819">
            <v>1.1499999999999999</v>
          </cell>
          <cell r="AK1819">
            <v>1.1499999999999999</v>
          </cell>
          <cell r="AL1819">
            <v>1.1499999999999999</v>
          </cell>
          <cell r="AM1819">
            <v>1.1499999999999999</v>
          </cell>
          <cell r="AN1819">
            <v>1.1499999999999999</v>
          </cell>
          <cell r="AO1819">
            <v>1.1499999999999999</v>
          </cell>
          <cell r="AP1819">
            <v>1.1499999999999999</v>
          </cell>
          <cell r="AQ1819">
            <v>1.1499999999999999</v>
          </cell>
          <cell r="AR1819">
            <v>1.1499999999999999</v>
          </cell>
          <cell r="AS1819">
            <v>1.1499999999999999</v>
          </cell>
          <cell r="AT1819">
            <v>1.1499999999999999</v>
          </cell>
          <cell r="AU1819">
            <v>1.1499999999999999</v>
          </cell>
          <cell r="AV1819">
            <v>1.1000000000000001</v>
          </cell>
          <cell r="AW1819">
            <v>1.1000000000000001</v>
          </cell>
          <cell r="AX1819">
            <v>1.1000000000000001</v>
          </cell>
          <cell r="AY1819">
            <v>1.1000000000000001</v>
          </cell>
          <cell r="AZ1819">
            <v>1.1000000000000001</v>
          </cell>
          <cell r="BA1819">
            <v>1.1000000000000001</v>
          </cell>
          <cell r="BB1819">
            <v>1.1000000000000001</v>
          </cell>
          <cell r="BC1819">
            <v>1.1000000000000001</v>
          </cell>
          <cell r="BD1819">
            <v>1.1000000000000001</v>
          </cell>
          <cell r="BE1819">
            <v>1.1000000000000001</v>
          </cell>
          <cell r="BF1819">
            <v>1.1000000000000001</v>
          </cell>
          <cell r="BG1819">
            <v>1.1000000000000001</v>
          </cell>
          <cell r="BH1819">
            <v>1.1000000000000001</v>
          </cell>
          <cell r="BI1819">
            <v>1.1000000000000001</v>
          </cell>
          <cell r="BJ1819">
            <v>1.1000000000000001</v>
          </cell>
          <cell r="BK1819">
            <v>1</v>
          </cell>
          <cell r="BL1819">
            <v>1</v>
          </cell>
          <cell r="BM1819">
            <v>1</v>
          </cell>
          <cell r="BN1819">
            <v>1</v>
          </cell>
          <cell r="BO1819">
            <v>1</v>
          </cell>
          <cell r="BP1819">
            <v>1</v>
          </cell>
          <cell r="BQ1819">
            <v>1</v>
          </cell>
          <cell r="BR1819">
            <v>1</v>
          </cell>
          <cell r="BS1819">
            <v>1</v>
          </cell>
          <cell r="BT1819">
            <v>1</v>
          </cell>
          <cell r="BU1819">
            <v>1</v>
          </cell>
          <cell r="BV1819">
            <v>1</v>
          </cell>
        </row>
        <row r="1820">
          <cell r="A1820" t="str">
            <v>Volvo</v>
          </cell>
          <cell r="B1820" t="str">
            <v>LOW SPEC</v>
          </cell>
          <cell r="D1820" t="str">
            <v>SHIFT C HC  - efficiency</v>
          </cell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</row>
        <row r="1821">
          <cell r="A1821" t="str">
            <v>Volvo</v>
          </cell>
          <cell r="B1821" t="str">
            <v>LOW SPEC</v>
          </cell>
          <cell r="D1821" t="str">
            <v>Total efficiency</v>
          </cell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</row>
        <row r="1822">
          <cell r="A1822" t="str">
            <v>Volvo</v>
          </cell>
          <cell r="B1822" t="str">
            <v>LOW SPEC</v>
          </cell>
          <cell r="D1822" t="str">
            <v>SHIFT A - output</v>
          </cell>
          <cell r="Z1822">
            <v>356.48679678530414</v>
          </cell>
          <cell r="AA1822">
            <v>356.48679678530414</v>
          </cell>
          <cell r="AB1822">
            <v>415.90126291618816</v>
          </cell>
          <cell r="AC1822">
            <v>415.90126291618816</v>
          </cell>
          <cell r="AD1822">
            <v>415.90126291618816</v>
          </cell>
          <cell r="AE1822">
            <v>356.48679678530414</v>
          </cell>
          <cell r="AF1822">
            <v>356.48679678530414</v>
          </cell>
          <cell r="AG1822">
            <v>356.48679678530414</v>
          </cell>
          <cell r="AH1822">
            <v>356.48679678530414</v>
          </cell>
          <cell r="AI1822">
            <v>356.48679678530414</v>
          </cell>
          <cell r="AJ1822">
            <v>356.48679678530414</v>
          </cell>
          <cell r="AK1822">
            <v>356.48679678530414</v>
          </cell>
          <cell r="AL1822">
            <v>356.48679678530414</v>
          </cell>
          <cell r="AM1822">
            <v>356.48679678530414</v>
          </cell>
          <cell r="AN1822">
            <v>356.48679678530414</v>
          </cell>
          <cell r="AO1822">
            <v>356.48679678530414</v>
          </cell>
          <cell r="AP1822">
            <v>356.48679678530414</v>
          </cell>
          <cell r="AQ1822">
            <v>356.48679678530414</v>
          </cell>
          <cell r="AR1822">
            <v>356.48679678530414</v>
          </cell>
          <cell r="AS1822">
            <v>356.48679678530414</v>
          </cell>
          <cell r="AT1822">
            <v>356.48679678530414</v>
          </cell>
          <cell r="AU1822">
            <v>356.48679678530414</v>
          </cell>
          <cell r="AV1822">
            <v>340.98737083811704</v>
          </cell>
          <cell r="AW1822">
            <v>340.98737083811704</v>
          </cell>
          <cell r="AX1822">
            <v>340.98737083811704</v>
          </cell>
          <cell r="AY1822">
            <v>340.98737083811704</v>
          </cell>
          <cell r="AZ1822">
            <v>340.98737083811704</v>
          </cell>
          <cell r="BA1822">
            <v>340.98737083811704</v>
          </cell>
          <cell r="BB1822">
            <v>340.98737083811704</v>
          </cell>
          <cell r="BC1822">
            <v>340.98737083811704</v>
          </cell>
          <cell r="BD1822">
            <v>340.98737083811704</v>
          </cell>
          <cell r="BE1822">
            <v>340.98737083811704</v>
          </cell>
          <cell r="BF1822">
            <v>340.98737083811704</v>
          </cell>
          <cell r="BG1822">
            <v>340.98737083811704</v>
          </cell>
          <cell r="BH1822">
            <v>340.98737083811704</v>
          </cell>
          <cell r="BI1822">
            <v>340.98737083811704</v>
          </cell>
          <cell r="BJ1822">
            <v>340.98737083811704</v>
          </cell>
          <cell r="BK1822">
            <v>361.65327210103322</v>
          </cell>
          <cell r="BL1822">
            <v>361.65327210103322</v>
          </cell>
          <cell r="BM1822">
            <v>361.65327210103322</v>
          </cell>
          <cell r="BN1822">
            <v>361.65327210103322</v>
          </cell>
          <cell r="BO1822">
            <v>361.65327210103322</v>
          </cell>
          <cell r="BP1822">
            <v>361.65327210103322</v>
          </cell>
          <cell r="BQ1822">
            <v>361.65327210103322</v>
          </cell>
          <cell r="BR1822">
            <v>361.65327210103322</v>
          </cell>
          <cell r="BS1822">
            <v>361.65327210103322</v>
          </cell>
          <cell r="BT1822">
            <v>361.65327210103322</v>
          </cell>
          <cell r="BU1822">
            <v>361.65327210103322</v>
          </cell>
          <cell r="BV1822">
            <v>361.65327210103322</v>
          </cell>
        </row>
        <row r="1823">
          <cell r="A1823" t="str">
            <v>Volvo</v>
          </cell>
          <cell r="B1823" t="str">
            <v>LOW SPEC</v>
          </cell>
          <cell r="D1823" t="str">
            <v>SHIFT B  - output</v>
          </cell>
          <cell r="Z1823">
            <v>356.48679678530414</v>
          </cell>
          <cell r="AA1823">
            <v>356.48679678530414</v>
          </cell>
          <cell r="AB1823">
            <v>415.90126291618816</v>
          </cell>
          <cell r="AC1823">
            <v>415.90126291618816</v>
          </cell>
          <cell r="AD1823">
            <v>415.90126291618816</v>
          </cell>
          <cell r="AE1823">
            <v>356.48679678530414</v>
          </cell>
          <cell r="AF1823">
            <v>356.48679678530414</v>
          </cell>
          <cell r="AG1823">
            <v>356.48679678530414</v>
          </cell>
          <cell r="AH1823">
            <v>356.48679678530414</v>
          </cell>
          <cell r="AI1823">
            <v>356.48679678530414</v>
          </cell>
          <cell r="AJ1823">
            <v>356.48679678530414</v>
          </cell>
          <cell r="AK1823">
            <v>356.48679678530414</v>
          </cell>
          <cell r="AL1823">
            <v>356.48679678530414</v>
          </cell>
          <cell r="AM1823">
            <v>356.48679678530414</v>
          </cell>
          <cell r="AN1823">
            <v>356.48679678530414</v>
          </cell>
          <cell r="AO1823">
            <v>356.48679678530414</v>
          </cell>
          <cell r="AP1823">
            <v>356.48679678530414</v>
          </cell>
          <cell r="AQ1823">
            <v>356.48679678530414</v>
          </cell>
          <cell r="AR1823">
            <v>356.48679678530414</v>
          </cell>
          <cell r="AS1823">
            <v>356.48679678530414</v>
          </cell>
          <cell r="AT1823">
            <v>356.48679678530414</v>
          </cell>
          <cell r="AU1823">
            <v>356.48679678530414</v>
          </cell>
          <cell r="AV1823">
            <v>340.98737083811704</v>
          </cell>
          <cell r="AW1823">
            <v>340.98737083811704</v>
          </cell>
          <cell r="AX1823">
            <v>340.98737083811704</v>
          </cell>
          <cell r="AY1823">
            <v>340.98737083811704</v>
          </cell>
          <cell r="AZ1823">
            <v>340.98737083811704</v>
          </cell>
          <cell r="BA1823">
            <v>340.98737083811704</v>
          </cell>
          <cell r="BB1823">
            <v>340.98737083811704</v>
          </cell>
          <cell r="BC1823">
            <v>340.98737083811704</v>
          </cell>
          <cell r="BD1823">
            <v>340.98737083811704</v>
          </cell>
          <cell r="BE1823">
            <v>340.98737083811704</v>
          </cell>
          <cell r="BF1823">
            <v>340.98737083811704</v>
          </cell>
          <cell r="BG1823">
            <v>340.98737083811704</v>
          </cell>
          <cell r="BH1823">
            <v>340.98737083811704</v>
          </cell>
          <cell r="BI1823">
            <v>340.98737083811704</v>
          </cell>
          <cell r="BJ1823">
            <v>340.98737083811704</v>
          </cell>
          <cell r="BK1823">
            <v>309.98851894374275</v>
          </cell>
          <cell r="BL1823">
            <v>309.98851894374275</v>
          </cell>
          <cell r="BM1823">
            <v>309.98851894374275</v>
          </cell>
          <cell r="BN1823">
            <v>309.98851894374275</v>
          </cell>
          <cell r="BO1823">
            <v>309.98851894374275</v>
          </cell>
          <cell r="BP1823">
            <v>309.98851894374275</v>
          </cell>
          <cell r="BQ1823">
            <v>309.98851894374275</v>
          </cell>
          <cell r="BR1823">
            <v>309.98851894374275</v>
          </cell>
          <cell r="BS1823">
            <v>309.98851894374275</v>
          </cell>
          <cell r="BT1823">
            <v>309.98851894374275</v>
          </cell>
          <cell r="BU1823">
            <v>309.98851894374275</v>
          </cell>
          <cell r="BV1823">
            <v>309.98851894374275</v>
          </cell>
        </row>
        <row r="1824">
          <cell r="A1824" t="str">
            <v>Volvo</v>
          </cell>
          <cell r="B1824" t="str">
            <v>LOW SPEC</v>
          </cell>
          <cell r="D1824" t="str">
            <v>SHIFT C  - output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  <cell r="BK1824">
            <v>0</v>
          </cell>
          <cell r="BL1824">
            <v>0</v>
          </cell>
          <cell r="BM1824">
            <v>0</v>
          </cell>
          <cell r="BN1824">
            <v>0</v>
          </cell>
          <cell r="BO1824">
            <v>0</v>
          </cell>
          <cell r="BP1824">
            <v>0</v>
          </cell>
          <cell r="BQ1824">
            <v>0</v>
          </cell>
          <cell r="BR1824">
            <v>0</v>
          </cell>
          <cell r="BS1824">
            <v>0</v>
          </cell>
          <cell r="BT1824">
            <v>0</v>
          </cell>
          <cell r="BU1824">
            <v>0</v>
          </cell>
          <cell r="BV1824">
            <v>0</v>
          </cell>
        </row>
        <row r="1825">
          <cell r="A1825" t="str">
            <v>Volvo</v>
          </cell>
          <cell r="B1825" t="str">
            <v>LOW SPEC</v>
          </cell>
          <cell r="D1825" t="str">
            <v>Est. Output (Pcs day)</v>
          </cell>
          <cell r="E1825">
            <v>8.7100000000000009</v>
          </cell>
          <cell r="Z1825">
            <v>712.97359357060827</v>
          </cell>
          <cell r="AA1825">
            <v>712.97359357060827</v>
          </cell>
          <cell r="AB1825">
            <v>831.80252583237632</v>
          </cell>
          <cell r="AC1825">
            <v>831.80252583237632</v>
          </cell>
          <cell r="AD1825">
            <v>831.80252583237632</v>
          </cell>
          <cell r="AE1825">
            <v>712.97359357060827</v>
          </cell>
          <cell r="AF1825">
            <v>712.97359357060827</v>
          </cell>
          <cell r="AG1825">
            <v>712.97359357060827</v>
          </cell>
          <cell r="AH1825">
            <v>712.97359357060827</v>
          </cell>
          <cell r="AI1825">
            <v>712.97359357060827</v>
          </cell>
          <cell r="AJ1825">
            <v>712.97359357060827</v>
          </cell>
          <cell r="AK1825">
            <v>712.97359357060827</v>
          </cell>
          <cell r="AL1825">
            <v>712.97359357060827</v>
          </cell>
          <cell r="AM1825">
            <v>712.97359357060827</v>
          </cell>
          <cell r="AN1825">
            <v>712.97359357060827</v>
          </cell>
          <cell r="AO1825">
            <v>712.97359357060827</v>
          </cell>
          <cell r="AP1825">
            <v>712.97359357060827</v>
          </cell>
          <cell r="AQ1825">
            <v>712.97359357060827</v>
          </cell>
          <cell r="AR1825">
            <v>712.97359357060827</v>
          </cell>
          <cell r="AS1825">
            <v>712.97359357060827</v>
          </cell>
          <cell r="AT1825">
            <v>712.97359357060827</v>
          </cell>
          <cell r="AU1825">
            <v>712.97359357060827</v>
          </cell>
          <cell r="AV1825">
            <v>681.97474167623409</v>
          </cell>
          <cell r="AW1825">
            <v>681.97474167623409</v>
          </cell>
          <cell r="AX1825">
            <v>681.97474167623409</v>
          </cell>
          <cell r="AY1825">
            <v>681.97474167623409</v>
          </cell>
          <cell r="AZ1825">
            <v>681.97474167623409</v>
          </cell>
          <cell r="BA1825">
            <v>681.97474167623409</v>
          </cell>
          <cell r="BB1825">
            <v>681.97474167623409</v>
          </cell>
          <cell r="BC1825">
            <v>681.97474167623409</v>
          </cell>
          <cell r="BD1825">
            <v>681.97474167623409</v>
          </cell>
          <cell r="BE1825">
            <v>681.97474167623409</v>
          </cell>
          <cell r="BF1825">
            <v>681.97474167623409</v>
          </cell>
          <cell r="BG1825">
            <v>681.97474167623409</v>
          </cell>
          <cell r="BH1825">
            <v>681.97474167623409</v>
          </cell>
          <cell r="BI1825">
            <v>681.97474167623409</v>
          </cell>
          <cell r="BJ1825">
            <v>681.97474167623409</v>
          </cell>
          <cell r="BK1825">
            <v>671.64179104477603</v>
          </cell>
          <cell r="BL1825">
            <v>671.64179104477603</v>
          </cell>
          <cell r="BM1825">
            <v>671.64179104477603</v>
          </cell>
          <cell r="BN1825">
            <v>671.64179104477603</v>
          </cell>
          <cell r="BO1825">
            <v>671.64179104477603</v>
          </cell>
          <cell r="BP1825">
            <v>671.64179104477603</v>
          </cell>
          <cell r="BQ1825">
            <v>671.64179104477603</v>
          </cell>
          <cell r="BR1825">
            <v>671.64179104477603</v>
          </cell>
          <cell r="BS1825">
            <v>671.64179104477603</v>
          </cell>
          <cell r="BT1825">
            <v>671.64179104477603</v>
          </cell>
          <cell r="BU1825">
            <v>671.64179104477603</v>
          </cell>
          <cell r="BV1825">
            <v>671.64179104477603</v>
          </cell>
        </row>
        <row r="1826">
          <cell r="A1826" t="str">
            <v>Volvo</v>
          </cell>
          <cell r="B1826" t="str">
            <v>LOW SPEC</v>
          </cell>
          <cell r="D1826" t="str">
            <v>Weekly Output PLAN</v>
          </cell>
          <cell r="E1826" t="str">
            <v>SEW</v>
          </cell>
          <cell r="Z1826">
            <v>3208.3811710677373</v>
          </cell>
          <cell r="AA1826">
            <v>3564.8679678530416</v>
          </cell>
          <cell r="AB1826">
            <v>4159.0126291618817</v>
          </cell>
          <cell r="AC1826">
            <v>4159.0126291618817</v>
          </cell>
          <cell r="AD1826">
            <v>2495.4075774971288</v>
          </cell>
          <cell r="AE1826">
            <v>3564.8679678530416</v>
          </cell>
          <cell r="AF1826">
            <v>3564.8679678530416</v>
          </cell>
          <cell r="AG1826">
            <v>3564.8679678530416</v>
          </cell>
          <cell r="AH1826">
            <v>3564.8679678530416</v>
          </cell>
          <cell r="AI1826">
            <v>3564.8679678530416</v>
          </cell>
          <cell r="AJ1826">
            <v>3564.8679678530416</v>
          </cell>
          <cell r="AK1826">
            <v>2851.8943742824331</v>
          </cell>
          <cell r="AL1826">
            <v>2851.8943742824331</v>
          </cell>
          <cell r="AM1826">
            <v>3564.8679678530416</v>
          </cell>
          <cell r="AN1826">
            <v>2851.8943742824331</v>
          </cell>
          <cell r="AO1826">
            <v>3564.8679678530416</v>
          </cell>
          <cell r="AP1826">
            <v>3564.8679678530416</v>
          </cell>
          <cell r="AQ1826">
            <v>3564.8679678530416</v>
          </cell>
          <cell r="AR1826">
            <v>3564.8679678530416</v>
          </cell>
          <cell r="AS1826">
            <v>3564.8679678530416</v>
          </cell>
          <cell r="AT1826">
            <v>3564.8679678530416</v>
          </cell>
          <cell r="AU1826">
            <v>3564.8679678530416</v>
          </cell>
          <cell r="AV1826">
            <v>3409.8737083811702</v>
          </cell>
          <cell r="AW1826">
            <v>3409.8737083811702</v>
          </cell>
          <cell r="AX1826">
            <v>3409.8737083811702</v>
          </cell>
          <cell r="AY1826">
            <v>3409.8737083811702</v>
          </cell>
          <cell r="AZ1826">
            <v>0</v>
          </cell>
          <cell r="BA1826">
            <v>0</v>
          </cell>
          <cell r="BB1826">
            <v>0</v>
          </cell>
          <cell r="BC1826">
            <v>3409.8737083811702</v>
          </cell>
          <cell r="BD1826">
            <v>3409.8737083811702</v>
          </cell>
          <cell r="BE1826">
            <v>3409.8737083811702</v>
          </cell>
          <cell r="BF1826">
            <v>3409.8737083811702</v>
          </cell>
          <cell r="BG1826">
            <v>3409.8737083811702</v>
          </cell>
          <cell r="BH1826">
            <v>3409.8737083811702</v>
          </cell>
          <cell r="BI1826">
            <v>3409.8737083811702</v>
          </cell>
          <cell r="BJ1826">
            <v>3409.8737083811702</v>
          </cell>
          <cell r="BK1826">
            <v>3358.2089552238804</v>
          </cell>
          <cell r="BL1826">
            <v>8731.3432835820877</v>
          </cell>
          <cell r="BM1826">
            <v>8731.3432835820877</v>
          </cell>
          <cell r="BN1826">
            <v>8731.3432835820877</v>
          </cell>
          <cell r="BO1826">
            <v>8731.3432835820877</v>
          </cell>
          <cell r="BP1826">
            <v>8731.3432835820877</v>
          </cell>
          <cell r="BQ1826">
            <v>8731.3432835820877</v>
          </cell>
          <cell r="BR1826">
            <v>8731.3432835820877</v>
          </cell>
          <cell r="BS1826">
            <v>8731.3432835820877</v>
          </cell>
          <cell r="BT1826">
            <v>8731.3432835820877</v>
          </cell>
          <cell r="BU1826">
            <v>8731.3432835820877</v>
          </cell>
          <cell r="BV1826">
            <v>8731.3432835820877</v>
          </cell>
        </row>
        <row r="1827">
          <cell r="A1827" t="str">
            <v>Volvo</v>
          </cell>
          <cell r="B1827" t="str">
            <v>LOW SPEC</v>
          </cell>
          <cell r="D1827" t="str">
            <v>Low spec vinil</v>
          </cell>
          <cell r="E1827">
            <v>7.9298999999999999</v>
          </cell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</row>
        <row r="1828">
          <cell r="A1828" t="str">
            <v>Volvo</v>
          </cell>
          <cell r="B1828" t="str">
            <v>LOW SPEC</v>
          </cell>
          <cell r="D1828" t="str">
            <v>Low spec LTH</v>
          </cell>
          <cell r="E1828">
            <v>8.7075000000000014</v>
          </cell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</row>
        <row r="1829">
          <cell r="A1829" t="str">
            <v>Volvo</v>
          </cell>
          <cell r="B1829" t="str">
            <v>LOW SPEC</v>
          </cell>
          <cell r="D1829" t="str">
            <v>Low spec tekstil</v>
          </cell>
          <cell r="E1829">
            <v>7.3826999999999998</v>
          </cell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</row>
        <row r="1830">
          <cell r="A1830" t="str">
            <v>Volvo</v>
          </cell>
          <cell r="B1830" t="str">
            <v>LOW SPEC</v>
          </cell>
          <cell r="D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</row>
        <row r="1831">
          <cell r="A1831" t="str">
            <v>Volvo</v>
          </cell>
          <cell r="B1831" t="str">
            <v>LOW SPEC</v>
          </cell>
          <cell r="D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</row>
        <row r="1832">
          <cell r="A1832" t="str">
            <v>Volvo</v>
          </cell>
          <cell r="B1832" t="str">
            <v>LOW SPEC</v>
          </cell>
          <cell r="D1832" t="str">
            <v>Weekly Output PLAN - SUM of models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  <cell r="BK1832">
            <v>0</v>
          </cell>
          <cell r="BL1832">
            <v>0</v>
          </cell>
          <cell r="BM1832">
            <v>0</v>
          </cell>
          <cell r="BN1832">
            <v>0</v>
          </cell>
          <cell r="BO1832">
            <v>0</v>
          </cell>
          <cell r="BP1832">
            <v>0</v>
          </cell>
          <cell r="BQ1832">
            <v>0</v>
          </cell>
          <cell r="BR1832">
            <v>0</v>
          </cell>
          <cell r="BS1832">
            <v>0</v>
          </cell>
          <cell r="BT1832">
            <v>0</v>
          </cell>
          <cell r="BU1832">
            <v>0</v>
          </cell>
          <cell r="BV1832">
            <v>0</v>
          </cell>
        </row>
        <row r="1833">
          <cell r="A1833" t="str">
            <v>Volvo</v>
          </cell>
          <cell r="B1833" t="str">
            <v>LOW SPEC</v>
          </cell>
          <cell r="D1833" t="str">
            <v>Weekly Output CHECK with TO time multiple</v>
          </cell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</row>
        <row r="1834">
          <cell r="A1834" t="str">
            <v>Volvo</v>
          </cell>
          <cell r="B1834" t="str">
            <v>LOW SPEC</v>
          </cell>
          <cell r="D1834" t="str">
            <v>Weekly Output ACT</v>
          </cell>
          <cell r="Z1834">
            <v>3208.3811710677373</v>
          </cell>
          <cell r="AA1834">
            <v>3564.8679678530416</v>
          </cell>
          <cell r="AB1834">
            <v>4159.0126291618817</v>
          </cell>
          <cell r="AC1834">
            <v>4159.0126291618817</v>
          </cell>
          <cell r="AD1834">
            <v>2495.4075774971288</v>
          </cell>
          <cell r="AE1834">
            <v>3564.8679678530416</v>
          </cell>
          <cell r="AF1834">
            <v>3564.8679678530416</v>
          </cell>
          <cell r="AG1834">
            <v>3564.8679678530416</v>
          </cell>
          <cell r="AH1834">
            <v>3564.8679678530416</v>
          </cell>
          <cell r="AI1834">
            <v>3564.8679678530416</v>
          </cell>
          <cell r="AJ1834">
            <v>3564.8679678530416</v>
          </cell>
          <cell r="AK1834">
            <v>2851.8943742824331</v>
          </cell>
          <cell r="AL1834">
            <v>2851.8943742824331</v>
          </cell>
          <cell r="AM1834">
            <v>3564.8679678530416</v>
          </cell>
          <cell r="AN1834">
            <v>2851.8943742824331</v>
          </cell>
          <cell r="AO1834">
            <v>3564.8679678530416</v>
          </cell>
          <cell r="AP1834">
            <v>3564.8679678530416</v>
          </cell>
          <cell r="AQ1834">
            <v>3564.8679678530416</v>
          </cell>
          <cell r="AR1834">
            <v>3564.8679678530416</v>
          </cell>
          <cell r="AS1834">
            <v>3564.8679678530416</v>
          </cell>
          <cell r="AT1834">
            <v>3564.8679678530416</v>
          </cell>
          <cell r="AU1834">
            <v>3564.8679678530416</v>
          </cell>
          <cell r="AV1834">
            <v>3409.8737083811702</v>
          </cell>
          <cell r="AW1834">
            <v>3409.8737083811702</v>
          </cell>
          <cell r="AX1834">
            <v>3409.8737083811702</v>
          </cell>
          <cell r="AY1834">
            <v>3409.8737083811702</v>
          </cell>
          <cell r="AZ1834">
            <v>0</v>
          </cell>
          <cell r="BA1834">
            <v>0</v>
          </cell>
          <cell r="BB1834">
            <v>0</v>
          </cell>
          <cell r="BC1834">
            <v>3409.8737083811702</v>
          </cell>
          <cell r="BD1834">
            <v>3409.8737083811702</v>
          </cell>
          <cell r="BE1834">
            <v>3409.8737083811702</v>
          </cell>
          <cell r="BF1834">
            <v>3409.8737083811702</v>
          </cell>
          <cell r="BG1834">
            <v>3409.8737083811702</v>
          </cell>
          <cell r="BH1834">
            <v>3409.8737083811702</v>
          </cell>
          <cell r="BI1834">
            <v>3409.8737083811702</v>
          </cell>
          <cell r="BJ1834">
            <v>3409.8737083811702</v>
          </cell>
          <cell r="BK1834">
            <v>3358.2089552238804</v>
          </cell>
          <cell r="BL1834">
            <v>8731.3432835820877</v>
          </cell>
          <cell r="BM1834">
            <v>8731.3432835820877</v>
          </cell>
          <cell r="BN1834">
            <v>8731.3432835820877</v>
          </cell>
          <cell r="BO1834">
            <v>8731.3432835820877</v>
          </cell>
          <cell r="BP1834">
            <v>8731.3432835820877</v>
          </cell>
          <cell r="BQ1834">
            <v>8731.3432835820877</v>
          </cell>
          <cell r="BR1834">
            <v>8731.3432835820877</v>
          </cell>
          <cell r="BS1834">
            <v>8731.3432835820877</v>
          </cell>
          <cell r="BT1834">
            <v>8731.3432835820877</v>
          </cell>
          <cell r="BU1834">
            <v>8731.3432835820877</v>
          </cell>
          <cell r="BV1834">
            <v>8731.3432835820877</v>
          </cell>
        </row>
        <row r="1835">
          <cell r="A1835" t="str">
            <v>Volvo</v>
          </cell>
          <cell r="B1835" t="str">
            <v>LOW SPEC</v>
          </cell>
          <cell r="D1835" t="str">
            <v>Low spec vinil</v>
          </cell>
          <cell r="Z1835">
            <v>3630.6027820710979</v>
          </cell>
          <cell r="AA1835">
            <v>3630.6027820710979</v>
          </cell>
          <cell r="AB1835">
            <v>3630.6027820710979</v>
          </cell>
          <cell r="AC1835">
            <v>3630.6027820710979</v>
          </cell>
          <cell r="AD1835">
            <v>2178.3616692426585</v>
          </cell>
          <cell r="AE1835">
            <v>3630.6027820710979</v>
          </cell>
          <cell r="AF1835">
            <v>3547.1406491499229</v>
          </cell>
          <cell r="AG1835">
            <v>3547.1406491499229</v>
          </cell>
          <cell r="AH1835">
            <v>3547.1406491499229</v>
          </cell>
          <cell r="AI1835">
            <v>3547.1406491499229</v>
          </cell>
          <cell r="AJ1835">
            <v>3547.1406491499229</v>
          </cell>
          <cell r="AK1835">
            <v>2837.7125193199381</v>
          </cell>
          <cell r="AL1835">
            <v>2837.7125193199381</v>
          </cell>
          <cell r="AM1835">
            <v>3547.1406491499229</v>
          </cell>
          <cell r="AN1835">
            <v>2837.7125193199381</v>
          </cell>
          <cell r="AO1835">
            <v>3547.1406491499229</v>
          </cell>
          <cell r="AP1835">
            <v>3547.1406491499229</v>
          </cell>
          <cell r="AQ1835">
            <v>3547.1406491499229</v>
          </cell>
          <cell r="AR1835">
            <v>3547.1406491499229</v>
          </cell>
          <cell r="AS1835">
            <v>3547.1406491499229</v>
          </cell>
          <cell r="AT1835">
            <v>3547.1406491499229</v>
          </cell>
          <cell r="AU1835">
            <v>3547.1406491499229</v>
          </cell>
          <cell r="AV1835">
            <v>3547.1406491499229</v>
          </cell>
          <cell r="AW1835">
            <v>3547.1406491499229</v>
          </cell>
          <cell r="AX1835">
            <v>3547.1406491499229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3547.1406491499229</v>
          </cell>
          <cell r="BD1835">
            <v>3547.1406491499229</v>
          </cell>
          <cell r="BE1835">
            <v>3547.1406491499229</v>
          </cell>
          <cell r="BF1835">
            <v>3547.1406491499229</v>
          </cell>
          <cell r="BG1835">
            <v>3547.1406491499229</v>
          </cell>
          <cell r="BH1835">
            <v>3547.1406491499229</v>
          </cell>
          <cell r="BI1835">
            <v>3547.1406491499229</v>
          </cell>
          <cell r="BJ1835">
            <v>3547.1406491499229</v>
          </cell>
          <cell r="BK1835">
            <v>0</v>
          </cell>
          <cell r="BL1835">
            <v>0</v>
          </cell>
          <cell r="BM1835">
            <v>0</v>
          </cell>
          <cell r="BN1835">
            <v>0</v>
          </cell>
          <cell r="BO1835">
            <v>0</v>
          </cell>
          <cell r="BP1835">
            <v>0</v>
          </cell>
          <cell r="BQ1835">
            <v>0</v>
          </cell>
          <cell r="BR1835">
            <v>0</v>
          </cell>
          <cell r="BS1835">
            <v>0</v>
          </cell>
          <cell r="BT1835">
            <v>0</v>
          </cell>
          <cell r="BU1835">
            <v>0</v>
          </cell>
          <cell r="BV1835">
            <v>0</v>
          </cell>
        </row>
        <row r="1836">
          <cell r="A1836" t="str">
            <v>Volvo</v>
          </cell>
          <cell r="B1836" t="str">
            <v>LOW SPEC</v>
          </cell>
          <cell r="D1836" t="str">
            <v>Low spec LTH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  <cell r="BK1836">
            <v>0</v>
          </cell>
          <cell r="BL1836">
            <v>0</v>
          </cell>
          <cell r="BM1836">
            <v>0</v>
          </cell>
          <cell r="BN1836">
            <v>0</v>
          </cell>
          <cell r="BO1836">
            <v>0</v>
          </cell>
          <cell r="BP1836">
            <v>0</v>
          </cell>
          <cell r="BQ1836">
            <v>0</v>
          </cell>
          <cell r="BR1836">
            <v>0</v>
          </cell>
          <cell r="BS1836">
            <v>0</v>
          </cell>
          <cell r="BT1836">
            <v>0</v>
          </cell>
          <cell r="BU1836">
            <v>0</v>
          </cell>
          <cell r="BV1836">
            <v>0</v>
          </cell>
        </row>
        <row r="1837">
          <cell r="A1837" t="str">
            <v>Volvo</v>
          </cell>
          <cell r="B1837" t="str">
            <v>LOW SPEC</v>
          </cell>
          <cell r="D1837" t="str">
            <v>Low spec tekstil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  <cell r="BK1837">
            <v>0</v>
          </cell>
          <cell r="BL1837">
            <v>0</v>
          </cell>
          <cell r="BM1837">
            <v>0</v>
          </cell>
          <cell r="BN1837">
            <v>0</v>
          </cell>
          <cell r="BO1837">
            <v>0</v>
          </cell>
          <cell r="BP1837">
            <v>0</v>
          </cell>
          <cell r="BQ1837">
            <v>0</v>
          </cell>
          <cell r="BR1837">
            <v>0</v>
          </cell>
          <cell r="BS1837">
            <v>0</v>
          </cell>
          <cell r="BT1837">
            <v>0</v>
          </cell>
          <cell r="BU1837">
            <v>0</v>
          </cell>
          <cell r="BV1837">
            <v>0</v>
          </cell>
        </row>
        <row r="1838">
          <cell r="A1838" t="str">
            <v>Volvo</v>
          </cell>
          <cell r="B1838" t="str">
            <v>LOW SPEC</v>
          </cell>
          <cell r="D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  <cell r="BK1838">
            <v>0</v>
          </cell>
          <cell r="BL1838">
            <v>0</v>
          </cell>
          <cell r="BM1838">
            <v>0</v>
          </cell>
          <cell r="BN1838">
            <v>0</v>
          </cell>
          <cell r="BO1838">
            <v>0</v>
          </cell>
          <cell r="BP1838">
            <v>0</v>
          </cell>
          <cell r="BQ1838">
            <v>0</v>
          </cell>
          <cell r="BR1838">
            <v>0</v>
          </cell>
          <cell r="BS1838">
            <v>0</v>
          </cell>
          <cell r="BT1838">
            <v>0</v>
          </cell>
          <cell r="BU1838">
            <v>0</v>
          </cell>
          <cell r="BV1838">
            <v>0</v>
          </cell>
        </row>
        <row r="1839">
          <cell r="A1839" t="str">
            <v>Volvo</v>
          </cell>
          <cell r="B1839" t="str">
            <v>LOW SPEC</v>
          </cell>
          <cell r="D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  <cell r="BK1839">
            <v>0</v>
          </cell>
          <cell r="BL1839">
            <v>0</v>
          </cell>
          <cell r="BM1839">
            <v>0</v>
          </cell>
          <cell r="BN1839">
            <v>0</v>
          </cell>
          <cell r="BO1839">
            <v>0</v>
          </cell>
          <cell r="BP1839">
            <v>0</v>
          </cell>
          <cell r="BQ1839">
            <v>0</v>
          </cell>
          <cell r="BR1839">
            <v>0</v>
          </cell>
          <cell r="BS1839">
            <v>0</v>
          </cell>
          <cell r="BT1839">
            <v>0</v>
          </cell>
          <cell r="BU1839">
            <v>0</v>
          </cell>
          <cell r="BV1839">
            <v>0</v>
          </cell>
        </row>
        <row r="1840">
          <cell r="A1840" t="str">
            <v>Volvo</v>
          </cell>
          <cell r="B1840" t="str">
            <v>LOW SPEC</v>
          </cell>
          <cell r="D1840" t="str">
            <v>Weekly demand</v>
          </cell>
          <cell r="Z1840">
            <v>3630.6027820710979</v>
          </cell>
          <cell r="AA1840">
            <v>3630.6027820710979</v>
          </cell>
          <cell r="AB1840">
            <v>3630.6027820710979</v>
          </cell>
          <cell r="AC1840">
            <v>3630.6027820710979</v>
          </cell>
          <cell r="AD1840">
            <v>2178.3616692426585</v>
          </cell>
          <cell r="AE1840">
            <v>3630.6027820710979</v>
          </cell>
          <cell r="AF1840">
            <v>3547.1406491499229</v>
          </cell>
          <cell r="AG1840">
            <v>3547.1406491499229</v>
          </cell>
          <cell r="AH1840">
            <v>3547.1406491499229</v>
          </cell>
          <cell r="AI1840">
            <v>3547.1406491499229</v>
          </cell>
          <cell r="AJ1840">
            <v>3547.1406491499229</v>
          </cell>
          <cell r="AK1840">
            <v>2837.7125193199381</v>
          </cell>
          <cell r="AL1840">
            <v>2837.7125193199381</v>
          </cell>
          <cell r="AM1840">
            <v>3547.1406491499229</v>
          </cell>
          <cell r="AN1840">
            <v>2837.7125193199381</v>
          </cell>
          <cell r="AO1840">
            <v>3547.1406491499229</v>
          </cell>
          <cell r="AP1840">
            <v>3547.1406491499229</v>
          </cell>
          <cell r="AQ1840">
            <v>3547.1406491499229</v>
          </cell>
          <cell r="AR1840">
            <v>3547.1406491499229</v>
          </cell>
          <cell r="AS1840">
            <v>3547.1406491499229</v>
          </cell>
          <cell r="AT1840">
            <v>3547.1406491499229</v>
          </cell>
          <cell r="AU1840">
            <v>3547.1406491499229</v>
          </cell>
          <cell r="AV1840">
            <v>3547.1406491499229</v>
          </cell>
          <cell r="AW1840">
            <v>3547.1406491499229</v>
          </cell>
          <cell r="AX1840">
            <v>3547.1406491499229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3547.1406491499229</v>
          </cell>
          <cell r="BD1840">
            <v>3547.1406491499229</v>
          </cell>
          <cell r="BE1840">
            <v>3547.1406491499229</v>
          </cell>
          <cell r="BF1840">
            <v>3547.1406491499229</v>
          </cell>
          <cell r="BG1840">
            <v>3547.1406491499229</v>
          </cell>
          <cell r="BH1840">
            <v>3547.1406491499229</v>
          </cell>
          <cell r="BI1840">
            <v>3547.1406491499229</v>
          </cell>
          <cell r="BJ1840">
            <v>3547.1406491499229</v>
          </cell>
          <cell r="BK1840">
            <v>0</v>
          </cell>
          <cell r="BL1840">
            <v>0</v>
          </cell>
          <cell r="BM1840">
            <v>0</v>
          </cell>
          <cell r="BN1840">
            <v>0</v>
          </cell>
          <cell r="BO1840">
            <v>0</v>
          </cell>
          <cell r="BP1840">
            <v>0</v>
          </cell>
          <cell r="BQ1840">
            <v>0</v>
          </cell>
          <cell r="BR1840">
            <v>0</v>
          </cell>
          <cell r="BS1840">
            <v>0</v>
          </cell>
          <cell r="BT1840">
            <v>0</v>
          </cell>
          <cell r="BU1840">
            <v>0</v>
          </cell>
          <cell r="BV1840">
            <v>0</v>
          </cell>
        </row>
        <row r="1841">
          <cell r="A1841" t="str">
            <v>Volvo</v>
          </cell>
          <cell r="B1841" t="str">
            <v>LOW SPEC</v>
          </cell>
          <cell r="D1841" t="str">
            <v>Stock Target</v>
          </cell>
          <cell r="Z1841">
            <v>1000</v>
          </cell>
          <cell r="AA1841">
            <v>1000</v>
          </cell>
          <cell r="AB1841">
            <v>1000</v>
          </cell>
          <cell r="AC1841">
            <v>1000</v>
          </cell>
          <cell r="AD1841">
            <v>1000</v>
          </cell>
          <cell r="AE1841">
            <v>1000</v>
          </cell>
          <cell r="AF1841">
            <v>2524</v>
          </cell>
          <cell r="AG1841">
            <v>2525</v>
          </cell>
          <cell r="AH1841">
            <v>2526</v>
          </cell>
          <cell r="AI1841">
            <v>2527</v>
          </cell>
          <cell r="AJ1841">
            <v>2528</v>
          </cell>
          <cell r="AK1841">
            <v>2529</v>
          </cell>
          <cell r="AL1841">
            <v>2530</v>
          </cell>
          <cell r="AM1841">
            <v>2531</v>
          </cell>
          <cell r="AN1841">
            <v>2532</v>
          </cell>
          <cell r="AO1841">
            <v>2533</v>
          </cell>
          <cell r="AP1841">
            <v>2534</v>
          </cell>
          <cell r="AQ1841">
            <v>2535</v>
          </cell>
          <cell r="AR1841">
            <v>2536</v>
          </cell>
          <cell r="AS1841">
            <v>2537</v>
          </cell>
          <cell r="AT1841">
            <v>2538</v>
          </cell>
          <cell r="AU1841">
            <v>2539</v>
          </cell>
          <cell r="AV1841">
            <v>2540</v>
          </cell>
          <cell r="AW1841">
            <v>2541</v>
          </cell>
          <cell r="AX1841">
            <v>2542</v>
          </cell>
          <cell r="AY1841">
            <v>2543</v>
          </cell>
          <cell r="AZ1841">
            <v>2544</v>
          </cell>
          <cell r="BA1841">
            <v>2545</v>
          </cell>
          <cell r="BB1841">
            <v>2546</v>
          </cell>
          <cell r="BC1841">
            <v>2547</v>
          </cell>
          <cell r="BD1841">
            <v>2548</v>
          </cell>
          <cell r="BE1841">
            <v>2549</v>
          </cell>
          <cell r="BF1841">
            <v>2550</v>
          </cell>
          <cell r="BG1841">
            <v>2551</v>
          </cell>
          <cell r="BH1841">
            <v>2552</v>
          </cell>
          <cell r="BI1841">
            <v>2553</v>
          </cell>
          <cell r="BJ1841">
            <v>2554</v>
          </cell>
          <cell r="BK1841">
            <v>2555</v>
          </cell>
          <cell r="BL1841">
            <v>2556</v>
          </cell>
          <cell r="BM1841">
            <v>2557</v>
          </cell>
          <cell r="BN1841">
            <v>2558</v>
          </cell>
          <cell r="BO1841">
            <v>2559</v>
          </cell>
          <cell r="BP1841">
            <v>2560</v>
          </cell>
          <cell r="BQ1841">
            <v>2561</v>
          </cell>
          <cell r="BR1841">
            <v>2562</v>
          </cell>
          <cell r="BS1841">
            <v>2563</v>
          </cell>
          <cell r="BT1841">
            <v>2564</v>
          </cell>
          <cell r="BU1841">
            <v>2565</v>
          </cell>
          <cell r="BV1841">
            <v>2566</v>
          </cell>
        </row>
        <row r="1842">
          <cell r="A1842" t="str">
            <v>Volvo</v>
          </cell>
          <cell r="B1842" t="str">
            <v>LOW SPEC</v>
          </cell>
          <cell r="D1842" t="str">
            <v>Low spec vinil</v>
          </cell>
          <cell r="Z1842">
            <v>0</v>
          </cell>
          <cell r="AA1842">
            <v>-3630.6027820710979</v>
          </cell>
          <cell r="AB1842">
            <v>-7261.2055641421957</v>
          </cell>
          <cell r="AC1842">
            <v>-10891.808346213293</v>
          </cell>
          <cell r="AD1842">
            <v>-13070.170015455951</v>
          </cell>
          <cell r="AE1842">
            <v>-16700.77279752705</v>
          </cell>
          <cell r="AF1842">
            <v>-20247.913446676972</v>
          </cell>
          <cell r="AG1842">
            <v>-23795.054095826894</v>
          </cell>
          <cell r="AH1842">
            <v>-27342.194744976816</v>
          </cell>
          <cell r="AI1842">
            <v>-30889.335394126738</v>
          </cell>
          <cell r="AJ1842">
            <v>-34436.476043276663</v>
          </cell>
          <cell r="AK1842">
            <v>-37274.188562596602</v>
          </cell>
          <cell r="AL1842">
            <v>-40111.901081916541</v>
          </cell>
          <cell r="AM1842">
            <v>-43659.041731066463</v>
          </cell>
          <cell r="AN1842">
            <v>-46496.754250386402</v>
          </cell>
          <cell r="AO1842">
            <v>-50043.894899536324</v>
          </cell>
          <cell r="AP1842">
            <v>-53591.035548686246</v>
          </cell>
          <cell r="AQ1842">
            <v>-57138.176197836168</v>
          </cell>
          <cell r="AR1842">
            <v>-60685.31684698609</v>
          </cell>
          <cell r="AS1842">
            <v>-64232.457496136012</v>
          </cell>
          <cell r="AT1842">
            <v>-67779.598145285941</v>
          </cell>
          <cell r="AU1842">
            <v>-71326.738794435863</v>
          </cell>
          <cell r="AV1842">
            <v>-74873.879443585785</v>
          </cell>
          <cell r="AW1842">
            <v>-78421.020092735707</v>
          </cell>
          <cell r="AX1842">
            <v>-81968.160741885629</v>
          </cell>
          <cell r="AY1842">
            <v>-81968.160741885629</v>
          </cell>
          <cell r="AZ1842">
            <v>-81968.160741885629</v>
          </cell>
          <cell r="BA1842">
            <v>-81968.160741885629</v>
          </cell>
          <cell r="BB1842">
            <v>-81968.160741885629</v>
          </cell>
          <cell r="BC1842">
            <v>-85515.301391035551</v>
          </cell>
          <cell r="BD1842">
            <v>-89062.442040185473</v>
          </cell>
          <cell r="BE1842">
            <v>-92609.582689335395</v>
          </cell>
          <cell r="BF1842">
            <v>-96156.723338485317</v>
          </cell>
          <cell r="BG1842">
            <v>-99703.863987635239</v>
          </cell>
          <cell r="BH1842">
            <v>-103251.00463678516</v>
          </cell>
          <cell r="BI1842">
            <v>-106798.14528593508</v>
          </cell>
          <cell r="BJ1842">
            <v>-110345.285935085</v>
          </cell>
          <cell r="BK1842">
            <v>-110345.285935085</v>
          </cell>
          <cell r="BL1842">
            <v>-110345.285935085</v>
          </cell>
          <cell r="BM1842">
            <v>-110345.285935085</v>
          </cell>
          <cell r="BN1842">
            <v>-110345.285935085</v>
          </cell>
          <cell r="BO1842">
            <v>-110345.285935085</v>
          </cell>
          <cell r="BP1842">
            <v>-110345.285935085</v>
          </cell>
          <cell r="BQ1842">
            <v>-110345.285935085</v>
          </cell>
          <cell r="BR1842">
            <v>-110345.285935085</v>
          </cell>
          <cell r="BS1842">
            <v>-110345.285935085</v>
          </cell>
          <cell r="BT1842">
            <v>-110345.285935085</v>
          </cell>
          <cell r="BU1842">
            <v>-110345.285935085</v>
          </cell>
          <cell r="BV1842">
            <v>-110345.285935085</v>
          </cell>
        </row>
        <row r="1843">
          <cell r="A1843" t="str">
            <v>Volvo</v>
          </cell>
          <cell r="B1843" t="str">
            <v>LOW SPEC</v>
          </cell>
          <cell r="D1843" t="str">
            <v>Low spec LTH</v>
          </cell>
          <cell r="Z1843">
            <v>25</v>
          </cell>
          <cell r="AA1843">
            <v>25</v>
          </cell>
          <cell r="AB1843">
            <v>25</v>
          </cell>
          <cell r="AC1843">
            <v>25</v>
          </cell>
          <cell r="AD1843">
            <v>25</v>
          </cell>
          <cell r="AE1843">
            <v>25</v>
          </cell>
          <cell r="AF1843">
            <v>25</v>
          </cell>
          <cell r="AG1843">
            <v>25</v>
          </cell>
          <cell r="AH1843">
            <v>25</v>
          </cell>
          <cell r="AI1843">
            <v>25</v>
          </cell>
          <cell r="AJ1843">
            <v>25</v>
          </cell>
          <cell r="AK1843">
            <v>25</v>
          </cell>
          <cell r="AL1843">
            <v>25</v>
          </cell>
          <cell r="AM1843">
            <v>25</v>
          </cell>
          <cell r="AN1843">
            <v>25</v>
          </cell>
          <cell r="AO1843">
            <v>25</v>
          </cell>
          <cell r="AP1843">
            <v>25</v>
          </cell>
          <cell r="AQ1843">
            <v>25</v>
          </cell>
          <cell r="AR1843">
            <v>25</v>
          </cell>
          <cell r="AS1843">
            <v>25</v>
          </cell>
          <cell r="AT1843">
            <v>25</v>
          </cell>
          <cell r="AU1843">
            <v>25</v>
          </cell>
          <cell r="AV1843">
            <v>25</v>
          </cell>
          <cell r="AW1843">
            <v>25</v>
          </cell>
          <cell r="AX1843">
            <v>25</v>
          </cell>
          <cell r="AY1843">
            <v>25</v>
          </cell>
          <cell r="AZ1843">
            <v>25</v>
          </cell>
          <cell r="BA1843">
            <v>25</v>
          </cell>
          <cell r="BB1843">
            <v>25</v>
          </cell>
          <cell r="BC1843">
            <v>25</v>
          </cell>
          <cell r="BD1843">
            <v>25</v>
          </cell>
          <cell r="BE1843">
            <v>25</v>
          </cell>
          <cell r="BF1843">
            <v>25</v>
          </cell>
          <cell r="BG1843">
            <v>25</v>
          </cell>
          <cell r="BH1843">
            <v>25</v>
          </cell>
          <cell r="BI1843">
            <v>25</v>
          </cell>
          <cell r="BJ1843">
            <v>25</v>
          </cell>
          <cell r="BK1843">
            <v>25</v>
          </cell>
          <cell r="BL1843">
            <v>25</v>
          </cell>
          <cell r="BM1843">
            <v>25</v>
          </cell>
          <cell r="BN1843">
            <v>25</v>
          </cell>
          <cell r="BO1843">
            <v>25</v>
          </cell>
          <cell r="BP1843">
            <v>25</v>
          </cell>
          <cell r="BQ1843">
            <v>25</v>
          </cell>
          <cell r="BR1843">
            <v>25</v>
          </cell>
          <cell r="BS1843">
            <v>25</v>
          </cell>
          <cell r="BT1843">
            <v>25</v>
          </cell>
          <cell r="BU1843">
            <v>25</v>
          </cell>
          <cell r="BV1843">
            <v>25</v>
          </cell>
        </row>
        <row r="1844">
          <cell r="A1844" t="str">
            <v>Volvo</v>
          </cell>
          <cell r="B1844" t="str">
            <v>LOW SPEC</v>
          </cell>
          <cell r="D1844" t="str">
            <v>Low spec tekstil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  <cell r="BK1844">
            <v>0</v>
          </cell>
          <cell r="BL1844">
            <v>0</v>
          </cell>
          <cell r="BM1844">
            <v>0</v>
          </cell>
          <cell r="BN1844">
            <v>0</v>
          </cell>
          <cell r="BO1844">
            <v>0</v>
          </cell>
          <cell r="BP1844">
            <v>0</v>
          </cell>
          <cell r="BQ1844">
            <v>0</v>
          </cell>
          <cell r="BR1844">
            <v>0</v>
          </cell>
          <cell r="BS1844">
            <v>0</v>
          </cell>
          <cell r="BT1844">
            <v>0</v>
          </cell>
          <cell r="BU1844">
            <v>0</v>
          </cell>
          <cell r="BV1844">
            <v>0</v>
          </cell>
        </row>
        <row r="1845">
          <cell r="A1845" t="str">
            <v>Volvo</v>
          </cell>
          <cell r="B1845" t="str">
            <v>LOW SPEC</v>
          </cell>
          <cell r="D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  <cell r="BK1845">
            <v>0</v>
          </cell>
          <cell r="BL1845">
            <v>0</v>
          </cell>
          <cell r="BM1845">
            <v>0</v>
          </cell>
          <cell r="BN1845">
            <v>0</v>
          </cell>
          <cell r="BO1845">
            <v>0</v>
          </cell>
          <cell r="BP1845">
            <v>0</v>
          </cell>
          <cell r="BQ1845">
            <v>0</v>
          </cell>
          <cell r="BR1845">
            <v>0</v>
          </cell>
          <cell r="BS1845">
            <v>0</v>
          </cell>
          <cell r="BT1845">
            <v>0</v>
          </cell>
          <cell r="BU1845">
            <v>0</v>
          </cell>
          <cell r="BV1845">
            <v>0</v>
          </cell>
        </row>
        <row r="1846">
          <cell r="A1846" t="str">
            <v>Volvo</v>
          </cell>
          <cell r="B1846" t="str">
            <v>LOW SPEC</v>
          </cell>
          <cell r="D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  <cell r="BK1846">
            <v>0</v>
          </cell>
          <cell r="BL1846">
            <v>0</v>
          </cell>
          <cell r="BM1846">
            <v>0</v>
          </cell>
          <cell r="BN1846">
            <v>0</v>
          </cell>
          <cell r="BO1846">
            <v>0</v>
          </cell>
          <cell r="BP1846">
            <v>0</v>
          </cell>
          <cell r="BQ1846">
            <v>0</v>
          </cell>
          <cell r="BR1846">
            <v>0</v>
          </cell>
          <cell r="BS1846">
            <v>0</v>
          </cell>
          <cell r="BT1846">
            <v>0</v>
          </cell>
          <cell r="BU1846">
            <v>0</v>
          </cell>
          <cell r="BV1846">
            <v>0</v>
          </cell>
        </row>
        <row r="1847">
          <cell r="A1847" t="str">
            <v>Volvo</v>
          </cell>
          <cell r="B1847" t="str">
            <v>LOW SPEC</v>
          </cell>
          <cell r="D1847" t="str">
            <v>STOCK</v>
          </cell>
          <cell r="Z1847">
            <v>25</v>
          </cell>
          <cell r="AA1847">
            <v>-40.734814218056272</v>
          </cell>
          <cell r="AB1847">
            <v>487.67503287272757</v>
          </cell>
          <cell r="AC1847">
            <v>1016.0848799635114</v>
          </cell>
          <cell r="AD1847">
            <v>1333.1307882179817</v>
          </cell>
          <cell r="AE1847">
            <v>1267.3959739999254</v>
          </cell>
          <cell r="AF1847">
            <v>1285.1232927030442</v>
          </cell>
          <cell r="AG1847">
            <v>1302.8506114061629</v>
          </cell>
          <cell r="AH1847">
            <v>1320.5779301092816</v>
          </cell>
          <cell r="AI1847">
            <v>1338.3052488124004</v>
          </cell>
          <cell r="AJ1847">
            <v>1356.0325675155191</v>
          </cell>
          <cell r="AK1847">
            <v>1370.2144224780141</v>
          </cell>
          <cell r="AL1847">
            <v>1384.396277440509</v>
          </cell>
          <cell r="AM1847">
            <v>1402.1235961436278</v>
          </cell>
          <cell r="AN1847">
            <v>1416.3054511061227</v>
          </cell>
          <cell r="AO1847">
            <v>1434.0327698092415</v>
          </cell>
          <cell r="AP1847">
            <v>1451.7600885123602</v>
          </cell>
          <cell r="AQ1847">
            <v>1469.4874072154789</v>
          </cell>
          <cell r="AR1847">
            <v>1487.2147259185977</v>
          </cell>
          <cell r="AS1847">
            <v>1504.9420446217164</v>
          </cell>
          <cell r="AT1847">
            <v>1522.6693633248351</v>
          </cell>
          <cell r="AU1847">
            <v>1540.3966820279538</v>
          </cell>
          <cell r="AV1847">
            <v>1403.1297412592012</v>
          </cell>
          <cell r="AW1847">
            <v>1265.8628004904485</v>
          </cell>
          <cell r="AX1847">
            <v>1128.5958597216959</v>
          </cell>
          <cell r="AY1847">
            <v>4538.4695681028661</v>
          </cell>
          <cell r="AZ1847">
            <v>4538.4695681028661</v>
          </cell>
          <cell r="BA1847">
            <v>4538.4695681028661</v>
          </cell>
          <cell r="BB1847">
            <v>4538.4695681028661</v>
          </cell>
          <cell r="BC1847">
            <v>4401.2026273341135</v>
          </cell>
          <cell r="BD1847">
            <v>4263.9356865653608</v>
          </cell>
          <cell r="BE1847">
            <v>4126.6687457966082</v>
          </cell>
          <cell r="BF1847">
            <v>3989.4018050278555</v>
          </cell>
          <cell r="BG1847">
            <v>3852.1348642591029</v>
          </cell>
          <cell r="BH1847">
            <v>3714.8679234903502</v>
          </cell>
          <cell r="BI1847">
            <v>3577.6009827215976</v>
          </cell>
          <cell r="BJ1847">
            <v>3440.3340419528449</v>
          </cell>
          <cell r="BK1847">
            <v>6798.5429971767253</v>
          </cell>
          <cell r="BL1847">
            <v>15529.886280758812</v>
          </cell>
          <cell r="BM1847">
            <v>24261.229564340902</v>
          </cell>
          <cell r="BN1847">
            <v>32992.572847922987</v>
          </cell>
          <cell r="BO1847">
            <v>41723.916131505073</v>
          </cell>
          <cell r="BP1847">
            <v>50455.259415087159</v>
          </cell>
          <cell r="BQ1847">
            <v>59186.602698669245</v>
          </cell>
          <cell r="BR1847">
            <v>67917.945982251331</v>
          </cell>
          <cell r="BS1847">
            <v>76649.289265833417</v>
          </cell>
          <cell r="BT1847">
            <v>85380.632549415503</v>
          </cell>
          <cell r="BU1847">
            <v>94111.975832997588</v>
          </cell>
          <cell r="BV1847">
            <v>102843.31911657967</v>
          </cell>
        </row>
        <row r="1848">
          <cell r="A1848" t="str">
            <v>Blank</v>
          </cell>
          <cell r="B1848" t="str">
            <v>Blank</v>
          </cell>
          <cell r="D1848" t="str">
            <v>Blank</v>
          </cell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</row>
        <row r="1849">
          <cell r="A1849" t="str">
            <v>Volvo</v>
          </cell>
          <cell r="B1849" t="str">
            <v>ROHR - NEW</v>
          </cell>
          <cell r="D1849" t="str">
            <v>Work days</v>
          </cell>
          <cell r="Z1849">
            <v>1</v>
          </cell>
          <cell r="AA1849">
            <v>1</v>
          </cell>
          <cell r="AB1849">
            <v>1</v>
          </cell>
          <cell r="AC1849">
            <v>1</v>
          </cell>
          <cell r="AD1849">
            <v>3</v>
          </cell>
          <cell r="AE1849">
            <v>1</v>
          </cell>
          <cell r="AF1849">
            <v>1</v>
          </cell>
          <cell r="AG1849">
            <v>1</v>
          </cell>
          <cell r="AH1849">
            <v>5</v>
          </cell>
          <cell r="AI1849">
            <v>5</v>
          </cell>
          <cell r="AJ1849">
            <v>5</v>
          </cell>
          <cell r="AK1849">
            <v>4</v>
          </cell>
          <cell r="AL1849">
            <v>4</v>
          </cell>
          <cell r="AM1849">
            <v>5</v>
          </cell>
          <cell r="AN1849">
            <v>4</v>
          </cell>
          <cell r="AO1849">
            <v>5</v>
          </cell>
          <cell r="AP1849">
            <v>5</v>
          </cell>
          <cell r="AQ1849">
            <v>5</v>
          </cell>
          <cell r="AR1849">
            <v>5</v>
          </cell>
          <cell r="AS1849">
            <v>5</v>
          </cell>
          <cell r="AT1849">
            <v>5</v>
          </cell>
          <cell r="AU1849">
            <v>5</v>
          </cell>
          <cell r="AV1849">
            <v>5</v>
          </cell>
          <cell r="AW1849">
            <v>5</v>
          </cell>
          <cell r="AX1849">
            <v>5</v>
          </cell>
          <cell r="AY1849">
            <v>5</v>
          </cell>
          <cell r="AZ1849">
            <v>0</v>
          </cell>
          <cell r="BA1849">
            <v>0</v>
          </cell>
          <cell r="BB1849">
            <v>5</v>
          </cell>
          <cell r="BC1849">
            <v>5</v>
          </cell>
          <cell r="BD1849">
            <v>5</v>
          </cell>
          <cell r="BE1849">
            <v>5</v>
          </cell>
          <cell r="BF1849">
            <v>5</v>
          </cell>
          <cell r="BG1849">
            <v>5</v>
          </cell>
          <cell r="BH1849">
            <v>5</v>
          </cell>
          <cell r="BI1849">
            <v>5</v>
          </cell>
          <cell r="BJ1849">
            <v>5</v>
          </cell>
          <cell r="BK1849">
            <v>5</v>
          </cell>
          <cell r="BL1849">
            <v>3</v>
          </cell>
          <cell r="BM1849">
            <v>3</v>
          </cell>
          <cell r="BN1849">
            <v>3</v>
          </cell>
          <cell r="BO1849">
            <v>3</v>
          </cell>
          <cell r="BP1849">
            <v>3</v>
          </cell>
          <cell r="BQ1849">
            <v>3</v>
          </cell>
          <cell r="BR1849">
            <v>3</v>
          </cell>
          <cell r="BS1849">
            <v>3</v>
          </cell>
          <cell r="BT1849">
            <v>3</v>
          </cell>
          <cell r="BU1849">
            <v>3</v>
          </cell>
          <cell r="BV1849">
            <v>3</v>
          </cell>
        </row>
        <row r="1850">
          <cell r="A1850" t="str">
            <v>Volvo</v>
          </cell>
          <cell r="B1850" t="str">
            <v>ROHR - NEW</v>
          </cell>
          <cell r="D1850" t="str">
            <v>SHIFT A HC - operators</v>
          </cell>
          <cell r="Z1850">
            <v>1</v>
          </cell>
          <cell r="AA1850">
            <v>1</v>
          </cell>
          <cell r="AB1850">
            <v>1</v>
          </cell>
          <cell r="AC1850">
            <v>1</v>
          </cell>
          <cell r="AD1850">
            <v>1</v>
          </cell>
          <cell r="AE1850">
            <v>1</v>
          </cell>
          <cell r="AF1850">
            <v>1</v>
          </cell>
          <cell r="AG1850">
            <v>1</v>
          </cell>
          <cell r="AH1850">
            <v>1</v>
          </cell>
          <cell r="AI1850">
            <v>1</v>
          </cell>
          <cell r="AJ1850">
            <v>1</v>
          </cell>
          <cell r="AK1850">
            <v>1</v>
          </cell>
          <cell r="AL1850">
            <v>1</v>
          </cell>
          <cell r="AM1850">
            <v>1</v>
          </cell>
          <cell r="AN1850">
            <v>1</v>
          </cell>
          <cell r="AO1850">
            <v>1</v>
          </cell>
          <cell r="AP1850">
            <v>1</v>
          </cell>
          <cell r="AQ1850">
            <v>1</v>
          </cell>
          <cell r="AR1850">
            <v>1</v>
          </cell>
          <cell r="AS1850">
            <v>1</v>
          </cell>
          <cell r="AT1850">
            <v>1</v>
          </cell>
          <cell r="AU1850">
            <v>1</v>
          </cell>
          <cell r="AV1850">
            <v>1</v>
          </cell>
          <cell r="AW1850">
            <v>1</v>
          </cell>
          <cell r="AX1850">
            <v>1</v>
          </cell>
          <cell r="AY1850">
            <v>1</v>
          </cell>
          <cell r="AZ1850">
            <v>1</v>
          </cell>
          <cell r="BA1850">
            <v>1</v>
          </cell>
          <cell r="BB1850">
            <v>1</v>
          </cell>
          <cell r="BC1850">
            <v>1</v>
          </cell>
          <cell r="BD1850">
            <v>1</v>
          </cell>
          <cell r="BE1850">
            <v>1</v>
          </cell>
          <cell r="BF1850">
            <v>3</v>
          </cell>
          <cell r="BG1850">
            <v>3</v>
          </cell>
          <cell r="BH1850">
            <v>3</v>
          </cell>
          <cell r="BI1850">
            <v>3</v>
          </cell>
          <cell r="BJ1850">
            <v>3</v>
          </cell>
          <cell r="BK1850">
            <v>3</v>
          </cell>
          <cell r="BL1850">
            <v>3</v>
          </cell>
          <cell r="BM1850">
            <v>3</v>
          </cell>
          <cell r="BN1850">
            <v>3</v>
          </cell>
          <cell r="BO1850">
            <v>3</v>
          </cell>
          <cell r="BP1850">
            <v>3</v>
          </cell>
          <cell r="BQ1850">
            <v>3</v>
          </cell>
          <cell r="BR1850">
            <v>3</v>
          </cell>
          <cell r="BS1850">
            <v>3</v>
          </cell>
          <cell r="BT1850">
            <v>3</v>
          </cell>
          <cell r="BU1850">
            <v>3</v>
          </cell>
          <cell r="BV1850">
            <v>3</v>
          </cell>
        </row>
        <row r="1851">
          <cell r="A1851" t="str">
            <v>Volvo</v>
          </cell>
          <cell r="B1851" t="str">
            <v>ROHR - NEW</v>
          </cell>
          <cell r="D1851" t="str">
            <v>SHIFT B HC  - operators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  <cell r="BK1851">
            <v>0</v>
          </cell>
          <cell r="BL1851">
            <v>0</v>
          </cell>
          <cell r="BM1851">
            <v>0</v>
          </cell>
          <cell r="BN1851">
            <v>0</v>
          </cell>
          <cell r="BO1851">
            <v>0</v>
          </cell>
          <cell r="BP1851">
            <v>0</v>
          </cell>
          <cell r="BQ1851">
            <v>0</v>
          </cell>
          <cell r="BR1851">
            <v>0</v>
          </cell>
          <cell r="BS1851">
            <v>0</v>
          </cell>
          <cell r="BT1851">
            <v>0</v>
          </cell>
          <cell r="BU1851">
            <v>0</v>
          </cell>
          <cell r="BV1851">
            <v>0</v>
          </cell>
        </row>
        <row r="1852">
          <cell r="A1852" t="str">
            <v>Volvo</v>
          </cell>
          <cell r="B1852" t="str">
            <v>ROHR - NEW</v>
          </cell>
          <cell r="D1852" t="str">
            <v>SHIFT C HC  - operators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  <cell r="BK1852">
            <v>0</v>
          </cell>
          <cell r="BL1852">
            <v>0</v>
          </cell>
          <cell r="BM1852">
            <v>0</v>
          </cell>
          <cell r="BN1852">
            <v>0</v>
          </cell>
          <cell r="BO1852">
            <v>0</v>
          </cell>
          <cell r="BP1852">
            <v>0</v>
          </cell>
          <cell r="BQ1852">
            <v>0</v>
          </cell>
          <cell r="BR1852">
            <v>0</v>
          </cell>
          <cell r="BS1852">
            <v>0</v>
          </cell>
          <cell r="BT1852">
            <v>0</v>
          </cell>
          <cell r="BU1852">
            <v>0</v>
          </cell>
          <cell r="BV1852">
            <v>0</v>
          </cell>
        </row>
        <row r="1853">
          <cell r="A1853" t="str">
            <v>Volvo</v>
          </cell>
          <cell r="B1853" t="str">
            <v>ROHR - NEW</v>
          </cell>
          <cell r="D1853" t="str">
            <v>Total HC</v>
          </cell>
          <cell r="Z1853">
            <v>1</v>
          </cell>
          <cell r="AA1853">
            <v>1</v>
          </cell>
          <cell r="AB1853">
            <v>1</v>
          </cell>
          <cell r="AC1853">
            <v>1</v>
          </cell>
          <cell r="AD1853">
            <v>1</v>
          </cell>
          <cell r="AE1853">
            <v>1</v>
          </cell>
          <cell r="AF1853">
            <v>1</v>
          </cell>
          <cell r="AG1853">
            <v>1</v>
          </cell>
          <cell r="AH1853">
            <v>1</v>
          </cell>
          <cell r="AI1853">
            <v>1</v>
          </cell>
          <cell r="AJ1853">
            <v>1</v>
          </cell>
          <cell r="AK1853">
            <v>1</v>
          </cell>
          <cell r="AL1853">
            <v>1</v>
          </cell>
          <cell r="AM1853">
            <v>1</v>
          </cell>
          <cell r="AN1853">
            <v>1</v>
          </cell>
          <cell r="AO1853">
            <v>1</v>
          </cell>
          <cell r="AP1853">
            <v>1</v>
          </cell>
          <cell r="AQ1853">
            <v>1</v>
          </cell>
          <cell r="AR1853">
            <v>1</v>
          </cell>
          <cell r="AS1853">
            <v>1</v>
          </cell>
          <cell r="AT1853">
            <v>1</v>
          </cell>
          <cell r="AU1853">
            <v>1</v>
          </cell>
          <cell r="AV1853">
            <v>1</v>
          </cell>
          <cell r="AW1853">
            <v>1</v>
          </cell>
          <cell r="AX1853">
            <v>1</v>
          </cell>
          <cell r="AY1853">
            <v>1</v>
          </cell>
          <cell r="AZ1853">
            <v>1</v>
          </cell>
          <cell r="BA1853">
            <v>1</v>
          </cell>
          <cell r="BB1853">
            <v>1</v>
          </cell>
          <cell r="BC1853">
            <v>1</v>
          </cell>
          <cell r="BD1853">
            <v>1</v>
          </cell>
          <cell r="BE1853">
            <v>1</v>
          </cell>
          <cell r="BF1853">
            <v>3</v>
          </cell>
          <cell r="BG1853">
            <v>3</v>
          </cell>
          <cell r="BH1853">
            <v>3</v>
          </cell>
          <cell r="BI1853">
            <v>3</v>
          </cell>
          <cell r="BJ1853">
            <v>3</v>
          </cell>
          <cell r="BK1853">
            <v>3</v>
          </cell>
          <cell r="BL1853">
            <v>3</v>
          </cell>
          <cell r="BM1853">
            <v>3</v>
          </cell>
          <cell r="BN1853">
            <v>3</v>
          </cell>
          <cell r="BO1853">
            <v>3</v>
          </cell>
          <cell r="BP1853">
            <v>3</v>
          </cell>
          <cell r="BQ1853">
            <v>3</v>
          </cell>
          <cell r="BR1853">
            <v>3</v>
          </cell>
          <cell r="BS1853">
            <v>3</v>
          </cell>
          <cell r="BT1853">
            <v>3</v>
          </cell>
          <cell r="BU1853">
            <v>3</v>
          </cell>
          <cell r="BV1853">
            <v>3</v>
          </cell>
        </row>
        <row r="1854">
          <cell r="A1854" t="str">
            <v>Volvo</v>
          </cell>
          <cell r="B1854" t="str">
            <v>ROHR - NEW</v>
          </cell>
          <cell r="D1854" t="str">
            <v>SHIFT A HC  - efficiency</v>
          </cell>
          <cell r="Z1854">
            <v>1</v>
          </cell>
          <cell r="AA1854">
            <v>1</v>
          </cell>
          <cell r="AB1854">
            <v>1</v>
          </cell>
          <cell r="AC1854">
            <v>1</v>
          </cell>
          <cell r="AD1854">
            <v>1</v>
          </cell>
          <cell r="AE1854">
            <v>1</v>
          </cell>
          <cell r="AF1854">
            <v>1</v>
          </cell>
          <cell r="AG1854">
            <v>1</v>
          </cell>
          <cell r="AH1854">
            <v>1</v>
          </cell>
          <cell r="AI1854">
            <v>1</v>
          </cell>
          <cell r="AJ1854">
            <v>1</v>
          </cell>
          <cell r="AK1854">
            <v>1</v>
          </cell>
          <cell r="AL1854">
            <v>1</v>
          </cell>
          <cell r="AM1854">
            <v>1</v>
          </cell>
          <cell r="AN1854">
            <v>1</v>
          </cell>
          <cell r="AO1854">
            <v>1</v>
          </cell>
          <cell r="AP1854">
            <v>1</v>
          </cell>
          <cell r="AQ1854">
            <v>1</v>
          </cell>
          <cell r="AR1854">
            <v>1</v>
          </cell>
          <cell r="AS1854">
            <v>1</v>
          </cell>
          <cell r="AT1854">
            <v>1</v>
          </cell>
          <cell r="AU1854">
            <v>1</v>
          </cell>
          <cell r="AV1854">
            <v>1</v>
          </cell>
          <cell r="AW1854">
            <v>1</v>
          </cell>
          <cell r="AX1854">
            <v>1</v>
          </cell>
          <cell r="AY1854">
            <v>1</v>
          </cell>
          <cell r="AZ1854">
            <v>1</v>
          </cell>
          <cell r="BA1854">
            <v>1</v>
          </cell>
          <cell r="BB1854">
            <v>1</v>
          </cell>
          <cell r="BC1854">
            <v>1</v>
          </cell>
          <cell r="BD1854">
            <v>1</v>
          </cell>
          <cell r="BE1854">
            <v>1</v>
          </cell>
          <cell r="BF1854">
            <v>1</v>
          </cell>
          <cell r="BG1854">
            <v>1</v>
          </cell>
          <cell r="BH1854">
            <v>1</v>
          </cell>
          <cell r="BI1854">
            <v>1.2</v>
          </cell>
          <cell r="BJ1854">
            <v>1.2</v>
          </cell>
          <cell r="BK1854">
            <v>1.2</v>
          </cell>
          <cell r="BL1854">
            <v>1.2</v>
          </cell>
          <cell r="BM1854">
            <v>1.2</v>
          </cell>
          <cell r="BN1854">
            <v>1.2</v>
          </cell>
          <cell r="BO1854">
            <v>1.2</v>
          </cell>
          <cell r="BP1854">
            <v>1.2</v>
          </cell>
          <cell r="BQ1854">
            <v>1.2</v>
          </cell>
          <cell r="BR1854">
            <v>1.2</v>
          </cell>
          <cell r="BS1854">
            <v>1.2</v>
          </cell>
          <cell r="BT1854">
            <v>1.2</v>
          </cell>
          <cell r="BU1854">
            <v>1.2</v>
          </cell>
          <cell r="BV1854">
            <v>1.2</v>
          </cell>
        </row>
        <row r="1855">
          <cell r="A1855" t="str">
            <v>Volvo</v>
          </cell>
          <cell r="B1855" t="str">
            <v>ROHR - NEW</v>
          </cell>
          <cell r="D1855" t="str">
            <v>SHIFT B HC  - efficiency</v>
          </cell>
          <cell r="Z1855">
            <v>1</v>
          </cell>
          <cell r="AA1855">
            <v>1</v>
          </cell>
          <cell r="AB1855">
            <v>1</v>
          </cell>
          <cell r="AC1855">
            <v>1</v>
          </cell>
          <cell r="AD1855">
            <v>1</v>
          </cell>
          <cell r="AE1855">
            <v>1</v>
          </cell>
          <cell r="AF1855">
            <v>1</v>
          </cell>
          <cell r="AG1855">
            <v>1</v>
          </cell>
          <cell r="AH1855">
            <v>1</v>
          </cell>
          <cell r="AI1855">
            <v>1</v>
          </cell>
          <cell r="AJ1855">
            <v>1</v>
          </cell>
          <cell r="AK1855">
            <v>1</v>
          </cell>
          <cell r="AL1855">
            <v>1</v>
          </cell>
          <cell r="AM1855">
            <v>1</v>
          </cell>
          <cell r="AN1855">
            <v>1</v>
          </cell>
          <cell r="AO1855">
            <v>1</v>
          </cell>
          <cell r="AP1855">
            <v>1</v>
          </cell>
          <cell r="AQ1855">
            <v>1</v>
          </cell>
          <cell r="AR1855">
            <v>1</v>
          </cell>
          <cell r="AS1855">
            <v>1</v>
          </cell>
          <cell r="AT1855">
            <v>1</v>
          </cell>
          <cell r="AU1855">
            <v>1</v>
          </cell>
          <cell r="AV1855">
            <v>1</v>
          </cell>
          <cell r="AW1855">
            <v>1</v>
          </cell>
          <cell r="AX1855">
            <v>1</v>
          </cell>
          <cell r="AY1855">
            <v>1</v>
          </cell>
          <cell r="AZ1855">
            <v>1</v>
          </cell>
          <cell r="BA1855">
            <v>1</v>
          </cell>
          <cell r="BB1855">
            <v>1</v>
          </cell>
          <cell r="BC1855">
            <v>1</v>
          </cell>
          <cell r="BD1855">
            <v>1</v>
          </cell>
          <cell r="BE1855">
            <v>1</v>
          </cell>
          <cell r="BF1855">
            <v>1</v>
          </cell>
          <cell r="BG1855">
            <v>1</v>
          </cell>
          <cell r="BH1855">
            <v>1</v>
          </cell>
          <cell r="BI1855">
            <v>1</v>
          </cell>
          <cell r="BJ1855">
            <v>1</v>
          </cell>
          <cell r="BK1855">
            <v>1</v>
          </cell>
          <cell r="BL1855">
            <v>1</v>
          </cell>
          <cell r="BM1855">
            <v>1</v>
          </cell>
          <cell r="BN1855">
            <v>1</v>
          </cell>
          <cell r="BO1855">
            <v>1</v>
          </cell>
          <cell r="BP1855">
            <v>1</v>
          </cell>
          <cell r="BQ1855">
            <v>1</v>
          </cell>
          <cell r="BR1855">
            <v>1</v>
          </cell>
          <cell r="BS1855">
            <v>1</v>
          </cell>
          <cell r="BT1855">
            <v>1</v>
          </cell>
          <cell r="BU1855">
            <v>1</v>
          </cell>
          <cell r="BV1855">
            <v>1</v>
          </cell>
        </row>
        <row r="1856">
          <cell r="A1856" t="str">
            <v>Volvo</v>
          </cell>
          <cell r="B1856" t="str">
            <v>ROHR - NEW</v>
          </cell>
          <cell r="D1856" t="str">
            <v>SHIFT C HC  - efficiency</v>
          </cell>
          <cell r="Z1856">
            <v>1</v>
          </cell>
          <cell r="AA1856">
            <v>1</v>
          </cell>
          <cell r="AB1856">
            <v>1</v>
          </cell>
          <cell r="AC1856">
            <v>1</v>
          </cell>
          <cell r="AD1856">
            <v>1</v>
          </cell>
          <cell r="AE1856">
            <v>1</v>
          </cell>
          <cell r="AF1856">
            <v>1</v>
          </cell>
          <cell r="AG1856">
            <v>1</v>
          </cell>
          <cell r="AH1856">
            <v>1</v>
          </cell>
          <cell r="AI1856">
            <v>1</v>
          </cell>
          <cell r="AJ1856">
            <v>1</v>
          </cell>
          <cell r="AK1856">
            <v>1</v>
          </cell>
          <cell r="AL1856">
            <v>1</v>
          </cell>
          <cell r="AM1856">
            <v>1</v>
          </cell>
          <cell r="AN1856">
            <v>1</v>
          </cell>
          <cell r="AO1856">
            <v>1</v>
          </cell>
          <cell r="AP1856">
            <v>1</v>
          </cell>
          <cell r="AQ1856">
            <v>1</v>
          </cell>
          <cell r="AR1856">
            <v>1</v>
          </cell>
          <cell r="AS1856">
            <v>1</v>
          </cell>
          <cell r="AT1856">
            <v>1</v>
          </cell>
          <cell r="AU1856">
            <v>1</v>
          </cell>
          <cell r="AV1856">
            <v>1</v>
          </cell>
          <cell r="AW1856">
            <v>1</v>
          </cell>
          <cell r="AX1856">
            <v>1</v>
          </cell>
          <cell r="AY1856">
            <v>1</v>
          </cell>
          <cell r="AZ1856">
            <v>1</v>
          </cell>
          <cell r="BA1856">
            <v>1</v>
          </cell>
          <cell r="BB1856">
            <v>1</v>
          </cell>
          <cell r="BC1856">
            <v>1</v>
          </cell>
          <cell r="BD1856">
            <v>1</v>
          </cell>
          <cell r="BE1856">
            <v>1</v>
          </cell>
          <cell r="BF1856">
            <v>1</v>
          </cell>
          <cell r="BG1856">
            <v>1</v>
          </cell>
          <cell r="BH1856">
            <v>1</v>
          </cell>
          <cell r="BI1856">
            <v>1</v>
          </cell>
          <cell r="BJ1856">
            <v>1</v>
          </cell>
          <cell r="BK1856">
            <v>1</v>
          </cell>
          <cell r="BL1856">
            <v>1</v>
          </cell>
          <cell r="BM1856">
            <v>1</v>
          </cell>
          <cell r="BN1856">
            <v>1</v>
          </cell>
          <cell r="BO1856">
            <v>1</v>
          </cell>
          <cell r="BP1856">
            <v>1</v>
          </cell>
          <cell r="BQ1856">
            <v>1</v>
          </cell>
          <cell r="BR1856">
            <v>1</v>
          </cell>
          <cell r="BS1856">
            <v>1</v>
          </cell>
          <cell r="BT1856">
            <v>1</v>
          </cell>
          <cell r="BU1856">
            <v>1</v>
          </cell>
          <cell r="BV1856">
            <v>1</v>
          </cell>
        </row>
        <row r="1857">
          <cell r="A1857" t="str">
            <v>Volvo</v>
          </cell>
          <cell r="B1857" t="str">
            <v>ROHR - NEW</v>
          </cell>
          <cell r="D1857" t="str">
            <v>Total efficiency</v>
          </cell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</row>
        <row r="1858">
          <cell r="A1858" t="str">
            <v>Volvo</v>
          </cell>
          <cell r="B1858" t="str">
            <v>ROHR - NEW</v>
          </cell>
          <cell r="D1858" t="str">
            <v>SHIFT A - output</v>
          </cell>
          <cell r="Z1858">
            <v>192.09425424741741</v>
          </cell>
          <cell r="AA1858">
            <v>192.09425424741741</v>
          </cell>
          <cell r="AB1858">
            <v>192.09425424741741</v>
          </cell>
          <cell r="AC1858">
            <v>192.09425424741741</v>
          </cell>
          <cell r="AD1858">
            <v>192.09425424741741</v>
          </cell>
          <cell r="AE1858">
            <v>192.09425424741741</v>
          </cell>
          <cell r="AF1858">
            <v>192.09425424741741</v>
          </cell>
          <cell r="AG1858">
            <v>192.09425424741741</v>
          </cell>
          <cell r="AH1858">
            <v>192.09425424741741</v>
          </cell>
          <cell r="AI1858">
            <v>192.09425424741741</v>
          </cell>
          <cell r="AJ1858">
            <v>192.09425424741741</v>
          </cell>
          <cell r="AK1858">
            <v>192.09425424741741</v>
          </cell>
          <cell r="AL1858">
            <v>192.09425424741741</v>
          </cell>
          <cell r="AM1858">
            <v>192.09425424741741</v>
          </cell>
          <cell r="AN1858">
            <v>192.09425424741741</v>
          </cell>
          <cell r="AO1858">
            <v>192.09425424741741</v>
          </cell>
          <cell r="AP1858">
            <v>192.09425424741741</v>
          </cell>
          <cell r="AQ1858">
            <v>192.09425424741741</v>
          </cell>
          <cell r="AR1858">
            <v>192.09425424741741</v>
          </cell>
          <cell r="AS1858">
            <v>192.09425424741741</v>
          </cell>
          <cell r="AT1858">
            <v>192.09425424741741</v>
          </cell>
          <cell r="AU1858">
            <v>192.09425424741741</v>
          </cell>
          <cell r="AV1858">
            <v>192.09425424741741</v>
          </cell>
          <cell r="AW1858">
            <v>192.09425424741741</v>
          </cell>
          <cell r="AX1858">
            <v>192.09425424741741</v>
          </cell>
          <cell r="AY1858">
            <v>192.09425424741741</v>
          </cell>
          <cell r="AZ1858">
            <v>192.09425424741741</v>
          </cell>
          <cell r="BA1858">
            <v>192.09425424741741</v>
          </cell>
          <cell r="BB1858">
            <v>192.09425424741741</v>
          </cell>
          <cell r="BC1858">
            <v>192.09425424741741</v>
          </cell>
          <cell r="BD1858">
            <v>192.09425424741741</v>
          </cell>
          <cell r="BE1858">
            <v>192.09425424741741</v>
          </cell>
          <cell r="BF1858">
            <v>576.2827627422522</v>
          </cell>
          <cell r="BG1858">
            <v>576.2827627422522</v>
          </cell>
          <cell r="BH1858">
            <v>576.2827627422522</v>
          </cell>
          <cell r="BI1858">
            <v>691.53931529070258</v>
          </cell>
          <cell r="BJ1858">
            <v>691.53931529070258</v>
          </cell>
          <cell r="BK1858">
            <v>691.53931529070258</v>
          </cell>
          <cell r="BL1858">
            <v>691.53931529070258</v>
          </cell>
          <cell r="BM1858">
            <v>691.53931529070258</v>
          </cell>
          <cell r="BN1858">
            <v>691.53931529070258</v>
          </cell>
          <cell r="BO1858">
            <v>691.53931529070258</v>
          </cell>
          <cell r="BP1858">
            <v>691.53931529070258</v>
          </cell>
          <cell r="BQ1858">
            <v>691.53931529070258</v>
          </cell>
          <cell r="BR1858">
            <v>691.53931529070258</v>
          </cell>
          <cell r="BS1858">
            <v>691.53931529070258</v>
          </cell>
          <cell r="BT1858">
            <v>691.53931529070258</v>
          </cell>
          <cell r="BU1858">
            <v>691.53931529070258</v>
          </cell>
          <cell r="BV1858">
            <v>691.53931529070258</v>
          </cell>
        </row>
        <row r="1859">
          <cell r="A1859" t="str">
            <v>Volvo</v>
          </cell>
          <cell r="B1859" t="str">
            <v>ROHR - NEW</v>
          </cell>
          <cell r="D1859" t="str">
            <v>SHIFT B  - output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  <cell r="BK1859">
            <v>0</v>
          </cell>
          <cell r="BL1859">
            <v>0</v>
          </cell>
          <cell r="BM1859">
            <v>0</v>
          </cell>
          <cell r="BN1859">
            <v>0</v>
          </cell>
          <cell r="BO1859">
            <v>0</v>
          </cell>
          <cell r="BP1859">
            <v>0</v>
          </cell>
          <cell r="BQ1859">
            <v>0</v>
          </cell>
          <cell r="BR1859">
            <v>0</v>
          </cell>
          <cell r="BS1859">
            <v>0</v>
          </cell>
          <cell r="BT1859">
            <v>0</v>
          </cell>
          <cell r="BU1859">
            <v>0</v>
          </cell>
          <cell r="BV1859">
            <v>0</v>
          </cell>
        </row>
        <row r="1860">
          <cell r="A1860" t="str">
            <v>Volvo</v>
          </cell>
          <cell r="B1860" t="str">
            <v>ROHR - NEW</v>
          </cell>
          <cell r="D1860" t="str">
            <v>SHIFT C  - output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  <cell r="BK1860">
            <v>0</v>
          </cell>
          <cell r="BL1860">
            <v>0</v>
          </cell>
          <cell r="BM1860">
            <v>0</v>
          </cell>
          <cell r="BN1860">
            <v>0</v>
          </cell>
          <cell r="BO1860">
            <v>0</v>
          </cell>
          <cell r="BP1860">
            <v>0</v>
          </cell>
          <cell r="BQ1860">
            <v>0</v>
          </cell>
          <cell r="BR1860">
            <v>0</v>
          </cell>
          <cell r="BS1860">
            <v>0</v>
          </cell>
          <cell r="BT1860">
            <v>0</v>
          </cell>
          <cell r="BU1860">
            <v>0</v>
          </cell>
          <cell r="BV1860">
            <v>0</v>
          </cell>
        </row>
        <row r="1861">
          <cell r="A1861" t="str">
            <v>Volvo</v>
          </cell>
          <cell r="B1861" t="str">
            <v>ROHR - NEW</v>
          </cell>
          <cell r="D1861" t="str">
            <v>Est. Output (Pcs day)</v>
          </cell>
          <cell r="E1861">
            <v>2.3426</v>
          </cell>
          <cell r="Z1861">
            <v>192.09425424741741</v>
          </cell>
          <cell r="AA1861">
            <v>192.09425424741741</v>
          </cell>
          <cell r="AB1861">
            <v>192.09425424741741</v>
          </cell>
          <cell r="AC1861">
            <v>192.09425424741741</v>
          </cell>
          <cell r="AD1861">
            <v>192.09425424741741</v>
          </cell>
          <cell r="AE1861">
            <v>192.09425424741741</v>
          </cell>
          <cell r="AF1861">
            <v>192.09425424741741</v>
          </cell>
          <cell r="AG1861">
            <v>192.09425424741741</v>
          </cell>
          <cell r="AH1861">
            <v>192.09425424741741</v>
          </cell>
          <cell r="AI1861">
            <v>192.09425424741741</v>
          </cell>
          <cell r="AJ1861">
            <v>192.09425424741741</v>
          </cell>
          <cell r="AK1861">
            <v>192.09425424741741</v>
          </cell>
          <cell r="AL1861">
            <v>192.09425424741741</v>
          </cell>
          <cell r="AM1861">
            <v>192.09425424741741</v>
          </cell>
          <cell r="AN1861">
            <v>192.09425424741741</v>
          </cell>
          <cell r="AO1861">
            <v>192.09425424741741</v>
          </cell>
          <cell r="AP1861">
            <v>192.09425424741741</v>
          </cell>
          <cell r="AQ1861">
            <v>192.09425424741741</v>
          </cell>
          <cell r="AR1861">
            <v>192.09425424741741</v>
          </cell>
          <cell r="AS1861">
            <v>192.09425424741741</v>
          </cell>
          <cell r="AT1861">
            <v>192.09425424741741</v>
          </cell>
          <cell r="AU1861">
            <v>192.09425424741741</v>
          </cell>
          <cell r="AV1861">
            <v>192.09425424741741</v>
          </cell>
          <cell r="AW1861">
            <v>192.09425424741741</v>
          </cell>
          <cell r="AX1861">
            <v>192.09425424741741</v>
          </cell>
          <cell r="AY1861">
            <v>192.09425424741741</v>
          </cell>
          <cell r="AZ1861">
            <v>192.09425424741741</v>
          </cell>
          <cell r="BA1861">
            <v>192.09425424741741</v>
          </cell>
          <cell r="BB1861">
            <v>192.09425424741741</v>
          </cell>
          <cell r="BC1861">
            <v>192.09425424741741</v>
          </cell>
          <cell r="BD1861">
            <v>192.09425424741741</v>
          </cell>
          <cell r="BE1861">
            <v>192.09425424741741</v>
          </cell>
          <cell r="BF1861">
            <v>576.2827627422522</v>
          </cell>
          <cell r="BG1861">
            <v>576.2827627422522</v>
          </cell>
          <cell r="BH1861">
            <v>576.2827627422522</v>
          </cell>
          <cell r="BI1861">
            <v>691.53931529070258</v>
          </cell>
          <cell r="BJ1861">
            <v>691.53931529070258</v>
          </cell>
          <cell r="BK1861">
            <v>691.53931529070258</v>
          </cell>
          <cell r="BL1861">
            <v>691.53931529070258</v>
          </cell>
          <cell r="BM1861">
            <v>691.53931529070258</v>
          </cell>
          <cell r="BN1861">
            <v>691.53931529070258</v>
          </cell>
          <cell r="BO1861">
            <v>691.53931529070258</v>
          </cell>
          <cell r="BP1861">
            <v>691.53931529070258</v>
          </cell>
          <cell r="BQ1861">
            <v>691.53931529070258</v>
          </cell>
          <cell r="BR1861">
            <v>691.53931529070258</v>
          </cell>
          <cell r="BS1861">
            <v>691.53931529070258</v>
          </cell>
          <cell r="BT1861">
            <v>691.53931529070258</v>
          </cell>
          <cell r="BU1861">
            <v>691.53931529070258</v>
          </cell>
          <cell r="BV1861">
            <v>691.53931529070258</v>
          </cell>
        </row>
        <row r="1862">
          <cell r="A1862" t="str">
            <v>Volvo</v>
          </cell>
          <cell r="B1862" t="str">
            <v>ROHR - NEW</v>
          </cell>
          <cell r="D1862" t="str">
            <v>Weekly Output PLAN</v>
          </cell>
          <cell r="E1862" t="str">
            <v>ASSY</v>
          </cell>
          <cell r="Z1862">
            <v>192.09425424741741</v>
          </cell>
          <cell r="AA1862">
            <v>192.09425424741741</v>
          </cell>
          <cell r="AB1862">
            <v>192.09425424741741</v>
          </cell>
          <cell r="AC1862">
            <v>192.09425424741741</v>
          </cell>
          <cell r="AD1862">
            <v>576.2827627422522</v>
          </cell>
          <cell r="AE1862">
            <v>192.09425424741741</v>
          </cell>
          <cell r="AF1862">
            <v>192.09425424741741</v>
          </cell>
          <cell r="AG1862">
            <v>192.09425424741741</v>
          </cell>
          <cell r="AH1862">
            <v>960.47127123708708</v>
          </cell>
          <cell r="AI1862">
            <v>960.47127123708708</v>
          </cell>
          <cell r="AJ1862">
            <v>960.47127123708708</v>
          </cell>
          <cell r="AK1862">
            <v>768.37701698966964</v>
          </cell>
          <cell r="AL1862">
            <v>768.37701698966964</v>
          </cell>
          <cell r="AM1862">
            <v>960.47127123708708</v>
          </cell>
          <cell r="AN1862">
            <v>768.37701698966964</v>
          </cell>
          <cell r="AO1862">
            <v>960.47127123708708</v>
          </cell>
          <cell r="AP1862">
            <v>960.47127123708708</v>
          </cell>
          <cell r="AQ1862">
            <v>960.47127123708708</v>
          </cell>
          <cell r="AR1862">
            <v>960.47127123708708</v>
          </cell>
          <cell r="AS1862">
            <v>960.47127123708708</v>
          </cell>
          <cell r="AT1862">
            <v>960.47127123708708</v>
          </cell>
          <cell r="AU1862">
            <v>960.47127123708708</v>
          </cell>
          <cell r="AV1862">
            <v>960.47127123708708</v>
          </cell>
          <cell r="AW1862">
            <v>960.47127123708708</v>
          </cell>
          <cell r="AX1862">
            <v>960.47127123708708</v>
          </cell>
          <cell r="AY1862">
            <v>960.47127123708708</v>
          </cell>
          <cell r="AZ1862">
            <v>0</v>
          </cell>
          <cell r="BA1862">
            <v>0</v>
          </cell>
          <cell r="BB1862">
            <v>960.47127123708708</v>
          </cell>
          <cell r="BC1862">
            <v>960.47127123708708</v>
          </cell>
          <cell r="BD1862">
            <v>960.47127123708708</v>
          </cell>
          <cell r="BE1862">
            <v>960.47127123708708</v>
          </cell>
          <cell r="BF1862">
            <v>2881.4138137112609</v>
          </cell>
          <cell r="BG1862">
            <v>2881.4138137112609</v>
          </cell>
          <cell r="BH1862">
            <v>2881.4138137112609</v>
          </cell>
          <cell r="BI1862">
            <v>3457.696576453513</v>
          </cell>
          <cell r="BJ1862">
            <v>3457.696576453513</v>
          </cell>
          <cell r="BK1862">
            <v>3457.696576453513</v>
          </cell>
          <cell r="BL1862">
            <v>2074.6179458721076</v>
          </cell>
          <cell r="BM1862">
            <v>2074.6179458721076</v>
          </cell>
          <cell r="BN1862">
            <v>2074.6179458721076</v>
          </cell>
          <cell r="BO1862">
            <v>2074.6179458721076</v>
          </cell>
          <cell r="BP1862">
            <v>2074.6179458721076</v>
          </cell>
          <cell r="BQ1862">
            <v>2074.6179458721076</v>
          </cell>
          <cell r="BR1862">
            <v>2074.6179458721076</v>
          </cell>
          <cell r="BS1862">
            <v>2074.6179458721076</v>
          </cell>
          <cell r="BT1862">
            <v>2074.6179458721076</v>
          </cell>
          <cell r="BU1862">
            <v>2074.6179458721076</v>
          </cell>
          <cell r="BV1862">
            <v>2074.6179458721076</v>
          </cell>
        </row>
        <row r="1863">
          <cell r="A1863" t="str">
            <v>Volvo</v>
          </cell>
          <cell r="B1863" t="str">
            <v>ROHR - NEW</v>
          </cell>
          <cell r="D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</row>
        <row r="1864">
          <cell r="A1864" t="str">
            <v>Volvo</v>
          </cell>
          <cell r="B1864" t="str">
            <v>ROHR - NEW</v>
          </cell>
          <cell r="D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</row>
        <row r="1865">
          <cell r="A1865" t="str">
            <v>Volvo</v>
          </cell>
          <cell r="B1865" t="str">
            <v>ROHR - NEW</v>
          </cell>
          <cell r="D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</row>
        <row r="1866">
          <cell r="A1866" t="str">
            <v>Volvo</v>
          </cell>
          <cell r="B1866" t="str">
            <v>ROHR - NEW</v>
          </cell>
          <cell r="D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</row>
        <row r="1867">
          <cell r="A1867" t="str">
            <v>Volvo</v>
          </cell>
          <cell r="B1867" t="str">
            <v>ROHR - NEW</v>
          </cell>
          <cell r="D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</row>
        <row r="1868">
          <cell r="A1868" t="str">
            <v>Volvo</v>
          </cell>
          <cell r="B1868" t="str">
            <v>ROHR - NEW</v>
          </cell>
          <cell r="D1868" t="str">
            <v>Weekly Output PLAN - SUM of models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  <cell r="BK1868">
            <v>0</v>
          </cell>
          <cell r="BL1868">
            <v>0</v>
          </cell>
          <cell r="BM1868">
            <v>0</v>
          </cell>
          <cell r="BN1868">
            <v>0</v>
          </cell>
          <cell r="BO1868">
            <v>0</v>
          </cell>
          <cell r="BP1868">
            <v>0</v>
          </cell>
          <cell r="BQ1868">
            <v>0</v>
          </cell>
          <cell r="BR1868">
            <v>0</v>
          </cell>
          <cell r="BS1868">
            <v>0</v>
          </cell>
          <cell r="BT1868">
            <v>0</v>
          </cell>
          <cell r="BU1868">
            <v>0</v>
          </cell>
          <cell r="BV1868">
            <v>0</v>
          </cell>
        </row>
        <row r="1869">
          <cell r="A1869" t="str">
            <v>Volvo</v>
          </cell>
          <cell r="B1869" t="str">
            <v>ROHR - NEW</v>
          </cell>
          <cell r="D1869" t="str">
            <v>Weekly Output CHECK with TO time multiple</v>
          </cell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</row>
        <row r="1870">
          <cell r="A1870" t="str">
            <v>Volvo</v>
          </cell>
          <cell r="B1870" t="str">
            <v>ROHR - NEW</v>
          </cell>
          <cell r="D1870" t="str">
            <v>Weekly Output ACT</v>
          </cell>
          <cell r="Z1870">
            <v>192.09425424741741</v>
          </cell>
          <cell r="AA1870">
            <v>192.09425424741741</v>
          </cell>
          <cell r="AB1870">
            <v>192.09425424741741</v>
          </cell>
          <cell r="AC1870">
            <v>192.09425424741741</v>
          </cell>
          <cell r="AD1870">
            <v>576.2827627422522</v>
          </cell>
          <cell r="AE1870">
            <v>192.09425424741741</v>
          </cell>
          <cell r="AF1870">
            <v>192.09425424741741</v>
          </cell>
          <cell r="AG1870">
            <v>192.09425424741741</v>
          </cell>
          <cell r="AH1870">
            <v>960.47127123708708</v>
          </cell>
          <cell r="AI1870">
            <v>960.47127123708708</v>
          </cell>
          <cell r="AJ1870">
            <v>960.47127123708708</v>
          </cell>
          <cell r="AK1870">
            <v>768.37701698966964</v>
          </cell>
          <cell r="AL1870">
            <v>768.37701698966964</v>
          </cell>
          <cell r="AM1870">
            <v>960.47127123708708</v>
          </cell>
          <cell r="AN1870">
            <v>768.37701698966964</v>
          </cell>
          <cell r="AO1870">
            <v>960.47127123708708</v>
          </cell>
          <cell r="AP1870">
            <v>960.47127123708708</v>
          </cell>
          <cell r="AQ1870">
            <v>960.47127123708708</v>
          </cell>
          <cell r="AR1870">
            <v>960.47127123708708</v>
          </cell>
          <cell r="AS1870">
            <v>960.47127123708708</v>
          </cell>
          <cell r="AT1870">
            <v>960.47127123708708</v>
          </cell>
          <cell r="AU1870">
            <v>960.47127123708708</v>
          </cell>
          <cell r="AV1870">
            <v>960.47127123708708</v>
          </cell>
          <cell r="AW1870">
            <v>960.47127123708708</v>
          </cell>
          <cell r="AX1870">
            <v>960.47127123708708</v>
          </cell>
          <cell r="AY1870">
            <v>960.47127123708708</v>
          </cell>
          <cell r="AZ1870">
            <v>0</v>
          </cell>
          <cell r="BA1870">
            <v>0</v>
          </cell>
          <cell r="BB1870">
            <v>960.47127123708708</v>
          </cell>
          <cell r="BC1870">
            <v>960.47127123708708</v>
          </cell>
          <cell r="BD1870">
            <v>960.47127123708708</v>
          </cell>
          <cell r="BE1870">
            <v>960.47127123708708</v>
          </cell>
          <cell r="BF1870">
            <v>2881.4138137112609</v>
          </cell>
          <cell r="BG1870">
            <v>2881.4138137112609</v>
          </cell>
          <cell r="BH1870">
            <v>2881.4138137112609</v>
          </cell>
          <cell r="BI1870">
            <v>3457.696576453513</v>
          </cell>
          <cell r="BJ1870">
            <v>3457.696576453513</v>
          </cell>
          <cell r="BK1870">
            <v>3457.696576453513</v>
          </cell>
          <cell r="BL1870">
            <v>2074.6179458721076</v>
          </cell>
          <cell r="BM1870">
            <v>2074.6179458721076</v>
          </cell>
          <cell r="BN1870">
            <v>2074.6179458721076</v>
          </cell>
          <cell r="BO1870">
            <v>2074.6179458721076</v>
          </cell>
          <cell r="BP1870">
            <v>2074.6179458721076</v>
          </cell>
          <cell r="BQ1870">
            <v>2074.6179458721076</v>
          </cell>
          <cell r="BR1870">
            <v>2074.6179458721076</v>
          </cell>
          <cell r="BS1870">
            <v>2074.6179458721076</v>
          </cell>
          <cell r="BT1870">
            <v>2074.6179458721076</v>
          </cell>
          <cell r="BU1870">
            <v>2074.6179458721076</v>
          </cell>
          <cell r="BV1870">
            <v>2074.6179458721076</v>
          </cell>
        </row>
        <row r="1871">
          <cell r="A1871" t="str">
            <v>Volvo</v>
          </cell>
          <cell r="B1871" t="str">
            <v>ROHR - NEW</v>
          </cell>
          <cell r="D1871">
            <v>0</v>
          </cell>
          <cell r="Z1871">
            <v>0</v>
          </cell>
          <cell r="AA1871">
            <v>210</v>
          </cell>
          <cell r="AB1871">
            <v>0</v>
          </cell>
          <cell r="AC1871">
            <v>210</v>
          </cell>
          <cell r="AD1871">
            <v>210</v>
          </cell>
          <cell r="AE1871">
            <v>0</v>
          </cell>
          <cell r="AF1871">
            <v>420</v>
          </cell>
          <cell r="AG1871">
            <v>0</v>
          </cell>
          <cell r="AH1871">
            <v>210</v>
          </cell>
          <cell r="AI1871">
            <v>210</v>
          </cell>
          <cell r="AJ1871">
            <v>210</v>
          </cell>
          <cell r="AK1871">
            <v>210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  <cell r="BK1871">
            <v>0</v>
          </cell>
          <cell r="BL1871">
            <v>0</v>
          </cell>
          <cell r="BM1871">
            <v>0</v>
          </cell>
          <cell r="BN1871">
            <v>0</v>
          </cell>
          <cell r="BO1871">
            <v>0</v>
          </cell>
          <cell r="BP1871">
            <v>0</v>
          </cell>
          <cell r="BQ1871">
            <v>0</v>
          </cell>
          <cell r="BR1871">
            <v>0</v>
          </cell>
          <cell r="BS1871">
            <v>0</v>
          </cell>
          <cell r="BT1871">
            <v>0</v>
          </cell>
          <cell r="BU1871">
            <v>0</v>
          </cell>
          <cell r="BV1871">
            <v>0</v>
          </cell>
        </row>
        <row r="1872">
          <cell r="A1872" t="str">
            <v>Volvo</v>
          </cell>
          <cell r="B1872" t="str">
            <v>ROHR - NEW</v>
          </cell>
          <cell r="D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  <cell r="BK1872">
            <v>0</v>
          </cell>
          <cell r="BL1872">
            <v>0</v>
          </cell>
          <cell r="BM1872">
            <v>0</v>
          </cell>
          <cell r="BN1872">
            <v>0</v>
          </cell>
          <cell r="BO1872">
            <v>0</v>
          </cell>
          <cell r="BP1872">
            <v>0</v>
          </cell>
          <cell r="BQ1872">
            <v>0</v>
          </cell>
          <cell r="BR1872">
            <v>0</v>
          </cell>
          <cell r="BS1872">
            <v>0</v>
          </cell>
          <cell r="BT1872">
            <v>0</v>
          </cell>
          <cell r="BU1872">
            <v>0</v>
          </cell>
          <cell r="BV1872">
            <v>0</v>
          </cell>
        </row>
        <row r="1873">
          <cell r="A1873" t="str">
            <v>Volvo</v>
          </cell>
          <cell r="B1873" t="str">
            <v>ROHR - NEW</v>
          </cell>
          <cell r="D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  <cell r="BK1873">
            <v>0</v>
          </cell>
          <cell r="BL1873">
            <v>0</v>
          </cell>
          <cell r="BM1873">
            <v>0</v>
          </cell>
          <cell r="BN1873">
            <v>0</v>
          </cell>
          <cell r="BO1873">
            <v>0</v>
          </cell>
          <cell r="BP1873">
            <v>0</v>
          </cell>
          <cell r="BQ1873">
            <v>0</v>
          </cell>
          <cell r="BR1873">
            <v>0</v>
          </cell>
          <cell r="BS1873">
            <v>0</v>
          </cell>
          <cell r="BT1873">
            <v>0</v>
          </cell>
          <cell r="BU1873">
            <v>0</v>
          </cell>
          <cell r="BV1873">
            <v>0</v>
          </cell>
        </row>
        <row r="1874">
          <cell r="A1874" t="str">
            <v>Volvo</v>
          </cell>
          <cell r="B1874" t="str">
            <v>ROHR - NEW</v>
          </cell>
          <cell r="D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  <cell r="BK1874">
            <v>0</v>
          </cell>
          <cell r="BL1874">
            <v>0</v>
          </cell>
          <cell r="BM1874">
            <v>0</v>
          </cell>
          <cell r="BN1874">
            <v>0</v>
          </cell>
          <cell r="BO1874">
            <v>0</v>
          </cell>
          <cell r="BP1874">
            <v>0</v>
          </cell>
          <cell r="BQ1874">
            <v>0</v>
          </cell>
          <cell r="BR1874">
            <v>0</v>
          </cell>
          <cell r="BS1874">
            <v>0</v>
          </cell>
          <cell r="BT1874">
            <v>0</v>
          </cell>
          <cell r="BU1874">
            <v>0</v>
          </cell>
          <cell r="BV1874">
            <v>0</v>
          </cell>
        </row>
        <row r="1875">
          <cell r="A1875" t="str">
            <v>Volvo</v>
          </cell>
          <cell r="B1875" t="str">
            <v>ROHR - NEW</v>
          </cell>
          <cell r="D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  <cell r="BK1875">
            <v>0</v>
          </cell>
          <cell r="BL1875">
            <v>0</v>
          </cell>
          <cell r="BM1875">
            <v>0</v>
          </cell>
          <cell r="BN1875">
            <v>0</v>
          </cell>
          <cell r="BO1875">
            <v>0</v>
          </cell>
          <cell r="BP1875">
            <v>0</v>
          </cell>
          <cell r="BQ1875">
            <v>0</v>
          </cell>
          <cell r="BR1875">
            <v>0</v>
          </cell>
          <cell r="BS1875">
            <v>0</v>
          </cell>
          <cell r="BT1875">
            <v>0</v>
          </cell>
          <cell r="BU1875">
            <v>0</v>
          </cell>
          <cell r="BV1875">
            <v>0</v>
          </cell>
        </row>
        <row r="1876">
          <cell r="A1876" t="str">
            <v>Volvo</v>
          </cell>
          <cell r="B1876" t="str">
            <v>ROHR - NEW</v>
          </cell>
          <cell r="D1876" t="str">
            <v>Weekly demand</v>
          </cell>
          <cell r="Z1876">
            <v>0</v>
          </cell>
          <cell r="AA1876">
            <v>210</v>
          </cell>
          <cell r="AB1876">
            <v>0</v>
          </cell>
          <cell r="AC1876">
            <v>210</v>
          </cell>
          <cell r="AD1876">
            <v>210</v>
          </cell>
          <cell r="AE1876">
            <v>0</v>
          </cell>
          <cell r="AF1876">
            <v>420</v>
          </cell>
          <cell r="AG1876">
            <v>0</v>
          </cell>
          <cell r="AH1876">
            <v>210</v>
          </cell>
          <cell r="AI1876">
            <v>210</v>
          </cell>
          <cell r="AJ1876">
            <v>210</v>
          </cell>
          <cell r="AK1876">
            <v>210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  <cell r="BK1876">
            <v>0</v>
          </cell>
          <cell r="BL1876">
            <v>2310</v>
          </cell>
          <cell r="BM1876">
            <v>0</v>
          </cell>
          <cell r="BN1876">
            <v>0</v>
          </cell>
          <cell r="BO1876">
            <v>0</v>
          </cell>
          <cell r="BP1876">
            <v>0</v>
          </cell>
          <cell r="BQ1876">
            <v>0</v>
          </cell>
          <cell r="BR1876">
            <v>0</v>
          </cell>
          <cell r="BS1876">
            <v>0</v>
          </cell>
          <cell r="BT1876">
            <v>0</v>
          </cell>
          <cell r="BU1876">
            <v>0</v>
          </cell>
          <cell r="BV1876">
            <v>0</v>
          </cell>
        </row>
        <row r="1877">
          <cell r="A1877" t="str">
            <v>Volvo</v>
          </cell>
          <cell r="B1877" t="str">
            <v>ROHR - NEW</v>
          </cell>
          <cell r="D1877" t="str">
            <v>Stock Target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2550</v>
          </cell>
          <cell r="AK1877">
            <v>2551</v>
          </cell>
          <cell r="AL1877">
            <v>2552</v>
          </cell>
          <cell r="AM1877">
            <v>2552</v>
          </cell>
          <cell r="AN1877">
            <v>2552</v>
          </cell>
          <cell r="AO1877">
            <v>2552</v>
          </cell>
          <cell r="AP1877">
            <v>2552</v>
          </cell>
          <cell r="AQ1877">
            <v>2552</v>
          </cell>
          <cell r="AR1877">
            <v>2552</v>
          </cell>
          <cell r="AS1877">
            <v>2552</v>
          </cell>
          <cell r="AT1877">
            <v>2552</v>
          </cell>
          <cell r="AU1877">
            <v>2552</v>
          </cell>
          <cell r="AV1877">
            <v>2552</v>
          </cell>
          <cell r="AW1877">
            <v>2552</v>
          </cell>
          <cell r="AX1877">
            <v>2552</v>
          </cell>
          <cell r="AY1877">
            <v>2552</v>
          </cell>
          <cell r="AZ1877">
            <v>2552</v>
          </cell>
          <cell r="BA1877">
            <v>2552</v>
          </cell>
          <cell r="BB1877">
            <v>2552</v>
          </cell>
          <cell r="BC1877">
            <v>2552</v>
          </cell>
          <cell r="BD1877">
            <v>2552</v>
          </cell>
          <cell r="BE1877">
            <v>2552</v>
          </cell>
          <cell r="BF1877">
            <v>2552</v>
          </cell>
          <cell r="BG1877">
            <v>2552</v>
          </cell>
          <cell r="BH1877">
            <v>2552</v>
          </cell>
          <cell r="BI1877">
            <v>2552</v>
          </cell>
          <cell r="BJ1877">
            <v>2552</v>
          </cell>
          <cell r="BK1877">
            <v>2552</v>
          </cell>
          <cell r="BL1877">
            <v>2552</v>
          </cell>
          <cell r="BM1877">
            <v>2552</v>
          </cell>
          <cell r="BN1877">
            <v>2553</v>
          </cell>
          <cell r="BO1877">
            <v>2554</v>
          </cell>
          <cell r="BP1877">
            <v>2555</v>
          </cell>
          <cell r="BQ1877">
            <v>2556</v>
          </cell>
          <cell r="BR1877">
            <v>2557</v>
          </cell>
          <cell r="BS1877">
            <v>2558</v>
          </cell>
          <cell r="BT1877">
            <v>2559</v>
          </cell>
          <cell r="BU1877">
            <v>2560</v>
          </cell>
          <cell r="BV1877">
            <v>2561</v>
          </cell>
        </row>
        <row r="1878">
          <cell r="A1878" t="str">
            <v>Volvo</v>
          </cell>
          <cell r="B1878" t="str">
            <v>ROHR - NEW</v>
          </cell>
          <cell r="D1878">
            <v>0</v>
          </cell>
          <cell r="Z1878"/>
          <cell r="AA1878">
            <v>-210</v>
          </cell>
          <cell r="AB1878">
            <v>-210</v>
          </cell>
          <cell r="AC1878">
            <v>-420</v>
          </cell>
          <cell r="AD1878">
            <v>-630</v>
          </cell>
          <cell r="AE1878">
            <v>-630</v>
          </cell>
          <cell r="AF1878">
            <v>-1050</v>
          </cell>
          <cell r="AG1878">
            <v>-1050</v>
          </cell>
          <cell r="AH1878">
            <v>-1260</v>
          </cell>
          <cell r="AI1878">
            <v>-1470</v>
          </cell>
          <cell r="AJ1878">
            <v>-1680</v>
          </cell>
          <cell r="AK1878">
            <v>-1890</v>
          </cell>
          <cell r="AL1878">
            <v>-1890</v>
          </cell>
          <cell r="AM1878">
            <v>-1890</v>
          </cell>
          <cell r="AN1878">
            <v>-1890</v>
          </cell>
          <cell r="AO1878">
            <v>-1890</v>
          </cell>
          <cell r="AP1878">
            <v>-1890</v>
          </cell>
          <cell r="AQ1878">
            <v>-1890</v>
          </cell>
          <cell r="AR1878">
            <v>-1890</v>
          </cell>
          <cell r="AS1878">
            <v>-1890</v>
          </cell>
          <cell r="AT1878">
            <v>-1890</v>
          </cell>
          <cell r="AU1878">
            <v>-1890</v>
          </cell>
          <cell r="AV1878">
            <v>-1890</v>
          </cell>
          <cell r="AW1878">
            <v>-1890</v>
          </cell>
          <cell r="AX1878">
            <v>-1890</v>
          </cell>
          <cell r="AY1878">
            <v>-1890</v>
          </cell>
          <cell r="AZ1878">
            <v>-1890</v>
          </cell>
          <cell r="BA1878">
            <v>-1890</v>
          </cell>
          <cell r="BB1878">
            <v>-1890</v>
          </cell>
          <cell r="BC1878">
            <v>-1890</v>
          </cell>
          <cell r="BD1878">
            <v>-1890</v>
          </cell>
          <cell r="BE1878">
            <v>-1890</v>
          </cell>
          <cell r="BF1878">
            <v>-1890</v>
          </cell>
          <cell r="BG1878">
            <v>-1890</v>
          </cell>
          <cell r="BH1878">
            <v>-1890</v>
          </cell>
          <cell r="BI1878">
            <v>-1890</v>
          </cell>
          <cell r="BJ1878">
            <v>-1890</v>
          </cell>
          <cell r="BK1878">
            <v>-1890</v>
          </cell>
          <cell r="BL1878">
            <v>-1890</v>
          </cell>
          <cell r="BM1878">
            <v>-1890</v>
          </cell>
          <cell r="BN1878">
            <v>-1890</v>
          </cell>
          <cell r="BO1878">
            <v>-1890</v>
          </cell>
          <cell r="BP1878">
            <v>-1890</v>
          </cell>
          <cell r="BQ1878">
            <v>-1890</v>
          </cell>
          <cell r="BR1878">
            <v>-1890</v>
          </cell>
          <cell r="BS1878">
            <v>-1890</v>
          </cell>
          <cell r="BT1878">
            <v>-1890</v>
          </cell>
          <cell r="BU1878">
            <v>-1890</v>
          </cell>
          <cell r="BV1878">
            <v>-1890</v>
          </cell>
        </row>
        <row r="1879">
          <cell r="A1879" t="str">
            <v>Volvo</v>
          </cell>
          <cell r="B1879" t="str">
            <v>ROHR - NEW</v>
          </cell>
          <cell r="D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  <cell r="BK1879">
            <v>0</v>
          </cell>
          <cell r="BL1879">
            <v>0</v>
          </cell>
          <cell r="BM1879">
            <v>0</v>
          </cell>
          <cell r="BN1879">
            <v>0</v>
          </cell>
          <cell r="BO1879">
            <v>0</v>
          </cell>
          <cell r="BP1879">
            <v>0</v>
          </cell>
          <cell r="BQ1879">
            <v>0</v>
          </cell>
          <cell r="BR1879">
            <v>0</v>
          </cell>
          <cell r="BS1879">
            <v>0</v>
          </cell>
          <cell r="BT1879">
            <v>0</v>
          </cell>
          <cell r="BU1879">
            <v>0</v>
          </cell>
          <cell r="BV1879">
            <v>0</v>
          </cell>
        </row>
        <row r="1880">
          <cell r="A1880" t="str">
            <v>Volvo</v>
          </cell>
          <cell r="B1880" t="str">
            <v>ROHR - NEW</v>
          </cell>
          <cell r="D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  <cell r="BK1880">
            <v>0</v>
          </cell>
          <cell r="BL1880">
            <v>0</v>
          </cell>
          <cell r="BM1880">
            <v>0</v>
          </cell>
          <cell r="BN1880">
            <v>0</v>
          </cell>
          <cell r="BO1880">
            <v>0</v>
          </cell>
          <cell r="BP1880">
            <v>0</v>
          </cell>
          <cell r="BQ1880">
            <v>0</v>
          </cell>
          <cell r="BR1880">
            <v>0</v>
          </cell>
          <cell r="BS1880">
            <v>0</v>
          </cell>
          <cell r="BT1880">
            <v>0</v>
          </cell>
          <cell r="BU1880">
            <v>0</v>
          </cell>
          <cell r="BV1880">
            <v>0</v>
          </cell>
        </row>
        <row r="1881">
          <cell r="A1881" t="str">
            <v>Volvo</v>
          </cell>
          <cell r="B1881" t="str">
            <v>ROHR - NEW</v>
          </cell>
          <cell r="D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  <cell r="BK1881">
            <v>0</v>
          </cell>
          <cell r="BL1881">
            <v>0</v>
          </cell>
          <cell r="BM1881">
            <v>0</v>
          </cell>
          <cell r="BN1881">
            <v>0</v>
          </cell>
          <cell r="BO1881">
            <v>0</v>
          </cell>
          <cell r="BP1881">
            <v>0</v>
          </cell>
          <cell r="BQ1881">
            <v>0</v>
          </cell>
          <cell r="BR1881">
            <v>0</v>
          </cell>
          <cell r="BS1881">
            <v>0</v>
          </cell>
          <cell r="BT1881">
            <v>0</v>
          </cell>
          <cell r="BU1881">
            <v>0</v>
          </cell>
          <cell r="BV1881">
            <v>0</v>
          </cell>
        </row>
        <row r="1882">
          <cell r="A1882" t="str">
            <v>Volvo</v>
          </cell>
          <cell r="B1882" t="str">
            <v>ROHR - NEW</v>
          </cell>
          <cell r="D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  <cell r="BK1882">
            <v>0</v>
          </cell>
          <cell r="BL1882">
            <v>0</v>
          </cell>
          <cell r="BM1882">
            <v>0</v>
          </cell>
          <cell r="BN1882">
            <v>0</v>
          </cell>
          <cell r="BO1882">
            <v>0</v>
          </cell>
          <cell r="BP1882">
            <v>0</v>
          </cell>
          <cell r="BQ1882">
            <v>0</v>
          </cell>
          <cell r="BR1882">
            <v>0</v>
          </cell>
          <cell r="BS1882">
            <v>0</v>
          </cell>
          <cell r="BT1882">
            <v>0</v>
          </cell>
          <cell r="BU1882">
            <v>0</v>
          </cell>
          <cell r="BV1882">
            <v>0</v>
          </cell>
        </row>
        <row r="1883">
          <cell r="A1883" t="str">
            <v>Volvo</v>
          </cell>
          <cell r="B1883" t="str">
            <v>ROHR - NEW</v>
          </cell>
          <cell r="D1883" t="str">
            <v>STOCK</v>
          </cell>
          <cell r="Z1883">
            <v>0</v>
          </cell>
          <cell r="AA1883">
            <v>-17.90574575258259</v>
          </cell>
          <cell r="AB1883">
            <v>174.18850849483482</v>
          </cell>
          <cell r="AC1883">
            <v>156.28276274225223</v>
          </cell>
          <cell r="AD1883">
            <v>522.56552548450441</v>
          </cell>
          <cell r="AE1883">
            <v>714.65977973192184</v>
          </cell>
          <cell r="AF1883">
            <v>486.75403397933928</v>
          </cell>
          <cell r="AG1883">
            <v>678.84828822675672</v>
          </cell>
          <cell r="AH1883">
            <v>1429.3195594638437</v>
          </cell>
          <cell r="AI1883">
            <v>2179.7908307009307</v>
          </cell>
          <cell r="AJ1883">
            <v>2930.2621019380176</v>
          </cell>
          <cell r="AK1883">
            <v>3488.6391189276874</v>
          </cell>
          <cell r="AL1883">
            <v>4257.0161359173571</v>
          </cell>
          <cell r="AM1883">
            <v>5217.4874071544446</v>
          </cell>
          <cell r="AN1883">
            <v>5985.8644241441143</v>
          </cell>
          <cell r="AO1883">
            <v>6946.3356953812017</v>
          </cell>
          <cell r="AP1883">
            <v>7906.8069666182892</v>
          </cell>
          <cell r="AQ1883">
            <v>8867.2782378553766</v>
          </cell>
          <cell r="AR1883">
            <v>9827.749509092464</v>
          </cell>
          <cell r="AS1883">
            <v>10788.220780329551</v>
          </cell>
          <cell r="AT1883">
            <v>11748.692051566639</v>
          </cell>
          <cell r="AU1883">
            <v>12709.163322803726</v>
          </cell>
          <cell r="AV1883">
            <v>13669.634594040814</v>
          </cell>
          <cell r="AW1883">
            <v>14630.105865277901</v>
          </cell>
          <cell r="AX1883">
            <v>15590.577136514989</v>
          </cell>
          <cell r="AY1883">
            <v>16551.048407752074</v>
          </cell>
          <cell r="AZ1883">
            <v>16551.048407752074</v>
          </cell>
          <cell r="BA1883">
            <v>16551.048407752074</v>
          </cell>
          <cell r="BB1883">
            <v>17511.51967898916</v>
          </cell>
          <cell r="BC1883">
            <v>18471.990950226245</v>
          </cell>
          <cell r="BD1883">
            <v>19432.462221463331</v>
          </cell>
          <cell r="BE1883">
            <v>20392.933492700417</v>
          </cell>
          <cell r="BF1883">
            <v>23274.347306411677</v>
          </cell>
          <cell r="BG1883">
            <v>26155.761120122937</v>
          </cell>
          <cell r="BH1883">
            <v>29037.174933834198</v>
          </cell>
          <cell r="BI1883">
            <v>32494.87151028771</v>
          </cell>
          <cell r="BJ1883">
            <v>35952.568086741223</v>
          </cell>
          <cell r="BK1883">
            <v>39410.264663194735</v>
          </cell>
          <cell r="BL1883">
            <v>39174.882609066844</v>
          </cell>
          <cell r="BM1883">
            <v>41249.500554938953</v>
          </cell>
          <cell r="BN1883">
            <v>43324.118500811062</v>
          </cell>
          <cell r="BO1883">
            <v>45398.736446683171</v>
          </cell>
          <cell r="BP1883">
            <v>47473.35439255528</v>
          </cell>
          <cell r="BQ1883">
            <v>49547.972338427389</v>
          </cell>
          <cell r="BR1883">
            <v>51622.590284299498</v>
          </cell>
          <cell r="BS1883">
            <v>53697.208230171607</v>
          </cell>
          <cell r="BT1883">
            <v>55771.826176043716</v>
          </cell>
          <cell r="BU1883">
            <v>57846.444121915825</v>
          </cell>
          <cell r="BV1883">
            <v>59921.062067787934</v>
          </cell>
        </row>
        <row r="1884">
          <cell r="A1884" t="str">
            <v>Blank</v>
          </cell>
          <cell r="B1884" t="str">
            <v>Blank</v>
          </cell>
          <cell r="D1884" t="str">
            <v>Blank</v>
          </cell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</row>
        <row r="1885">
          <cell r="A1885" t="str">
            <v>Volvo</v>
          </cell>
          <cell r="B1885" t="str">
            <v>ROHR - NEW</v>
          </cell>
          <cell r="D1885" t="str">
            <v>Work days</v>
          </cell>
          <cell r="Z1885">
            <v>5</v>
          </cell>
          <cell r="AA1885">
            <v>5</v>
          </cell>
          <cell r="AB1885">
            <v>5</v>
          </cell>
          <cell r="AC1885">
            <v>5</v>
          </cell>
          <cell r="AD1885">
            <v>3</v>
          </cell>
          <cell r="AE1885">
            <v>5</v>
          </cell>
          <cell r="AF1885">
            <v>5</v>
          </cell>
          <cell r="AG1885">
            <v>5</v>
          </cell>
          <cell r="AH1885">
            <v>5</v>
          </cell>
          <cell r="AI1885">
            <v>5</v>
          </cell>
          <cell r="AJ1885">
            <v>5</v>
          </cell>
          <cell r="AK1885">
            <v>4</v>
          </cell>
          <cell r="AL1885">
            <v>4</v>
          </cell>
          <cell r="AM1885">
            <v>5</v>
          </cell>
          <cell r="AN1885">
            <v>4</v>
          </cell>
          <cell r="AO1885">
            <v>5</v>
          </cell>
          <cell r="AP1885">
            <v>5</v>
          </cell>
          <cell r="AQ1885">
            <v>5</v>
          </cell>
          <cell r="AR1885">
            <v>5</v>
          </cell>
          <cell r="AS1885">
            <v>5</v>
          </cell>
          <cell r="AT1885">
            <v>5</v>
          </cell>
          <cell r="AU1885">
            <v>5</v>
          </cell>
          <cell r="AV1885">
            <v>5</v>
          </cell>
          <cell r="AW1885">
            <v>5</v>
          </cell>
          <cell r="AX1885">
            <v>5</v>
          </cell>
          <cell r="AY1885">
            <v>5</v>
          </cell>
          <cell r="AZ1885">
            <v>0</v>
          </cell>
          <cell r="BA1885">
            <v>0</v>
          </cell>
          <cell r="BB1885">
            <v>5</v>
          </cell>
          <cell r="BC1885">
            <v>5</v>
          </cell>
          <cell r="BD1885">
            <v>5</v>
          </cell>
          <cell r="BE1885">
            <v>5</v>
          </cell>
          <cell r="BF1885">
            <v>5</v>
          </cell>
          <cell r="BG1885">
            <v>5</v>
          </cell>
          <cell r="BH1885">
            <v>5</v>
          </cell>
          <cell r="BI1885">
            <v>5</v>
          </cell>
          <cell r="BJ1885">
            <v>5</v>
          </cell>
          <cell r="BK1885">
            <v>5</v>
          </cell>
          <cell r="BL1885">
            <v>3</v>
          </cell>
          <cell r="BM1885">
            <v>3</v>
          </cell>
          <cell r="BN1885">
            <v>3</v>
          </cell>
          <cell r="BO1885">
            <v>3</v>
          </cell>
          <cell r="BP1885">
            <v>3</v>
          </cell>
          <cell r="BQ1885">
            <v>3</v>
          </cell>
          <cell r="BR1885">
            <v>3</v>
          </cell>
          <cell r="BS1885">
            <v>3</v>
          </cell>
          <cell r="BT1885">
            <v>3</v>
          </cell>
          <cell r="BU1885">
            <v>3</v>
          </cell>
          <cell r="BV1885">
            <v>3</v>
          </cell>
        </row>
        <row r="1886">
          <cell r="A1886" t="str">
            <v>Volvo</v>
          </cell>
          <cell r="B1886" t="str">
            <v>ROHR - NEW</v>
          </cell>
          <cell r="D1886" t="str">
            <v>SHIFT A HC - operators</v>
          </cell>
          <cell r="Z1886">
            <v>2</v>
          </cell>
          <cell r="AA1886">
            <v>2</v>
          </cell>
          <cell r="AB1886">
            <v>2</v>
          </cell>
          <cell r="AC1886">
            <v>2</v>
          </cell>
          <cell r="AD1886">
            <v>2</v>
          </cell>
          <cell r="AE1886">
            <v>2</v>
          </cell>
          <cell r="AF1886">
            <v>2</v>
          </cell>
          <cell r="AG1886">
            <v>2</v>
          </cell>
          <cell r="AH1886">
            <v>2</v>
          </cell>
          <cell r="AI1886">
            <v>2</v>
          </cell>
          <cell r="AJ1886">
            <v>2</v>
          </cell>
          <cell r="AK1886">
            <v>2</v>
          </cell>
          <cell r="AL1886">
            <v>2</v>
          </cell>
          <cell r="AM1886">
            <v>2</v>
          </cell>
          <cell r="AN1886">
            <v>2</v>
          </cell>
          <cell r="AO1886">
            <v>2</v>
          </cell>
          <cell r="AP1886">
            <v>2</v>
          </cell>
          <cell r="AQ1886">
            <v>2</v>
          </cell>
          <cell r="AR1886">
            <v>2</v>
          </cell>
          <cell r="AS1886">
            <v>2</v>
          </cell>
          <cell r="AT1886">
            <v>2</v>
          </cell>
          <cell r="AU1886">
            <v>2</v>
          </cell>
          <cell r="AV1886">
            <v>2</v>
          </cell>
          <cell r="AW1886">
            <v>2</v>
          </cell>
          <cell r="AX1886">
            <v>2</v>
          </cell>
          <cell r="AY1886">
            <v>2</v>
          </cell>
          <cell r="AZ1886">
            <v>2</v>
          </cell>
          <cell r="BA1886">
            <v>2</v>
          </cell>
          <cell r="BB1886">
            <v>2</v>
          </cell>
          <cell r="BC1886">
            <v>2</v>
          </cell>
          <cell r="BD1886">
            <v>2</v>
          </cell>
          <cell r="BE1886">
            <v>2</v>
          </cell>
          <cell r="BF1886">
            <v>2</v>
          </cell>
          <cell r="BG1886">
            <v>2</v>
          </cell>
          <cell r="BH1886">
            <v>2</v>
          </cell>
          <cell r="BI1886">
            <v>2</v>
          </cell>
          <cell r="BJ1886">
            <v>2</v>
          </cell>
          <cell r="BK1886">
            <v>3</v>
          </cell>
          <cell r="BL1886">
            <v>3</v>
          </cell>
          <cell r="BM1886">
            <v>3</v>
          </cell>
          <cell r="BN1886">
            <v>3</v>
          </cell>
          <cell r="BO1886">
            <v>3</v>
          </cell>
          <cell r="BP1886">
            <v>3</v>
          </cell>
          <cell r="BQ1886">
            <v>3</v>
          </cell>
          <cell r="BR1886">
            <v>3</v>
          </cell>
          <cell r="BS1886">
            <v>3</v>
          </cell>
          <cell r="BT1886">
            <v>3</v>
          </cell>
          <cell r="BU1886">
            <v>3</v>
          </cell>
          <cell r="BV1886">
            <v>3</v>
          </cell>
        </row>
        <row r="1887">
          <cell r="A1887" t="str">
            <v>Volvo</v>
          </cell>
          <cell r="B1887" t="str">
            <v>ROHR - NEW</v>
          </cell>
          <cell r="D1887" t="str">
            <v>SHIFT B HC  - operators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  <cell r="BK1887">
            <v>0</v>
          </cell>
          <cell r="BL1887">
            <v>0</v>
          </cell>
          <cell r="BM1887">
            <v>0</v>
          </cell>
          <cell r="BN1887">
            <v>0</v>
          </cell>
          <cell r="BO1887">
            <v>0</v>
          </cell>
          <cell r="BP1887">
            <v>0</v>
          </cell>
          <cell r="BQ1887">
            <v>0</v>
          </cell>
          <cell r="BR1887">
            <v>0</v>
          </cell>
          <cell r="BS1887">
            <v>0</v>
          </cell>
          <cell r="BT1887">
            <v>0</v>
          </cell>
          <cell r="BU1887">
            <v>0</v>
          </cell>
          <cell r="BV1887">
            <v>0</v>
          </cell>
        </row>
        <row r="1888">
          <cell r="A1888" t="str">
            <v>Volvo</v>
          </cell>
          <cell r="B1888" t="str">
            <v>ROHR - NEW</v>
          </cell>
          <cell r="D1888" t="str">
            <v>SHIFT C HC  - operators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  <cell r="BK1888">
            <v>0</v>
          </cell>
          <cell r="BL1888">
            <v>0</v>
          </cell>
          <cell r="BM1888">
            <v>0</v>
          </cell>
          <cell r="BN1888">
            <v>0</v>
          </cell>
          <cell r="BO1888">
            <v>0</v>
          </cell>
          <cell r="BP1888">
            <v>0</v>
          </cell>
          <cell r="BQ1888">
            <v>0</v>
          </cell>
          <cell r="BR1888">
            <v>0</v>
          </cell>
          <cell r="BS1888">
            <v>0</v>
          </cell>
          <cell r="BT1888">
            <v>0</v>
          </cell>
          <cell r="BU1888">
            <v>0</v>
          </cell>
          <cell r="BV1888">
            <v>0</v>
          </cell>
        </row>
        <row r="1889">
          <cell r="A1889" t="str">
            <v>Volvo</v>
          </cell>
          <cell r="B1889" t="str">
            <v>ROHR - NEW</v>
          </cell>
          <cell r="D1889" t="str">
            <v>Total HC</v>
          </cell>
          <cell r="Z1889">
            <v>2</v>
          </cell>
          <cell r="AA1889">
            <v>2</v>
          </cell>
          <cell r="AB1889">
            <v>2</v>
          </cell>
          <cell r="AC1889">
            <v>2</v>
          </cell>
          <cell r="AD1889">
            <v>2</v>
          </cell>
          <cell r="AE1889">
            <v>2</v>
          </cell>
          <cell r="AF1889">
            <v>2</v>
          </cell>
          <cell r="AG1889">
            <v>2</v>
          </cell>
          <cell r="AH1889">
            <v>2</v>
          </cell>
          <cell r="AI1889">
            <v>2</v>
          </cell>
          <cell r="AJ1889">
            <v>2</v>
          </cell>
          <cell r="AK1889">
            <v>2</v>
          </cell>
          <cell r="AL1889">
            <v>2</v>
          </cell>
          <cell r="AM1889">
            <v>2</v>
          </cell>
          <cell r="AN1889">
            <v>2</v>
          </cell>
          <cell r="AO1889">
            <v>2</v>
          </cell>
          <cell r="AP1889">
            <v>2</v>
          </cell>
          <cell r="AQ1889">
            <v>2</v>
          </cell>
          <cell r="AR1889">
            <v>2</v>
          </cell>
          <cell r="AS1889">
            <v>2</v>
          </cell>
          <cell r="AT1889">
            <v>2</v>
          </cell>
          <cell r="AU1889">
            <v>2</v>
          </cell>
          <cell r="AV1889">
            <v>2</v>
          </cell>
          <cell r="AW1889">
            <v>2</v>
          </cell>
          <cell r="AX1889">
            <v>2</v>
          </cell>
          <cell r="AY1889">
            <v>2</v>
          </cell>
          <cell r="AZ1889">
            <v>2</v>
          </cell>
          <cell r="BA1889">
            <v>2</v>
          </cell>
          <cell r="BB1889">
            <v>2</v>
          </cell>
          <cell r="BC1889">
            <v>2</v>
          </cell>
          <cell r="BD1889">
            <v>2</v>
          </cell>
          <cell r="BE1889">
            <v>2</v>
          </cell>
          <cell r="BF1889">
            <v>2</v>
          </cell>
          <cell r="BG1889">
            <v>2</v>
          </cell>
          <cell r="BH1889">
            <v>2</v>
          </cell>
          <cell r="BI1889">
            <v>2</v>
          </cell>
          <cell r="BJ1889">
            <v>2</v>
          </cell>
          <cell r="BK1889">
            <v>3</v>
          </cell>
          <cell r="BL1889">
            <v>3</v>
          </cell>
          <cell r="BM1889">
            <v>3</v>
          </cell>
          <cell r="BN1889">
            <v>3</v>
          </cell>
          <cell r="BO1889">
            <v>3</v>
          </cell>
          <cell r="BP1889">
            <v>3</v>
          </cell>
          <cell r="BQ1889">
            <v>3</v>
          </cell>
          <cell r="BR1889">
            <v>3</v>
          </cell>
          <cell r="BS1889">
            <v>3</v>
          </cell>
          <cell r="BT1889">
            <v>3</v>
          </cell>
          <cell r="BU1889">
            <v>3</v>
          </cell>
          <cell r="BV1889">
            <v>3</v>
          </cell>
        </row>
        <row r="1890">
          <cell r="A1890" t="str">
            <v>Volvo</v>
          </cell>
          <cell r="B1890" t="str">
            <v>ROHR - NEW</v>
          </cell>
          <cell r="D1890" t="str">
            <v>SHIFT A HC  - efficiency</v>
          </cell>
          <cell r="Z1890">
            <v>0.2</v>
          </cell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>
            <v>1.2</v>
          </cell>
          <cell r="BL1890">
            <v>1.2</v>
          </cell>
          <cell r="BM1890">
            <v>1.2</v>
          </cell>
          <cell r="BN1890">
            <v>1.2</v>
          </cell>
          <cell r="BO1890">
            <v>1.2</v>
          </cell>
          <cell r="BP1890">
            <v>1.2</v>
          </cell>
          <cell r="BQ1890">
            <v>1.2</v>
          </cell>
          <cell r="BR1890">
            <v>1.2</v>
          </cell>
          <cell r="BS1890">
            <v>1.2</v>
          </cell>
          <cell r="BT1890">
            <v>1.2</v>
          </cell>
          <cell r="BU1890">
            <v>1.2</v>
          </cell>
          <cell r="BV1890">
            <v>1.2</v>
          </cell>
        </row>
        <row r="1891">
          <cell r="A1891" t="str">
            <v>Volvo</v>
          </cell>
          <cell r="B1891" t="str">
            <v>ROHR - NEW</v>
          </cell>
          <cell r="D1891" t="str">
            <v>SHIFT B HC  - efficiency</v>
          </cell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>
            <v>1</v>
          </cell>
          <cell r="BL1891">
            <v>1</v>
          </cell>
          <cell r="BM1891">
            <v>1</v>
          </cell>
          <cell r="BN1891">
            <v>1</v>
          </cell>
          <cell r="BO1891">
            <v>1</v>
          </cell>
          <cell r="BP1891">
            <v>1</v>
          </cell>
          <cell r="BQ1891">
            <v>1</v>
          </cell>
          <cell r="BR1891">
            <v>1</v>
          </cell>
          <cell r="BS1891">
            <v>1</v>
          </cell>
          <cell r="BT1891">
            <v>1</v>
          </cell>
          <cell r="BU1891">
            <v>1</v>
          </cell>
          <cell r="BV1891">
            <v>1</v>
          </cell>
        </row>
        <row r="1892">
          <cell r="A1892" t="str">
            <v>Volvo</v>
          </cell>
          <cell r="B1892" t="str">
            <v>ROHR - NEW</v>
          </cell>
          <cell r="D1892" t="str">
            <v>SHIFT C HC  - efficiency</v>
          </cell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>
            <v>1</v>
          </cell>
          <cell r="BL1892">
            <v>1</v>
          </cell>
          <cell r="BM1892">
            <v>1</v>
          </cell>
          <cell r="BN1892">
            <v>1</v>
          </cell>
          <cell r="BO1892">
            <v>1</v>
          </cell>
          <cell r="BP1892">
            <v>1</v>
          </cell>
          <cell r="BQ1892">
            <v>1</v>
          </cell>
          <cell r="BR1892">
            <v>1</v>
          </cell>
          <cell r="BS1892">
            <v>1</v>
          </cell>
          <cell r="BT1892">
            <v>1</v>
          </cell>
          <cell r="BU1892">
            <v>1</v>
          </cell>
          <cell r="BV1892">
            <v>1</v>
          </cell>
        </row>
        <row r="1893">
          <cell r="A1893" t="str">
            <v>Volvo</v>
          </cell>
          <cell r="B1893" t="str">
            <v>ROHR - NEW</v>
          </cell>
          <cell r="D1893" t="str">
            <v>Total efficiency</v>
          </cell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</row>
        <row r="1894">
          <cell r="A1894" t="str">
            <v>Volvo</v>
          </cell>
          <cell r="B1894" t="str">
            <v>ROHR - NEW</v>
          </cell>
          <cell r="D1894" t="str">
            <v>SHIFT A - output</v>
          </cell>
          <cell r="Z1894">
            <v>33.771106941838653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  <cell r="BK1894">
            <v>303.93996247654786</v>
          </cell>
          <cell r="BL1894">
            <v>303.93996247654786</v>
          </cell>
          <cell r="BM1894">
            <v>303.93996247654786</v>
          </cell>
          <cell r="BN1894">
            <v>303.93996247654786</v>
          </cell>
          <cell r="BO1894">
            <v>303.93996247654786</v>
          </cell>
          <cell r="BP1894">
            <v>303.93996247654786</v>
          </cell>
          <cell r="BQ1894">
            <v>303.93996247654786</v>
          </cell>
          <cell r="BR1894">
            <v>303.93996247654786</v>
          </cell>
          <cell r="BS1894">
            <v>303.93996247654786</v>
          </cell>
          <cell r="BT1894">
            <v>303.93996247654786</v>
          </cell>
          <cell r="BU1894">
            <v>303.93996247654786</v>
          </cell>
          <cell r="BV1894">
            <v>303.93996247654786</v>
          </cell>
        </row>
        <row r="1895">
          <cell r="A1895" t="str">
            <v>Volvo</v>
          </cell>
          <cell r="B1895" t="str">
            <v>ROHR - NEW</v>
          </cell>
          <cell r="D1895" t="str">
            <v>SHIFT B  - output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  <cell r="BK1895">
            <v>0</v>
          </cell>
          <cell r="BL1895">
            <v>0</v>
          </cell>
          <cell r="BM1895">
            <v>0</v>
          </cell>
          <cell r="BN1895">
            <v>0</v>
          </cell>
          <cell r="BO1895">
            <v>0</v>
          </cell>
          <cell r="BP1895">
            <v>0</v>
          </cell>
          <cell r="BQ1895">
            <v>0</v>
          </cell>
          <cell r="BR1895">
            <v>0</v>
          </cell>
          <cell r="BS1895">
            <v>0</v>
          </cell>
          <cell r="BT1895">
            <v>0</v>
          </cell>
          <cell r="BU1895">
            <v>0</v>
          </cell>
          <cell r="BV1895">
            <v>0</v>
          </cell>
        </row>
        <row r="1896">
          <cell r="A1896" t="str">
            <v>Volvo</v>
          </cell>
          <cell r="B1896" t="str">
            <v>ROHR - NEW</v>
          </cell>
          <cell r="D1896" t="str">
            <v>SHIFT C  - output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  <cell r="BK1896">
            <v>0</v>
          </cell>
          <cell r="BL1896">
            <v>0</v>
          </cell>
          <cell r="BM1896">
            <v>0</v>
          </cell>
          <cell r="BN1896">
            <v>0</v>
          </cell>
          <cell r="BO1896">
            <v>0</v>
          </cell>
          <cell r="BP1896">
            <v>0</v>
          </cell>
          <cell r="BQ1896">
            <v>0</v>
          </cell>
          <cell r="BR1896">
            <v>0</v>
          </cell>
          <cell r="BS1896">
            <v>0</v>
          </cell>
          <cell r="BT1896">
            <v>0</v>
          </cell>
          <cell r="BU1896">
            <v>0</v>
          </cell>
          <cell r="BV1896">
            <v>0</v>
          </cell>
        </row>
        <row r="1897">
          <cell r="A1897" t="str">
            <v>Volvo</v>
          </cell>
          <cell r="B1897" t="str">
            <v>ROHR - NEW</v>
          </cell>
          <cell r="D1897" t="str">
            <v>Est. Output (Pcs day)</v>
          </cell>
          <cell r="E1897">
            <v>5.33</v>
          </cell>
          <cell r="Z1897">
            <v>33.771106941838653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  <cell r="BK1897">
            <v>303.93996247654786</v>
          </cell>
          <cell r="BL1897">
            <v>303.93996247654786</v>
          </cell>
          <cell r="BM1897">
            <v>303.93996247654786</v>
          </cell>
          <cell r="BN1897">
            <v>303.93996247654786</v>
          </cell>
          <cell r="BO1897">
            <v>303.93996247654786</v>
          </cell>
          <cell r="BP1897">
            <v>303.93996247654786</v>
          </cell>
          <cell r="BQ1897">
            <v>303.93996247654786</v>
          </cell>
          <cell r="BR1897">
            <v>303.93996247654786</v>
          </cell>
          <cell r="BS1897">
            <v>303.93996247654786</v>
          </cell>
          <cell r="BT1897">
            <v>303.93996247654786</v>
          </cell>
          <cell r="BU1897">
            <v>303.93996247654786</v>
          </cell>
          <cell r="BV1897">
            <v>303.93996247654786</v>
          </cell>
        </row>
        <row r="1898">
          <cell r="A1898" t="str">
            <v>Volvo</v>
          </cell>
          <cell r="B1898" t="str">
            <v>ROHR - NEW</v>
          </cell>
          <cell r="D1898" t="str">
            <v>Weekly Output PLAN</v>
          </cell>
          <cell r="E1898" t="str">
            <v>SEW</v>
          </cell>
          <cell r="Z1898">
            <v>168.85553470919325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  <cell r="BK1898">
            <v>1519.6998123827393</v>
          </cell>
          <cell r="BL1898">
            <v>911.81988742964359</v>
          </cell>
          <cell r="BM1898">
            <v>911.81988742964359</v>
          </cell>
          <cell r="BN1898">
            <v>911.81988742964359</v>
          </cell>
          <cell r="BO1898">
            <v>911.81988742964359</v>
          </cell>
          <cell r="BP1898">
            <v>911.81988742964359</v>
          </cell>
          <cell r="BQ1898">
            <v>911.81988742964359</v>
          </cell>
          <cell r="BR1898">
            <v>911.81988742964359</v>
          </cell>
          <cell r="BS1898">
            <v>911.81988742964359</v>
          </cell>
          <cell r="BT1898">
            <v>911.81988742964359</v>
          </cell>
          <cell r="BU1898">
            <v>911.81988742964359</v>
          </cell>
          <cell r="BV1898">
            <v>911.81988742964359</v>
          </cell>
        </row>
        <row r="1899">
          <cell r="A1899" t="str">
            <v>Volvo</v>
          </cell>
          <cell r="B1899" t="str">
            <v>ROHR - NEW</v>
          </cell>
          <cell r="D1899" t="str">
            <v>Bolster</v>
          </cell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</row>
        <row r="1900">
          <cell r="A1900" t="str">
            <v>Volvo</v>
          </cell>
          <cell r="B1900" t="str">
            <v>ROHR - NEW</v>
          </cell>
          <cell r="D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</row>
        <row r="1901">
          <cell r="A1901" t="str">
            <v>Volvo</v>
          </cell>
          <cell r="B1901" t="str">
            <v>ROHR - NEW</v>
          </cell>
          <cell r="D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</row>
        <row r="1902">
          <cell r="A1902" t="str">
            <v>Volvo</v>
          </cell>
          <cell r="B1902" t="str">
            <v>ROHR - NEW</v>
          </cell>
          <cell r="D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</row>
        <row r="1903">
          <cell r="A1903" t="str">
            <v>Volvo</v>
          </cell>
          <cell r="B1903" t="str">
            <v>ROHR - NEW</v>
          </cell>
          <cell r="D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</row>
        <row r="1904">
          <cell r="A1904" t="str">
            <v>Volvo</v>
          </cell>
          <cell r="B1904" t="str">
            <v>ROHR - NEW</v>
          </cell>
          <cell r="D1904" t="str">
            <v>Weekly Output PLAN - SUM of models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  <cell r="BK1904">
            <v>0</v>
          </cell>
          <cell r="BL1904">
            <v>0</v>
          </cell>
          <cell r="BM1904">
            <v>0</v>
          </cell>
          <cell r="BN1904">
            <v>0</v>
          </cell>
          <cell r="BO1904">
            <v>0</v>
          </cell>
          <cell r="BP1904">
            <v>0</v>
          </cell>
          <cell r="BQ1904">
            <v>0</v>
          </cell>
          <cell r="BR1904">
            <v>0</v>
          </cell>
          <cell r="BS1904">
            <v>0</v>
          </cell>
          <cell r="BT1904">
            <v>0</v>
          </cell>
          <cell r="BU1904">
            <v>0</v>
          </cell>
          <cell r="BV1904">
            <v>0</v>
          </cell>
        </row>
        <row r="1905">
          <cell r="A1905" t="str">
            <v>Volvo</v>
          </cell>
          <cell r="B1905" t="str">
            <v>ROHR - NEW</v>
          </cell>
          <cell r="D1905" t="str">
            <v>Weekly Output CHECK with TO time multiple</v>
          </cell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</row>
        <row r="1906">
          <cell r="A1906" t="str">
            <v>Volvo</v>
          </cell>
          <cell r="B1906" t="str">
            <v>ROHR - NEW</v>
          </cell>
          <cell r="D1906" t="str">
            <v>Weekly Output ACT</v>
          </cell>
          <cell r="Z1906">
            <v>168.85553470919325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  <cell r="BK1906">
            <v>1519.6998123827393</v>
          </cell>
          <cell r="BL1906">
            <v>911.81988742964359</v>
          </cell>
          <cell r="BM1906">
            <v>911.81988742964359</v>
          </cell>
          <cell r="BN1906">
            <v>911.81988742964359</v>
          </cell>
          <cell r="BO1906">
            <v>911.81988742964359</v>
          </cell>
          <cell r="BP1906">
            <v>911.81988742964359</v>
          </cell>
          <cell r="BQ1906">
            <v>911.81988742964359</v>
          </cell>
          <cell r="BR1906">
            <v>911.81988742964359</v>
          </cell>
          <cell r="BS1906">
            <v>911.81988742964359</v>
          </cell>
          <cell r="BT1906">
            <v>911.81988742964359</v>
          </cell>
          <cell r="BU1906">
            <v>911.81988742964359</v>
          </cell>
          <cell r="BV1906">
            <v>911.81988742964359</v>
          </cell>
        </row>
        <row r="1907">
          <cell r="A1907" t="str">
            <v>Volvo</v>
          </cell>
          <cell r="B1907" t="str">
            <v>ROHR - NEW</v>
          </cell>
          <cell r="D1907" t="str">
            <v>Bolster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  <cell r="BK1907">
            <v>0</v>
          </cell>
          <cell r="BL1907">
            <v>0</v>
          </cell>
          <cell r="BM1907">
            <v>0</v>
          </cell>
          <cell r="BN1907">
            <v>0</v>
          </cell>
          <cell r="BO1907">
            <v>0</v>
          </cell>
          <cell r="BP1907">
            <v>0</v>
          </cell>
          <cell r="BQ1907">
            <v>0</v>
          </cell>
          <cell r="BR1907">
            <v>0</v>
          </cell>
          <cell r="BS1907">
            <v>0</v>
          </cell>
          <cell r="BT1907">
            <v>0</v>
          </cell>
          <cell r="BU1907">
            <v>0</v>
          </cell>
          <cell r="BV1907">
            <v>0</v>
          </cell>
        </row>
        <row r="1908">
          <cell r="A1908" t="str">
            <v>Volvo</v>
          </cell>
          <cell r="B1908" t="str">
            <v>ROHR - NEW</v>
          </cell>
          <cell r="D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  <cell r="BK1908">
            <v>0</v>
          </cell>
          <cell r="BL1908">
            <v>0</v>
          </cell>
          <cell r="BM1908">
            <v>0</v>
          </cell>
          <cell r="BN1908">
            <v>0</v>
          </cell>
          <cell r="BO1908">
            <v>0</v>
          </cell>
          <cell r="BP1908">
            <v>0</v>
          </cell>
          <cell r="BQ1908">
            <v>0</v>
          </cell>
          <cell r="BR1908">
            <v>0</v>
          </cell>
          <cell r="BS1908">
            <v>0</v>
          </cell>
          <cell r="BT1908">
            <v>0</v>
          </cell>
          <cell r="BU1908">
            <v>0</v>
          </cell>
          <cell r="BV1908">
            <v>0</v>
          </cell>
        </row>
        <row r="1909">
          <cell r="A1909" t="str">
            <v>Volvo</v>
          </cell>
          <cell r="B1909" t="str">
            <v>ROHR - NEW</v>
          </cell>
          <cell r="D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  <cell r="BK1909">
            <v>0</v>
          </cell>
          <cell r="BL1909">
            <v>0</v>
          </cell>
          <cell r="BM1909">
            <v>0</v>
          </cell>
          <cell r="BN1909">
            <v>0</v>
          </cell>
          <cell r="BO1909">
            <v>0</v>
          </cell>
          <cell r="BP1909">
            <v>0</v>
          </cell>
          <cell r="BQ1909">
            <v>0</v>
          </cell>
          <cell r="BR1909">
            <v>0</v>
          </cell>
          <cell r="BS1909">
            <v>0</v>
          </cell>
          <cell r="BT1909">
            <v>0</v>
          </cell>
          <cell r="BU1909">
            <v>0</v>
          </cell>
          <cell r="BV1909">
            <v>0</v>
          </cell>
        </row>
        <row r="1910">
          <cell r="A1910" t="str">
            <v>Volvo</v>
          </cell>
          <cell r="B1910" t="str">
            <v>ROHR - NEW</v>
          </cell>
          <cell r="D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  <cell r="BK1910">
            <v>0</v>
          </cell>
          <cell r="BL1910">
            <v>0</v>
          </cell>
          <cell r="BM1910">
            <v>0</v>
          </cell>
          <cell r="BN1910">
            <v>0</v>
          </cell>
          <cell r="BO1910">
            <v>0</v>
          </cell>
          <cell r="BP1910">
            <v>0</v>
          </cell>
          <cell r="BQ1910">
            <v>0</v>
          </cell>
          <cell r="BR1910">
            <v>0</v>
          </cell>
          <cell r="BS1910">
            <v>0</v>
          </cell>
          <cell r="BT1910">
            <v>0</v>
          </cell>
          <cell r="BU1910">
            <v>0</v>
          </cell>
          <cell r="BV1910">
            <v>0</v>
          </cell>
        </row>
        <row r="1911">
          <cell r="A1911" t="str">
            <v>Volvo</v>
          </cell>
          <cell r="B1911" t="str">
            <v>ROHR - NEW</v>
          </cell>
          <cell r="D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  <cell r="BK1911">
            <v>0</v>
          </cell>
          <cell r="BL1911">
            <v>0</v>
          </cell>
          <cell r="BM1911">
            <v>0</v>
          </cell>
          <cell r="BN1911">
            <v>0</v>
          </cell>
          <cell r="BO1911">
            <v>0</v>
          </cell>
          <cell r="BP1911">
            <v>0</v>
          </cell>
          <cell r="BQ1911">
            <v>0</v>
          </cell>
          <cell r="BR1911">
            <v>0</v>
          </cell>
          <cell r="BS1911">
            <v>0</v>
          </cell>
          <cell r="BT1911">
            <v>0</v>
          </cell>
          <cell r="BU1911">
            <v>0</v>
          </cell>
          <cell r="BV1911">
            <v>0</v>
          </cell>
        </row>
        <row r="1912">
          <cell r="A1912" t="str">
            <v>Volvo</v>
          </cell>
          <cell r="B1912" t="str">
            <v>ROHR - NEW</v>
          </cell>
          <cell r="D1912" t="str">
            <v>Weekly demand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  <cell r="BK1912">
            <v>0</v>
          </cell>
          <cell r="BL1912">
            <v>0</v>
          </cell>
          <cell r="BM1912">
            <v>0</v>
          </cell>
          <cell r="BN1912">
            <v>0</v>
          </cell>
          <cell r="BO1912">
            <v>0</v>
          </cell>
          <cell r="BP1912">
            <v>0</v>
          </cell>
          <cell r="BQ1912">
            <v>0</v>
          </cell>
          <cell r="BR1912">
            <v>0</v>
          </cell>
          <cell r="BS1912">
            <v>0</v>
          </cell>
          <cell r="BT1912">
            <v>0</v>
          </cell>
          <cell r="BU1912">
            <v>0</v>
          </cell>
          <cell r="BV1912">
            <v>0</v>
          </cell>
        </row>
        <row r="1913">
          <cell r="A1913" t="str">
            <v>Volvo</v>
          </cell>
          <cell r="B1913" t="str">
            <v>ROHR - NEW</v>
          </cell>
          <cell r="D1913" t="str">
            <v>Stock Target</v>
          </cell>
          <cell r="Z1913">
            <v>2540</v>
          </cell>
          <cell r="AA1913">
            <v>2541</v>
          </cell>
          <cell r="AB1913">
            <v>2542</v>
          </cell>
          <cell r="AC1913">
            <v>2543</v>
          </cell>
          <cell r="AD1913">
            <v>2544</v>
          </cell>
          <cell r="AE1913">
            <v>2545</v>
          </cell>
          <cell r="AF1913">
            <v>2546</v>
          </cell>
          <cell r="AG1913">
            <v>2547</v>
          </cell>
          <cell r="AH1913">
            <v>2548</v>
          </cell>
          <cell r="AI1913">
            <v>2549</v>
          </cell>
          <cell r="AJ1913">
            <v>2550</v>
          </cell>
          <cell r="AK1913">
            <v>2551</v>
          </cell>
          <cell r="AL1913">
            <v>2552</v>
          </cell>
          <cell r="AM1913">
            <v>2552</v>
          </cell>
          <cell r="AN1913">
            <v>2552</v>
          </cell>
          <cell r="AO1913">
            <v>2552</v>
          </cell>
          <cell r="AP1913">
            <v>2552</v>
          </cell>
          <cell r="AQ1913">
            <v>2552</v>
          </cell>
          <cell r="AR1913">
            <v>2552</v>
          </cell>
          <cell r="AS1913">
            <v>2552</v>
          </cell>
          <cell r="AT1913">
            <v>2552</v>
          </cell>
          <cell r="AU1913">
            <v>2552</v>
          </cell>
          <cell r="AV1913">
            <v>2552</v>
          </cell>
          <cell r="AW1913">
            <v>2552</v>
          </cell>
          <cell r="AX1913">
            <v>2552</v>
          </cell>
          <cell r="AY1913">
            <v>2552</v>
          </cell>
          <cell r="AZ1913">
            <v>2552</v>
          </cell>
          <cell r="BA1913">
            <v>2552</v>
          </cell>
          <cell r="BB1913">
            <v>2552</v>
          </cell>
          <cell r="BC1913">
            <v>2552</v>
          </cell>
          <cell r="BD1913">
            <v>2552</v>
          </cell>
          <cell r="BE1913">
            <v>2552</v>
          </cell>
          <cell r="BF1913">
            <v>2552</v>
          </cell>
          <cell r="BG1913">
            <v>2552</v>
          </cell>
          <cell r="BH1913">
            <v>2552</v>
          </cell>
          <cell r="BI1913">
            <v>2552</v>
          </cell>
          <cell r="BJ1913">
            <v>2552</v>
          </cell>
          <cell r="BK1913">
            <v>2552</v>
          </cell>
          <cell r="BL1913">
            <v>2552</v>
          </cell>
          <cell r="BM1913">
            <v>2552</v>
          </cell>
          <cell r="BN1913">
            <v>2553</v>
          </cell>
          <cell r="BO1913">
            <v>2554</v>
          </cell>
          <cell r="BP1913">
            <v>2555</v>
          </cell>
          <cell r="BQ1913">
            <v>2556</v>
          </cell>
          <cell r="BR1913">
            <v>2557</v>
          </cell>
          <cell r="BS1913">
            <v>2558</v>
          </cell>
          <cell r="BT1913">
            <v>2559</v>
          </cell>
          <cell r="BU1913">
            <v>2560</v>
          </cell>
          <cell r="BV1913">
            <v>2561</v>
          </cell>
        </row>
        <row r="1914">
          <cell r="A1914" t="str">
            <v>Volvo</v>
          </cell>
          <cell r="B1914" t="str">
            <v>ROHR - NEW</v>
          </cell>
          <cell r="D1914" t="str">
            <v>Bolster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  <cell r="BK1914">
            <v>0</v>
          </cell>
          <cell r="BL1914">
            <v>0</v>
          </cell>
          <cell r="BM1914">
            <v>0</v>
          </cell>
          <cell r="BN1914">
            <v>0</v>
          </cell>
          <cell r="BO1914">
            <v>0</v>
          </cell>
          <cell r="BP1914">
            <v>0</v>
          </cell>
          <cell r="BQ1914">
            <v>0</v>
          </cell>
          <cell r="BR1914">
            <v>0</v>
          </cell>
          <cell r="BS1914">
            <v>0</v>
          </cell>
          <cell r="BT1914">
            <v>0</v>
          </cell>
          <cell r="BU1914">
            <v>0</v>
          </cell>
          <cell r="BV1914">
            <v>0</v>
          </cell>
        </row>
        <row r="1915">
          <cell r="A1915" t="str">
            <v>Volvo</v>
          </cell>
          <cell r="B1915" t="str">
            <v>ROHR - NEW</v>
          </cell>
          <cell r="D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  <cell r="BK1915">
            <v>0</v>
          </cell>
          <cell r="BL1915">
            <v>0</v>
          </cell>
          <cell r="BM1915">
            <v>0</v>
          </cell>
          <cell r="BN1915">
            <v>0</v>
          </cell>
          <cell r="BO1915">
            <v>0</v>
          </cell>
          <cell r="BP1915">
            <v>0</v>
          </cell>
          <cell r="BQ1915">
            <v>0</v>
          </cell>
          <cell r="BR1915">
            <v>0</v>
          </cell>
          <cell r="BS1915">
            <v>0</v>
          </cell>
          <cell r="BT1915">
            <v>0</v>
          </cell>
          <cell r="BU1915">
            <v>0</v>
          </cell>
          <cell r="BV1915">
            <v>0</v>
          </cell>
        </row>
        <row r="1916">
          <cell r="A1916" t="str">
            <v>Volvo</v>
          </cell>
          <cell r="B1916" t="str">
            <v>ROHR - NEW</v>
          </cell>
          <cell r="D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  <cell r="BK1916">
            <v>0</v>
          </cell>
          <cell r="BL1916">
            <v>0</v>
          </cell>
          <cell r="BM1916">
            <v>0</v>
          </cell>
          <cell r="BN1916">
            <v>0</v>
          </cell>
          <cell r="BO1916">
            <v>0</v>
          </cell>
          <cell r="BP1916">
            <v>0</v>
          </cell>
          <cell r="BQ1916">
            <v>0</v>
          </cell>
          <cell r="BR1916">
            <v>0</v>
          </cell>
          <cell r="BS1916">
            <v>0</v>
          </cell>
          <cell r="BT1916">
            <v>0</v>
          </cell>
          <cell r="BU1916">
            <v>0</v>
          </cell>
          <cell r="BV1916">
            <v>0</v>
          </cell>
        </row>
        <row r="1917">
          <cell r="A1917" t="str">
            <v>Volvo</v>
          </cell>
          <cell r="B1917" t="str">
            <v>ROHR - NEW</v>
          </cell>
          <cell r="D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  <cell r="BK1917">
            <v>0</v>
          </cell>
          <cell r="BL1917">
            <v>0</v>
          </cell>
          <cell r="BM1917">
            <v>0</v>
          </cell>
          <cell r="BN1917">
            <v>0</v>
          </cell>
          <cell r="BO1917">
            <v>0</v>
          </cell>
          <cell r="BP1917">
            <v>0</v>
          </cell>
          <cell r="BQ1917">
            <v>0</v>
          </cell>
          <cell r="BR1917">
            <v>0</v>
          </cell>
          <cell r="BS1917">
            <v>0</v>
          </cell>
          <cell r="BT1917">
            <v>0</v>
          </cell>
          <cell r="BU1917">
            <v>0</v>
          </cell>
          <cell r="BV1917">
            <v>0</v>
          </cell>
        </row>
        <row r="1918">
          <cell r="A1918" t="str">
            <v>Volvo</v>
          </cell>
          <cell r="B1918" t="str">
            <v>ROHR - NEW</v>
          </cell>
          <cell r="D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  <cell r="BK1918">
            <v>0</v>
          </cell>
          <cell r="BL1918">
            <v>0</v>
          </cell>
          <cell r="BM1918">
            <v>0</v>
          </cell>
          <cell r="BN1918">
            <v>0</v>
          </cell>
          <cell r="BO1918">
            <v>0</v>
          </cell>
          <cell r="BP1918">
            <v>0</v>
          </cell>
          <cell r="BQ1918">
            <v>0</v>
          </cell>
          <cell r="BR1918">
            <v>0</v>
          </cell>
          <cell r="BS1918">
            <v>0</v>
          </cell>
          <cell r="BT1918">
            <v>0</v>
          </cell>
          <cell r="BU1918">
            <v>0</v>
          </cell>
          <cell r="BV1918">
            <v>0</v>
          </cell>
        </row>
        <row r="1919">
          <cell r="A1919" t="str">
            <v>Volvo</v>
          </cell>
          <cell r="B1919" t="str">
            <v>ROHR - NEW</v>
          </cell>
          <cell r="D1919" t="str">
            <v>STOCK</v>
          </cell>
          <cell r="Z1919">
            <v>168.85553470919325</v>
          </cell>
          <cell r="AA1919">
            <v>168.85553470919325</v>
          </cell>
          <cell r="AB1919">
            <v>168.85553470919325</v>
          </cell>
          <cell r="AC1919">
            <v>168.85553470919325</v>
          </cell>
          <cell r="AD1919">
            <v>168.85553470919325</v>
          </cell>
          <cell r="AE1919">
            <v>168.85553470919325</v>
          </cell>
          <cell r="AF1919">
            <v>168.85553470919325</v>
          </cell>
          <cell r="AG1919">
            <v>168.85553470919325</v>
          </cell>
          <cell r="AH1919">
            <v>168.85553470919325</v>
          </cell>
          <cell r="AI1919">
            <v>168.85553470919325</v>
          </cell>
          <cell r="AJ1919">
            <v>168.85553470919325</v>
          </cell>
          <cell r="AK1919">
            <v>168.85553470919325</v>
          </cell>
          <cell r="AL1919">
            <v>168.85553470919325</v>
          </cell>
          <cell r="AM1919">
            <v>168.85553470919325</v>
          </cell>
          <cell r="AN1919">
            <v>168.85553470919325</v>
          </cell>
          <cell r="AO1919">
            <v>168.85553470919325</v>
          </cell>
          <cell r="AP1919">
            <v>168.85553470919325</v>
          </cell>
          <cell r="AQ1919">
            <v>168.85553470919325</v>
          </cell>
          <cell r="AR1919">
            <v>168.85553470919325</v>
          </cell>
          <cell r="AS1919">
            <v>168.85553470919325</v>
          </cell>
          <cell r="AT1919">
            <v>168.85553470919325</v>
          </cell>
          <cell r="AU1919">
            <v>168.85553470919325</v>
          </cell>
          <cell r="AV1919">
            <v>168.85553470919325</v>
          </cell>
          <cell r="AW1919">
            <v>168.85553470919325</v>
          </cell>
          <cell r="AX1919">
            <v>168.85553470919325</v>
          </cell>
          <cell r="AY1919">
            <v>168.85553470919325</v>
          </cell>
          <cell r="AZ1919">
            <v>168.85553470919325</v>
          </cell>
          <cell r="BA1919">
            <v>168.85553470919325</v>
          </cell>
          <cell r="BB1919">
            <v>168.85553470919325</v>
          </cell>
          <cell r="BC1919">
            <v>168.85553470919325</v>
          </cell>
          <cell r="BD1919">
            <v>168.85553470919325</v>
          </cell>
          <cell r="BE1919">
            <v>168.85553470919325</v>
          </cell>
          <cell r="BF1919">
            <v>168.85553470919325</v>
          </cell>
          <cell r="BG1919">
            <v>168.85553470919325</v>
          </cell>
          <cell r="BH1919">
            <v>168.85553470919325</v>
          </cell>
          <cell r="BI1919">
            <v>168.85553470919325</v>
          </cell>
          <cell r="BJ1919">
            <v>168.85553470919325</v>
          </cell>
          <cell r="BK1919">
            <v>1688.5553470919326</v>
          </cell>
          <cell r="BL1919">
            <v>2600.3752345215762</v>
          </cell>
          <cell r="BM1919">
            <v>3512.1951219512198</v>
          </cell>
          <cell r="BN1919">
            <v>4424.0150093808634</v>
          </cell>
          <cell r="BO1919">
            <v>5335.8348968105074</v>
          </cell>
          <cell r="BP1919">
            <v>6247.6547842401505</v>
          </cell>
          <cell r="BQ1919">
            <v>7159.4746716697937</v>
          </cell>
          <cell r="BR1919">
            <v>8071.2945590994368</v>
          </cell>
          <cell r="BS1919">
            <v>8983.1144465290799</v>
          </cell>
          <cell r="BT1919">
            <v>9894.9343339587231</v>
          </cell>
          <cell r="BU1919">
            <v>10806.754221388366</v>
          </cell>
          <cell r="BV1919">
            <v>11718.574108818009</v>
          </cell>
        </row>
        <row r="1920">
          <cell r="A1920" t="str">
            <v>Blank</v>
          </cell>
          <cell r="B1920" t="str">
            <v>Blank</v>
          </cell>
          <cell r="D1920" t="str">
            <v>Blank</v>
          </cell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</row>
        <row r="1921">
          <cell r="A1921" t="str">
            <v>Volvo EX30</v>
          </cell>
          <cell r="B1921" t="str">
            <v>FHR</v>
          </cell>
          <cell r="D1921" t="str">
            <v>Work days</v>
          </cell>
          <cell r="Z1921">
            <v>5</v>
          </cell>
          <cell r="AA1921">
            <v>5</v>
          </cell>
          <cell r="AB1921">
            <v>5</v>
          </cell>
          <cell r="AC1921">
            <v>5</v>
          </cell>
          <cell r="AD1921">
            <v>3</v>
          </cell>
          <cell r="AE1921">
            <v>5</v>
          </cell>
          <cell r="AF1921">
            <v>5</v>
          </cell>
          <cell r="AG1921">
            <v>5</v>
          </cell>
          <cell r="AH1921">
            <v>5</v>
          </cell>
          <cell r="AI1921">
            <v>5</v>
          </cell>
          <cell r="AJ1921">
            <v>5</v>
          </cell>
          <cell r="AK1921">
            <v>4</v>
          </cell>
          <cell r="AL1921">
            <v>4</v>
          </cell>
          <cell r="AM1921">
            <v>5</v>
          </cell>
          <cell r="AN1921">
            <v>4</v>
          </cell>
          <cell r="AO1921">
            <v>5</v>
          </cell>
          <cell r="AP1921">
            <v>5</v>
          </cell>
          <cell r="AQ1921">
            <v>5</v>
          </cell>
          <cell r="AR1921">
            <v>5</v>
          </cell>
          <cell r="AS1921">
            <v>5</v>
          </cell>
          <cell r="AT1921">
            <v>5</v>
          </cell>
          <cell r="AU1921">
            <v>5</v>
          </cell>
          <cell r="AV1921">
            <v>5</v>
          </cell>
          <cell r="AW1921">
            <v>5</v>
          </cell>
          <cell r="AX1921">
            <v>5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5</v>
          </cell>
          <cell r="BD1921">
            <v>5</v>
          </cell>
          <cell r="BE1921">
            <v>5</v>
          </cell>
          <cell r="BF1921">
            <v>5</v>
          </cell>
          <cell r="BG1921">
            <v>5</v>
          </cell>
          <cell r="BH1921">
            <v>5</v>
          </cell>
          <cell r="BI1921">
            <v>5</v>
          </cell>
          <cell r="BJ1921">
            <v>5</v>
          </cell>
          <cell r="BK1921">
            <v>5</v>
          </cell>
          <cell r="BL1921">
            <v>1</v>
          </cell>
          <cell r="BM1921">
            <v>1</v>
          </cell>
          <cell r="BN1921">
            <v>1</v>
          </cell>
          <cell r="BO1921">
            <v>1</v>
          </cell>
          <cell r="BP1921">
            <v>1</v>
          </cell>
          <cell r="BQ1921">
            <v>1</v>
          </cell>
          <cell r="BR1921">
            <v>1</v>
          </cell>
          <cell r="BS1921">
            <v>1</v>
          </cell>
          <cell r="BT1921">
            <v>1</v>
          </cell>
          <cell r="BU1921">
            <v>1</v>
          </cell>
          <cell r="BV1921">
            <v>1</v>
          </cell>
        </row>
        <row r="1922">
          <cell r="A1922" t="str">
            <v>Volvo EX30</v>
          </cell>
          <cell r="B1922" t="str">
            <v>FHR</v>
          </cell>
          <cell r="D1922" t="str">
            <v>SHIFT A HC - operators</v>
          </cell>
          <cell r="E1922" t="str">
            <v>2 DIR (ELI incl) - 380 pcs/shift 90%</v>
          </cell>
          <cell r="Z1922">
            <v>3</v>
          </cell>
          <cell r="AA1922">
            <v>2</v>
          </cell>
          <cell r="AB1922">
            <v>2</v>
          </cell>
          <cell r="AC1922">
            <v>2</v>
          </cell>
          <cell r="AD1922">
            <v>2</v>
          </cell>
          <cell r="AE1922">
            <v>2</v>
          </cell>
          <cell r="AF1922">
            <v>3</v>
          </cell>
          <cell r="AG1922">
            <v>2</v>
          </cell>
          <cell r="AH1922">
            <v>3</v>
          </cell>
          <cell r="AI1922">
            <v>2</v>
          </cell>
          <cell r="AJ1922">
            <v>3</v>
          </cell>
          <cell r="AK1922">
            <v>2</v>
          </cell>
          <cell r="AL1922">
            <v>3</v>
          </cell>
          <cell r="AM1922">
            <v>2</v>
          </cell>
          <cell r="AN1922">
            <v>3</v>
          </cell>
          <cell r="AO1922">
            <v>2</v>
          </cell>
          <cell r="AP1922">
            <v>3</v>
          </cell>
          <cell r="AQ1922">
            <v>2</v>
          </cell>
          <cell r="AR1922">
            <v>3</v>
          </cell>
          <cell r="AS1922">
            <v>2</v>
          </cell>
          <cell r="AT1922">
            <v>2</v>
          </cell>
          <cell r="AU1922">
            <v>1</v>
          </cell>
          <cell r="AV1922">
            <v>1</v>
          </cell>
          <cell r="AW1922">
            <v>1</v>
          </cell>
          <cell r="AX1922">
            <v>1</v>
          </cell>
          <cell r="AY1922">
            <v>1</v>
          </cell>
          <cell r="AZ1922">
            <v>1</v>
          </cell>
          <cell r="BA1922">
            <v>1</v>
          </cell>
          <cell r="BB1922">
            <v>1</v>
          </cell>
          <cell r="BC1922">
            <v>1</v>
          </cell>
          <cell r="BD1922">
            <v>1</v>
          </cell>
          <cell r="BE1922">
            <v>1</v>
          </cell>
          <cell r="BF1922">
            <v>1</v>
          </cell>
          <cell r="BG1922">
            <v>1</v>
          </cell>
          <cell r="BH1922">
            <v>1</v>
          </cell>
          <cell r="BI1922">
            <v>1</v>
          </cell>
          <cell r="BJ1922">
            <v>1</v>
          </cell>
          <cell r="BK1922">
            <v>1</v>
          </cell>
          <cell r="BL1922">
            <v>1</v>
          </cell>
          <cell r="BM1922">
            <v>1</v>
          </cell>
          <cell r="BN1922">
            <v>1</v>
          </cell>
          <cell r="BO1922">
            <v>1</v>
          </cell>
          <cell r="BP1922">
            <v>1</v>
          </cell>
          <cell r="BQ1922">
            <v>1</v>
          </cell>
          <cell r="BR1922">
            <v>1</v>
          </cell>
          <cell r="BS1922">
            <v>1</v>
          </cell>
          <cell r="BT1922">
            <v>1</v>
          </cell>
          <cell r="BU1922">
            <v>1</v>
          </cell>
          <cell r="BV1922">
            <v>1</v>
          </cell>
        </row>
        <row r="1923">
          <cell r="A1923" t="str">
            <v>Volvo EX30</v>
          </cell>
          <cell r="B1923" t="str">
            <v>FHR</v>
          </cell>
          <cell r="D1923" t="str">
            <v>SHIFT B HC  - operators</v>
          </cell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</row>
        <row r="1924">
          <cell r="A1924" t="str">
            <v>Volvo EX30</v>
          </cell>
          <cell r="B1924" t="str">
            <v>FHR</v>
          </cell>
          <cell r="D1924" t="str">
            <v>SHIFT C HC  - operators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  <cell r="BK1924">
            <v>0</v>
          </cell>
          <cell r="BL1924">
            <v>0</v>
          </cell>
          <cell r="BM1924">
            <v>0</v>
          </cell>
          <cell r="BN1924">
            <v>0</v>
          </cell>
          <cell r="BO1924">
            <v>0</v>
          </cell>
          <cell r="BP1924">
            <v>0</v>
          </cell>
          <cell r="BQ1924">
            <v>0</v>
          </cell>
          <cell r="BR1924">
            <v>0</v>
          </cell>
          <cell r="BS1924">
            <v>0</v>
          </cell>
          <cell r="BT1924">
            <v>0</v>
          </cell>
          <cell r="BU1924">
            <v>0</v>
          </cell>
          <cell r="BV1924">
            <v>0</v>
          </cell>
        </row>
        <row r="1925">
          <cell r="A1925" t="str">
            <v>Volvo EX30</v>
          </cell>
          <cell r="B1925" t="str">
            <v>FHR</v>
          </cell>
          <cell r="D1925" t="str">
            <v>Total HC</v>
          </cell>
          <cell r="Z1925">
            <v>3</v>
          </cell>
          <cell r="AA1925">
            <v>2</v>
          </cell>
          <cell r="AB1925">
            <v>2</v>
          </cell>
          <cell r="AC1925">
            <v>2</v>
          </cell>
          <cell r="AD1925">
            <v>2</v>
          </cell>
          <cell r="AE1925">
            <v>2</v>
          </cell>
          <cell r="AF1925">
            <v>3</v>
          </cell>
          <cell r="AG1925">
            <v>2</v>
          </cell>
          <cell r="AH1925">
            <v>3</v>
          </cell>
          <cell r="AI1925">
            <v>2</v>
          </cell>
          <cell r="AJ1925">
            <v>3</v>
          </cell>
          <cell r="AK1925">
            <v>2</v>
          </cell>
          <cell r="AL1925">
            <v>3</v>
          </cell>
          <cell r="AM1925">
            <v>2</v>
          </cell>
          <cell r="AN1925">
            <v>3</v>
          </cell>
          <cell r="AO1925">
            <v>2</v>
          </cell>
          <cell r="AP1925">
            <v>3</v>
          </cell>
          <cell r="AQ1925">
            <v>2</v>
          </cell>
          <cell r="AR1925">
            <v>3</v>
          </cell>
          <cell r="AS1925">
            <v>2</v>
          </cell>
          <cell r="AT1925">
            <v>2</v>
          </cell>
          <cell r="AU1925">
            <v>1</v>
          </cell>
          <cell r="AV1925">
            <v>1</v>
          </cell>
          <cell r="AW1925">
            <v>1</v>
          </cell>
          <cell r="AX1925">
            <v>1</v>
          </cell>
          <cell r="AY1925">
            <v>1</v>
          </cell>
          <cell r="AZ1925">
            <v>1</v>
          </cell>
          <cell r="BA1925">
            <v>1</v>
          </cell>
          <cell r="BB1925">
            <v>1</v>
          </cell>
          <cell r="BC1925">
            <v>1</v>
          </cell>
          <cell r="BD1925">
            <v>1</v>
          </cell>
          <cell r="BE1925">
            <v>1</v>
          </cell>
          <cell r="BF1925">
            <v>1</v>
          </cell>
          <cell r="BG1925">
            <v>1</v>
          </cell>
          <cell r="BH1925">
            <v>1</v>
          </cell>
          <cell r="BI1925">
            <v>1</v>
          </cell>
          <cell r="BJ1925">
            <v>1</v>
          </cell>
          <cell r="BK1925">
            <v>1</v>
          </cell>
          <cell r="BL1925">
            <v>1</v>
          </cell>
          <cell r="BM1925">
            <v>1</v>
          </cell>
          <cell r="BN1925">
            <v>1</v>
          </cell>
          <cell r="BO1925">
            <v>1</v>
          </cell>
          <cell r="BP1925">
            <v>1</v>
          </cell>
          <cell r="BQ1925">
            <v>1</v>
          </cell>
          <cell r="BR1925">
            <v>1</v>
          </cell>
          <cell r="BS1925">
            <v>1</v>
          </cell>
          <cell r="BT1925">
            <v>1</v>
          </cell>
          <cell r="BU1925">
            <v>1</v>
          </cell>
          <cell r="BV1925">
            <v>1</v>
          </cell>
        </row>
        <row r="1926">
          <cell r="A1926" t="str">
            <v>Volvo EX30</v>
          </cell>
          <cell r="B1926" t="str">
            <v>FHR</v>
          </cell>
          <cell r="D1926" t="str">
            <v>SHIFT A HC  - efficiency</v>
          </cell>
          <cell r="Z1926">
            <v>0.9</v>
          </cell>
          <cell r="AA1926">
            <v>0.9</v>
          </cell>
          <cell r="AB1926">
            <v>0.9</v>
          </cell>
          <cell r="AC1926">
            <v>0.9</v>
          </cell>
          <cell r="AD1926">
            <v>0.9</v>
          </cell>
          <cell r="AE1926">
            <v>0.9</v>
          </cell>
          <cell r="AF1926">
            <v>0.9</v>
          </cell>
          <cell r="AG1926">
            <v>0.9</v>
          </cell>
          <cell r="AH1926">
            <v>0.9</v>
          </cell>
          <cell r="AI1926">
            <v>0.9</v>
          </cell>
          <cell r="AJ1926">
            <v>0.9</v>
          </cell>
          <cell r="AK1926">
            <v>0.9</v>
          </cell>
          <cell r="AL1926">
            <v>0.9</v>
          </cell>
          <cell r="AM1926">
            <v>0.9</v>
          </cell>
          <cell r="AN1926">
            <v>0.9</v>
          </cell>
          <cell r="AO1926">
            <v>0.9</v>
          </cell>
          <cell r="AP1926">
            <v>0.9</v>
          </cell>
          <cell r="AQ1926">
            <v>0.9</v>
          </cell>
          <cell r="AR1926">
            <v>0.9</v>
          </cell>
          <cell r="AS1926">
            <v>0.9</v>
          </cell>
          <cell r="AT1926">
            <v>0.9</v>
          </cell>
          <cell r="AU1926">
            <v>0.9</v>
          </cell>
          <cell r="AV1926">
            <v>0.9</v>
          </cell>
          <cell r="AW1926">
            <v>0.9</v>
          </cell>
          <cell r="AX1926">
            <v>0.9</v>
          </cell>
          <cell r="AY1926">
            <v>0.9</v>
          </cell>
          <cell r="AZ1926">
            <v>0.9</v>
          </cell>
          <cell r="BA1926">
            <v>0.9</v>
          </cell>
          <cell r="BB1926">
            <v>0.9</v>
          </cell>
          <cell r="BC1926">
            <v>0.9</v>
          </cell>
          <cell r="BD1926">
            <v>0.9</v>
          </cell>
          <cell r="BE1926">
            <v>0.9</v>
          </cell>
          <cell r="BF1926">
            <v>0.9</v>
          </cell>
          <cell r="BG1926">
            <v>0.9</v>
          </cell>
          <cell r="BH1926">
            <v>0.9</v>
          </cell>
          <cell r="BI1926">
            <v>0.9</v>
          </cell>
          <cell r="BJ1926">
            <v>0.9</v>
          </cell>
          <cell r="BK1926">
            <v>1.2</v>
          </cell>
          <cell r="BL1926">
            <v>1.2</v>
          </cell>
          <cell r="BM1926">
            <v>1.2</v>
          </cell>
          <cell r="BN1926">
            <v>1.2</v>
          </cell>
          <cell r="BO1926">
            <v>1.2</v>
          </cell>
          <cell r="BP1926">
            <v>1.2</v>
          </cell>
          <cell r="BQ1926">
            <v>1.2</v>
          </cell>
          <cell r="BR1926">
            <v>1.2</v>
          </cell>
          <cell r="BS1926">
            <v>1.2</v>
          </cell>
          <cell r="BT1926">
            <v>1.2</v>
          </cell>
          <cell r="BU1926">
            <v>1.2</v>
          </cell>
          <cell r="BV1926">
            <v>1.2</v>
          </cell>
        </row>
        <row r="1927">
          <cell r="A1927" t="str">
            <v>Volvo EX30</v>
          </cell>
          <cell r="B1927" t="str">
            <v>FHR</v>
          </cell>
          <cell r="D1927" t="str">
            <v>SHIFT B HC  - efficiency</v>
          </cell>
          <cell r="Z1927">
            <v>0.9</v>
          </cell>
          <cell r="AA1927">
            <v>0.9</v>
          </cell>
          <cell r="AB1927">
            <v>0.9</v>
          </cell>
          <cell r="AC1927">
            <v>0.9</v>
          </cell>
          <cell r="AD1927">
            <v>0.9</v>
          </cell>
          <cell r="AE1927">
            <v>0.9</v>
          </cell>
          <cell r="AF1927">
            <v>0.9</v>
          </cell>
          <cell r="AG1927">
            <v>0.9</v>
          </cell>
          <cell r="AH1927">
            <v>0.9</v>
          </cell>
          <cell r="AI1927">
            <v>0.9</v>
          </cell>
          <cell r="AJ1927">
            <v>0.9</v>
          </cell>
          <cell r="AK1927">
            <v>0.9</v>
          </cell>
          <cell r="AL1927">
            <v>0.9</v>
          </cell>
          <cell r="AM1927">
            <v>0.9</v>
          </cell>
          <cell r="AN1927">
            <v>0.9</v>
          </cell>
          <cell r="AO1927">
            <v>0.9</v>
          </cell>
          <cell r="AP1927">
            <v>0.9</v>
          </cell>
          <cell r="AQ1927">
            <v>0.9</v>
          </cell>
          <cell r="AR1927">
            <v>0.9</v>
          </cell>
          <cell r="AS1927">
            <v>0.9</v>
          </cell>
          <cell r="AT1927">
            <v>0.9</v>
          </cell>
          <cell r="AU1927">
            <v>0.9</v>
          </cell>
          <cell r="AV1927">
            <v>0.9</v>
          </cell>
          <cell r="AW1927">
            <v>0.9</v>
          </cell>
          <cell r="AX1927">
            <v>0.9</v>
          </cell>
          <cell r="AY1927">
            <v>0.9</v>
          </cell>
          <cell r="AZ1927">
            <v>0.9</v>
          </cell>
          <cell r="BA1927">
            <v>0.9</v>
          </cell>
          <cell r="BB1927">
            <v>0.9</v>
          </cell>
          <cell r="BC1927">
            <v>0.9</v>
          </cell>
          <cell r="BD1927">
            <v>0.9</v>
          </cell>
          <cell r="BE1927">
            <v>0.9</v>
          </cell>
          <cell r="BF1927">
            <v>0.9</v>
          </cell>
          <cell r="BG1927">
            <v>0.9</v>
          </cell>
          <cell r="BH1927">
            <v>0.9</v>
          </cell>
          <cell r="BI1927">
            <v>0.9</v>
          </cell>
          <cell r="BJ1927">
            <v>0.9</v>
          </cell>
          <cell r="BK1927">
            <v>1</v>
          </cell>
          <cell r="BL1927">
            <v>1</v>
          </cell>
          <cell r="BM1927">
            <v>1</v>
          </cell>
          <cell r="BN1927">
            <v>1</v>
          </cell>
          <cell r="BO1927">
            <v>1</v>
          </cell>
          <cell r="BP1927">
            <v>1</v>
          </cell>
          <cell r="BQ1927">
            <v>1</v>
          </cell>
          <cell r="BR1927">
            <v>1</v>
          </cell>
          <cell r="BS1927">
            <v>1</v>
          </cell>
          <cell r="BT1927">
            <v>1</v>
          </cell>
          <cell r="BU1927">
            <v>1</v>
          </cell>
          <cell r="BV1927">
            <v>1</v>
          </cell>
        </row>
        <row r="1928">
          <cell r="A1928" t="str">
            <v>Volvo EX30</v>
          </cell>
          <cell r="B1928" t="str">
            <v>FHR</v>
          </cell>
          <cell r="D1928" t="str">
            <v>SHIFT C HC  - efficiency</v>
          </cell>
          <cell r="Z1928">
            <v>1</v>
          </cell>
          <cell r="AA1928">
            <v>1</v>
          </cell>
          <cell r="AB1928">
            <v>1</v>
          </cell>
          <cell r="AC1928">
            <v>1</v>
          </cell>
          <cell r="AD1928">
            <v>1</v>
          </cell>
          <cell r="AE1928">
            <v>1</v>
          </cell>
          <cell r="AF1928">
            <v>1</v>
          </cell>
          <cell r="AG1928">
            <v>1</v>
          </cell>
          <cell r="AH1928">
            <v>1</v>
          </cell>
          <cell r="AI1928">
            <v>1</v>
          </cell>
          <cell r="AJ1928">
            <v>1</v>
          </cell>
          <cell r="AK1928">
            <v>1</v>
          </cell>
          <cell r="AL1928">
            <v>1</v>
          </cell>
          <cell r="AM1928">
            <v>1</v>
          </cell>
          <cell r="AN1928">
            <v>1</v>
          </cell>
          <cell r="AO1928">
            <v>1</v>
          </cell>
          <cell r="AP1928">
            <v>1</v>
          </cell>
          <cell r="AQ1928">
            <v>1</v>
          </cell>
          <cell r="AR1928">
            <v>1</v>
          </cell>
          <cell r="AS1928">
            <v>1</v>
          </cell>
          <cell r="AT1928">
            <v>1</v>
          </cell>
          <cell r="AU1928">
            <v>1</v>
          </cell>
          <cell r="AV1928">
            <v>1</v>
          </cell>
          <cell r="AW1928">
            <v>1</v>
          </cell>
          <cell r="AX1928">
            <v>1</v>
          </cell>
          <cell r="AY1928">
            <v>1</v>
          </cell>
          <cell r="AZ1928">
            <v>1</v>
          </cell>
          <cell r="BA1928">
            <v>1</v>
          </cell>
          <cell r="BB1928">
            <v>1</v>
          </cell>
          <cell r="BC1928">
            <v>1</v>
          </cell>
          <cell r="BD1928">
            <v>1</v>
          </cell>
          <cell r="BE1928">
            <v>1</v>
          </cell>
          <cell r="BF1928">
            <v>1</v>
          </cell>
          <cell r="BG1928">
            <v>1</v>
          </cell>
          <cell r="BH1928">
            <v>1</v>
          </cell>
          <cell r="BI1928">
            <v>1</v>
          </cell>
          <cell r="BJ1928">
            <v>1</v>
          </cell>
          <cell r="BK1928">
            <v>1</v>
          </cell>
          <cell r="BL1928">
            <v>1</v>
          </cell>
          <cell r="BM1928">
            <v>1</v>
          </cell>
          <cell r="BN1928">
            <v>1</v>
          </cell>
          <cell r="BO1928">
            <v>1</v>
          </cell>
          <cell r="BP1928">
            <v>1</v>
          </cell>
          <cell r="BQ1928">
            <v>1</v>
          </cell>
          <cell r="BR1928">
            <v>1</v>
          </cell>
          <cell r="BS1928">
            <v>1</v>
          </cell>
          <cell r="BT1928">
            <v>1</v>
          </cell>
          <cell r="BU1928">
            <v>1</v>
          </cell>
          <cell r="BV1928">
            <v>1</v>
          </cell>
        </row>
        <row r="1929">
          <cell r="A1929" t="str">
            <v>Volvo EX30</v>
          </cell>
          <cell r="B1929" t="str">
            <v>FHR</v>
          </cell>
          <cell r="D1929" t="str">
            <v>Total efficiency</v>
          </cell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</row>
        <row r="1930">
          <cell r="A1930" t="str">
            <v>Volvo EX30</v>
          </cell>
          <cell r="B1930" t="str">
            <v>FHR</v>
          </cell>
          <cell r="D1930" t="str">
            <v>SHIFT A - output</v>
          </cell>
          <cell r="Z1930">
            <v>552.27272727272725</v>
          </cell>
          <cell r="AA1930">
            <v>368.18181818181819</v>
          </cell>
          <cell r="AB1930">
            <v>368.18181818181819</v>
          </cell>
          <cell r="AC1930">
            <v>368.18181818181819</v>
          </cell>
          <cell r="AD1930">
            <v>368.18181818181819</v>
          </cell>
          <cell r="AE1930">
            <v>368.18181818181819</v>
          </cell>
          <cell r="AF1930">
            <v>552.27272727272725</v>
          </cell>
          <cell r="AG1930">
            <v>368.18181818181819</v>
          </cell>
          <cell r="AH1930">
            <v>552.27272727272725</v>
          </cell>
          <cell r="AI1930">
            <v>368.18181818181819</v>
          </cell>
          <cell r="AJ1930">
            <v>552.27272727272725</v>
          </cell>
          <cell r="AK1930">
            <v>368.18181818181819</v>
          </cell>
          <cell r="AL1930">
            <v>552.27272727272725</v>
          </cell>
          <cell r="AM1930">
            <v>368.18181818181819</v>
          </cell>
          <cell r="AN1930">
            <v>552.27272727272725</v>
          </cell>
          <cell r="AO1930">
            <v>368.18181818181819</v>
          </cell>
          <cell r="AP1930">
            <v>552.27272727272725</v>
          </cell>
          <cell r="AQ1930">
            <v>368.18181818181819</v>
          </cell>
          <cell r="AR1930">
            <v>552.27272727272725</v>
          </cell>
          <cell r="AS1930">
            <v>368.18181818181819</v>
          </cell>
          <cell r="AT1930">
            <v>368.18181818181819</v>
          </cell>
          <cell r="AU1930">
            <v>184.09090909090909</v>
          </cell>
          <cell r="AV1930">
            <v>184.09090909090909</v>
          </cell>
          <cell r="AW1930">
            <v>184.09090909090909</v>
          </cell>
          <cell r="AX1930">
            <v>184.09090909090909</v>
          </cell>
          <cell r="AY1930">
            <v>184.09090909090909</v>
          </cell>
          <cell r="AZ1930">
            <v>184.09090909090909</v>
          </cell>
          <cell r="BA1930">
            <v>184.09090909090909</v>
          </cell>
          <cell r="BB1930">
            <v>184.09090909090909</v>
          </cell>
          <cell r="BC1930">
            <v>184.09090909090909</v>
          </cell>
          <cell r="BD1930">
            <v>184.09090909090909</v>
          </cell>
          <cell r="BE1930">
            <v>184.09090909090909</v>
          </cell>
          <cell r="BF1930">
            <v>184.09090909090909</v>
          </cell>
          <cell r="BG1930">
            <v>184.09090909090909</v>
          </cell>
          <cell r="BH1930">
            <v>184.09090909090909</v>
          </cell>
          <cell r="BI1930">
            <v>184.09090909090909</v>
          </cell>
          <cell r="BJ1930">
            <v>184.09090909090909</v>
          </cell>
          <cell r="BK1930">
            <v>245.45454545454544</v>
          </cell>
          <cell r="BL1930">
            <v>245.45454545454544</v>
          </cell>
          <cell r="BM1930">
            <v>245.45454545454544</v>
          </cell>
          <cell r="BN1930">
            <v>245.45454545454544</v>
          </cell>
          <cell r="BO1930">
            <v>245.45454545454544</v>
          </cell>
          <cell r="BP1930">
            <v>245.45454545454544</v>
          </cell>
          <cell r="BQ1930">
            <v>245.45454545454544</v>
          </cell>
          <cell r="BR1930">
            <v>245.45454545454544</v>
          </cell>
          <cell r="BS1930">
            <v>245.45454545454544</v>
          </cell>
          <cell r="BT1930">
            <v>245.45454545454544</v>
          </cell>
          <cell r="BU1930">
            <v>245.45454545454544</v>
          </cell>
          <cell r="BV1930">
            <v>245.45454545454544</v>
          </cell>
        </row>
        <row r="1931">
          <cell r="A1931" t="str">
            <v>Volvo EX30</v>
          </cell>
          <cell r="B1931" t="str">
            <v>FHR</v>
          </cell>
          <cell r="D1931" t="str">
            <v>SHIFT B  - output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  <cell r="BK1931">
            <v>0</v>
          </cell>
          <cell r="BL1931">
            <v>0</v>
          </cell>
          <cell r="BM1931">
            <v>0</v>
          </cell>
          <cell r="BN1931">
            <v>0</v>
          </cell>
          <cell r="BO1931">
            <v>0</v>
          </cell>
          <cell r="BP1931">
            <v>0</v>
          </cell>
          <cell r="BQ1931">
            <v>0</v>
          </cell>
          <cell r="BR1931">
            <v>0</v>
          </cell>
          <cell r="BS1931">
            <v>0</v>
          </cell>
          <cell r="BT1931">
            <v>0</v>
          </cell>
          <cell r="BU1931">
            <v>0</v>
          </cell>
          <cell r="BV1931">
            <v>0</v>
          </cell>
        </row>
        <row r="1932">
          <cell r="A1932" t="str">
            <v>Volvo EX30</v>
          </cell>
          <cell r="B1932" t="str">
            <v>FHR</v>
          </cell>
          <cell r="D1932" t="str">
            <v>SHIFT C  - output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  <cell r="BK1932">
            <v>0</v>
          </cell>
          <cell r="BL1932">
            <v>0</v>
          </cell>
          <cell r="BM1932">
            <v>0</v>
          </cell>
          <cell r="BN1932">
            <v>0</v>
          </cell>
          <cell r="BO1932">
            <v>0</v>
          </cell>
          <cell r="BP1932">
            <v>0</v>
          </cell>
          <cell r="BQ1932">
            <v>0</v>
          </cell>
          <cell r="BR1932">
            <v>0</v>
          </cell>
          <cell r="BS1932">
            <v>0</v>
          </cell>
          <cell r="BT1932">
            <v>0</v>
          </cell>
          <cell r="BU1932">
            <v>0</v>
          </cell>
          <cell r="BV1932">
            <v>0</v>
          </cell>
        </row>
        <row r="1933">
          <cell r="A1933" t="str">
            <v>Volvo EX30</v>
          </cell>
          <cell r="B1933" t="str">
            <v>FHR</v>
          </cell>
          <cell r="D1933" t="str">
            <v>Est. Output (Pcs day)</v>
          </cell>
          <cell r="E1933">
            <v>2.2000000000000002</v>
          </cell>
          <cell r="Z1933">
            <v>552.27272727272725</v>
          </cell>
          <cell r="AA1933">
            <v>368.18181818181819</v>
          </cell>
          <cell r="AB1933">
            <v>368.18181818181819</v>
          </cell>
          <cell r="AC1933">
            <v>368.18181818181819</v>
          </cell>
          <cell r="AD1933">
            <v>368.18181818181819</v>
          </cell>
          <cell r="AE1933">
            <v>368.18181818181819</v>
          </cell>
          <cell r="AF1933">
            <v>552.27272727272725</v>
          </cell>
          <cell r="AG1933">
            <v>368.18181818181819</v>
          </cell>
          <cell r="AH1933">
            <v>552.27272727272725</v>
          </cell>
          <cell r="AI1933">
            <v>368.18181818181819</v>
          </cell>
          <cell r="AJ1933">
            <v>552.27272727272725</v>
          </cell>
          <cell r="AK1933">
            <v>368.18181818181819</v>
          </cell>
          <cell r="AL1933">
            <v>552.27272727272725</v>
          </cell>
          <cell r="AM1933">
            <v>368.18181818181819</v>
          </cell>
          <cell r="AN1933">
            <v>552.27272727272725</v>
          </cell>
          <cell r="AO1933">
            <v>368.18181818181819</v>
          </cell>
          <cell r="AP1933">
            <v>552.27272727272725</v>
          </cell>
          <cell r="AQ1933">
            <v>368.18181818181819</v>
          </cell>
          <cell r="AR1933">
            <v>552.27272727272725</v>
          </cell>
          <cell r="AS1933">
            <v>368.18181818181819</v>
          </cell>
          <cell r="AT1933">
            <v>368.18181818181819</v>
          </cell>
          <cell r="AU1933">
            <v>184.09090909090909</v>
          </cell>
          <cell r="AV1933">
            <v>184.09090909090909</v>
          </cell>
          <cell r="AW1933">
            <v>184.09090909090909</v>
          </cell>
          <cell r="AX1933">
            <v>184.09090909090909</v>
          </cell>
          <cell r="AY1933">
            <v>184.09090909090909</v>
          </cell>
          <cell r="AZ1933">
            <v>184.09090909090909</v>
          </cell>
          <cell r="BA1933">
            <v>184.09090909090909</v>
          </cell>
          <cell r="BB1933">
            <v>184.09090909090909</v>
          </cell>
          <cell r="BC1933">
            <v>184.09090909090909</v>
          </cell>
          <cell r="BD1933">
            <v>184.09090909090909</v>
          </cell>
          <cell r="BE1933">
            <v>184.09090909090909</v>
          </cell>
          <cell r="BF1933">
            <v>184.09090909090909</v>
          </cell>
          <cell r="BG1933">
            <v>184.09090909090909</v>
          </cell>
          <cell r="BH1933">
            <v>184.09090909090909</v>
          </cell>
          <cell r="BI1933">
            <v>184.09090909090909</v>
          </cell>
          <cell r="BJ1933">
            <v>184.09090909090909</v>
          </cell>
          <cell r="BK1933">
            <v>245.45454545454544</v>
          </cell>
          <cell r="BL1933">
            <v>245.45454545454544</v>
          </cell>
          <cell r="BM1933">
            <v>245.45454545454544</v>
          </cell>
          <cell r="BN1933">
            <v>245.45454545454544</v>
          </cell>
          <cell r="BO1933">
            <v>245.45454545454544</v>
          </cell>
          <cell r="BP1933">
            <v>245.45454545454544</v>
          </cell>
          <cell r="BQ1933">
            <v>245.45454545454544</v>
          </cell>
          <cell r="BR1933">
            <v>245.45454545454544</v>
          </cell>
          <cell r="BS1933">
            <v>245.45454545454544</v>
          </cell>
          <cell r="BT1933">
            <v>245.45454545454544</v>
          </cell>
          <cell r="BU1933">
            <v>245.45454545454544</v>
          </cell>
          <cell r="BV1933">
            <v>245.45454545454544</v>
          </cell>
        </row>
        <row r="1934">
          <cell r="A1934" t="str">
            <v>Volvo EX30</v>
          </cell>
          <cell r="B1934" t="str">
            <v>FHR</v>
          </cell>
          <cell r="D1934" t="str">
            <v>Weekly Output PLAN</v>
          </cell>
          <cell r="E1934" t="str">
            <v>ASSY</v>
          </cell>
          <cell r="Z1934">
            <v>2761.363636363636</v>
          </cell>
          <cell r="AA1934">
            <v>1840.909090909091</v>
          </cell>
          <cell r="AB1934">
            <v>1840.909090909091</v>
          </cell>
          <cell r="AC1934">
            <v>1840.909090909091</v>
          </cell>
          <cell r="AD1934">
            <v>1104.5454545454545</v>
          </cell>
          <cell r="AE1934">
            <v>1840.909090909091</v>
          </cell>
          <cell r="AF1934">
            <v>2761.363636363636</v>
          </cell>
          <cell r="AG1934">
            <v>1840.909090909091</v>
          </cell>
          <cell r="AH1934">
            <v>2761.363636363636</v>
          </cell>
          <cell r="AI1934">
            <v>1840.909090909091</v>
          </cell>
          <cell r="AJ1934">
            <v>2761.363636363636</v>
          </cell>
          <cell r="AK1934">
            <v>1472.7272727272727</v>
          </cell>
          <cell r="AL1934">
            <v>2209.090909090909</v>
          </cell>
          <cell r="AM1934">
            <v>1840.909090909091</v>
          </cell>
          <cell r="AN1934">
            <v>2209.090909090909</v>
          </cell>
          <cell r="AO1934">
            <v>1840.909090909091</v>
          </cell>
          <cell r="AP1934">
            <v>2761.363636363636</v>
          </cell>
          <cell r="AQ1934">
            <v>1840.909090909091</v>
          </cell>
          <cell r="AR1934">
            <v>2761.363636363636</v>
          </cell>
          <cell r="AS1934">
            <v>1840.909090909091</v>
          </cell>
          <cell r="AT1934">
            <v>1840.909090909091</v>
          </cell>
          <cell r="AU1934">
            <v>920.4545454545455</v>
          </cell>
          <cell r="AV1934">
            <v>920.4545454545455</v>
          </cell>
          <cell r="AW1934">
            <v>920.4545454545455</v>
          </cell>
          <cell r="AX1934">
            <v>920.4545454545455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920.4545454545455</v>
          </cell>
          <cell r="BD1934">
            <v>920.4545454545455</v>
          </cell>
          <cell r="BE1934">
            <v>920.4545454545455</v>
          </cell>
          <cell r="BF1934">
            <v>920.4545454545455</v>
          </cell>
          <cell r="BG1934">
            <v>920.4545454545455</v>
          </cell>
          <cell r="BH1934">
            <v>920.4545454545455</v>
          </cell>
          <cell r="BI1934">
            <v>920.4545454545455</v>
          </cell>
          <cell r="BJ1934">
            <v>920.4545454545455</v>
          </cell>
          <cell r="BK1934">
            <v>1227.2727272727273</v>
          </cell>
          <cell r="BL1934">
            <v>245.45454545454544</v>
          </cell>
          <cell r="BM1934">
            <v>245.45454545454544</v>
          </cell>
          <cell r="BN1934">
            <v>245.45454545454544</v>
          </cell>
          <cell r="BO1934">
            <v>245.45454545454544</v>
          </cell>
          <cell r="BP1934">
            <v>245.45454545454544</v>
          </cell>
          <cell r="BQ1934">
            <v>245.45454545454544</v>
          </cell>
          <cell r="BR1934">
            <v>245.45454545454544</v>
          </cell>
          <cell r="BS1934">
            <v>245.45454545454544</v>
          </cell>
          <cell r="BT1934">
            <v>245.45454545454544</v>
          </cell>
          <cell r="BU1934">
            <v>245.45454545454544</v>
          </cell>
          <cell r="BV1934">
            <v>245.45454545454544</v>
          </cell>
        </row>
        <row r="1935">
          <cell r="A1935" t="str">
            <v>Volvo EX30</v>
          </cell>
          <cell r="B1935" t="str">
            <v>FHR</v>
          </cell>
          <cell r="D1935" t="str">
            <v>FHR V216 MIST</v>
          </cell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</row>
        <row r="1936">
          <cell r="A1936" t="str">
            <v>Volvo EX30</v>
          </cell>
          <cell r="B1936" t="str">
            <v>FHR</v>
          </cell>
          <cell r="D1936" t="str">
            <v>FHR V216 PINE</v>
          </cell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</row>
        <row r="1937">
          <cell r="A1937" t="str">
            <v>Volvo EX30</v>
          </cell>
          <cell r="B1937" t="str">
            <v>FHR</v>
          </cell>
          <cell r="D1937" t="str">
            <v>FHR V216 BREEZE</v>
          </cell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</row>
        <row r="1938">
          <cell r="A1938" t="str">
            <v>Volvo EX30</v>
          </cell>
          <cell r="B1938" t="str">
            <v>FHR</v>
          </cell>
          <cell r="D1938" t="str">
            <v>FHR V216 INDIGO</v>
          </cell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</row>
        <row r="1939">
          <cell r="A1939" t="str">
            <v>Volvo EX30</v>
          </cell>
          <cell r="B1939" t="str">
            <v>FHR</v>
          </cell>
          <cell r="D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</row>
        <row r="1940">
          <cell r="A1940" t="str">
            <v>Volvo EX30</v>
          </cell>
          <cell r="B1940" t="str">
            <v>FHR</v>
          </cell>
          <cell r="D1940" t="str">
            <v>Weekly Output PLAN - SUM of models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  <cell r="BK1940">
            <v>0</v>
          </cell>
          <cell r="BL1940">
            <v>0</v>
          </cell>
          <cell r="BM1940">
            <v>0</v>
          </cell>
          <cell r="BN1940">
            <v>0</v>
          </cell>
          <cell r="BO1940">
            <v>0</v>
          </cell>
          <cell r="BP1940">
            <v>0</v>
          </cell>
          <cell r="BQ1940">
            <v>0</v>
          </cell>
          <cell r="BR1940">
            <v>0</v>
          </cell>
          <cell r="BS1940">
            <v>0</v>
          </cell>
          <cell r="BT1940">
            <v>0</v>
          </cell>
          <cell r="BU1940">
            <v>0</v>
          </cell>
          <cell r="BV1940">
            <v>0</v>
          </cell>
        </row>
        <row r="1941">
          <cell r="A1941" t="str">
            <v>Volvo EX30</v>
          </cell>
          <cell r="B1941" t="str">
            <v>FHR</v>
          </cell>
          <cell r="D1941" t="str">
            <v>Weekly Output CHECK with TO time multiple</v>
          </cell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</row>
        <row r="1942">
          <cell r="A1942" t="str">
            <v>Volvo EX30</v>
          </cell>
          <cell r="B1942" t="str">
            <v>FHR</v>
          </cell>
          <cell r="D1942" t="str">
            <v>Weekly Output ACT</v>
          </cell>
          <cell r="Z1942">
            <v>2761.363636363636</v>
          </cell>
          <cell r="AA1942">
            <v>1840.909090909091</v>
          </cell>
          <cell r="AB1942">
            <v>1840.909090909091</v>
          </cell>
          <cell r="AC1942">
            <v>1840.909090909091</v>
          </cell>
          <cell r="AD1942">
            <v>1104.5454545454545</v>
          </cell>
          <cell r="AE1942">
            <v>1840.909090909091</v>
          </cell>
          <cell r="AF1942">
            <v>2761.363636363636</v>
          </cell>
          <cell r="AG1942">
            <v>1840.909090909091</v>
          </cell>
          <cell r="AH1942">
            <v>2761.363636363636</v>
          </cell>
          <cell r="AI1942">
            <v>1840.909090909091</v>
          </cell>
          <cell r="AJ1942">
            <v>2761.363636363636</v>
          </cell>
          <cell r="AK1942">
            <v>1472.7272727272727</v>
          </cell>
          <cell r="AL1942">
            <v>2209.090909090909</v>
          </cell>
          <cell r="AM1942">
            <v>1840.909090909091</v>
          </cell>
          <cell r="AN1942">
            <v>2209.090909090909</v>
          </cell>
          <cell r="AO1942">
            <v>1840.909090909091</v>
          </cell>
          <cell r="AP1942">
            <v>2761.363636363636</v>
          </cell>
          <cell r="AQ1942">
            <v>1840.909090909091</v>
          </cell>
          <cell r="AR1942">
            <v>2761.363636363636</v>
          </cell>
          <cell r="AS1942">
            <v>1840.909090909091</v>
          </cell>
          <cell r="AT1942">
            <v>1840.909090909091</v>
          </cell>
          <cell r="AU1942">
            <v>920.4545454545455</v>
          </cell>
          <cell r="AV1942">
            <v>920.4545454545455</v>
          </cell>
          <cell r="AW1942">
            <v>920.4545454545455</v>
          </cell>
          <cell r="AX1942">
            <v>920.4545454545455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920.4545454545455</v>
          </cell>
          <cell r="BD1942">
            <v>920.4545454545455</v>
          </cell>
          <cell r="BE1942">
            <v>920.4545454545455</v>
          </cell>
          <cell r="BF1942">
            <v>920.4545454545455</v>
          </cell>
          <cell r="BG1942">
            <v>920.4545454545455</v>
          </cell>
          <cell r="BH1942">
            <v>920.4545454545455</v>
          </cell>
          <cell r="BI1942">
            <v>920.4545454545455</v>
          </cell>
          <cell r="BJ1942">
            <v>920.4545454545455</v>
          </cell>
          <cell r="BK1942">
            <v>1227.2727272727273</v>
          </cell>
          <cell r="BL1942">
            <v>245.45454545454544</v>
          </cell>
          <cell r="BM1942">
            <v>245.45454545454544</v>
          </cell>
          <cell r="BN1942">
            <v>245.45454545454544</v>
          </cell>
          <cell r="BO1942">
            <v>245.45454545454544</v>
          </cell>
          <cell r="BP1942">
            <v>245.45454545454544</v>
          </cell>
          <cell r="BQ1942">
            <v>245.45454545454544</v>
          </cell>
          <cell r="BR1942">
            <v>245.45454545454544</v>
          </cell>
          <cell r="BS1942">
            <v>245.45454545454544</v>
          </cell>
          <cell r="BT1942">
            <v>245.45454545454544</v>
          </cell>
          <cell r="BU1942">
            <v>245.45454545454544</v>
          </cell>
          <cell r="BV1942">
            <v>245.45454545454544</v>
          </cell>
        </row>
        <row r="1943">
          <cell r="A1943" t="str">
            <v>Volvo EX30</v>
          </cell>
          <cell r="B1943" t="str">
            <v>FHR</v>
          </cell>
          <cell r="D1943" t="str">
            <v>FHR V216 MIST</v>
          </cell>
          <cell r="Z1943">
            <v>60</v>
          </cell>
          <cell r="AA1943">
            <v>60</v>
          </cell>
          <cell r="AB1943">
            <v>60</v>
          </cell>
          <cell r="AC1943">
            <v>120</v>
          </cell>
          <cell r="AD1943">
            <v>120</v>
          </cell>
          <cell r="AE1943">
            <v>120</v>
          </cell>
          <cell r="AF1943">
            <v>120</v>
          </cell>
          <cell r="AG1943">
            <v>60</v>
          </cell>
          <cell r="AH1943">
            <v>0</v>
          </cell>
          <cell r="AI1943">
            <v>60</v>
          </cell>
          <cell r="AJ1943">
            <v>60</v>
          </cell>
          <cell r="AK1943">
            <v>540</v>
          </cell>
          <cell r="AL1943">
            <v>0</v>
          </cell>
          <cell r="AM1943">
            <v>0</v>
          </cell>
          <cell r="AN1943">
            <v>0</v>
          </cell>
          <cell r="AO1943">
            <v>300</v>
          </cell>
          <cell r="AP1943">
            <v>0</v>
          </cell>
          <cell r="AQ1943">
            <v>0</v>
          </cell>
          <cell r="AR1943">
            <v>0</v>
          </cell>
          <cell r="AS1943">
            <v>300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  <cell r="BK1943">
            <v>0</v>
          </cell>
          <cell r="BL1943">
            <v>0</v>
          </cell>
          <cell r="BM1943">
            <v>0</v>
          </cell>
          <cell r="BN1943">
            <v>0</v>
          </cell>
          <cell r="BO1943">
            <v>0</v>
          </cell>
          <cell r="BP1943">
            <v>0</v>
          </cell>
          <cell r="BQ1943">
            <v>0</v>
          </cell>
          <cell r="BR1943">
            <v>0</v>
          </cell>
          <cell r="BS1943">
            <v>0</v>
          </cell>
          <cell r="BT1943">
            <v>0</v>
          </cell>
          <cell r="BU1943">
            <v>0</v>
          </cell>
          <cell r="BV1943">
            <v>0</v>
          </cell>
        </row>
        <row r="1944">
          <cell r="A1944" t="str">
            <v>Volvo EX30</v>
          </cell>
          <cell r="B1944" t="str">
            <v>FHR</v>
          </cell>
          <cell r="D1944" t="str">
            <v>FHR V216 PINE</v>
          </cell>
          <cell r="Z1944">
            <v>240</v>
          </cell>
          <cell r="AA1944">
            <v>120</v>
          </cell>
          <cell r="AB1944">
            <v>240</v>
          </cell>
          <cell r="AC1944">
            <v>360</v>
          </cell>
          <cell r="AD1944">
            <v>300</v>
          </cell>
          <cell r="AE1944">
            <v>240</v>
          </cell>
          <cell r="AF1944">
            <v>240</v>
          </cell>
          <cell r="AG1944">
            <v>240</v>
          </cell>
          <cell r="AH1944">
            <v>180</v>
          </cell>
          <cell r="AI1944">
            <v>240</v>
          </cell>
          <cell r="AJ1944">
            <v>0</v>
          </cell>
          <cell r="AK1944">
            <v>120</v>
          </cell>
          <cell r="AL1944">
            <v>0</v>
          </cell>
          <cell r="AM1944">
            <v>0</v>
          </cell>
          <cell r="AN1944">
            <v>0</v>
          </cell>
          <cell r="AO1944">
            <v>120</v>
          </cell>
          <cell r="AP1944">
            <v>0</v>
          </cell>
          <cell r="AQ1944">
            <v>0</v>
          </cell>
          <cell r="AR1944">
            <v>0</v>
          </cell>
          <cell r="AS1944">
            <v>120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  <cell r="BK1944">
            <v>0</v>
          </cell>
          <cell r="BL1944">
            <v>0</v>
          </cell>
          <cell r="BM1944">
            <v>0</v>
          </cell>
          <cell r="BN1944">
            <v>0</v>
          </cell>
          <cell r="BO1944">
            <v>0</v>
          </cell>
          <cell r="BP1944">
            <v>0</v>
          </cell>
          <cell r="BQ1944">
            <v>0</v>
          </cell>
          <cell r="BR1944">
            <v>0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</row>
        <row r="1945">
          <cell r="A1945" t="str">
            <v>Volvo EX30</v>
          </cell>
          <cell r="B1945" t="str">
            <v>FHR</v>
          </cell>
          <cell r="D1945" t="str">
            <v>FHR V216 BREEZE</v>
          </cell>
          <cell r="Z1945">
            <v>180</v>
          </cell>
          <cell r="AA1945">
            <v>60</v>
          </cell>
          <cell r="AB1945">
            <v>180</v>
          </cell>
          <cell r="AC1945">
            <v>120</v>
          </cell>
          <cell r="AD1945">
            <v>180</v>
          </cell>
          <cell r="AE1945">
            <v>120</v>
          </cell>
          <cell r="AF1945">
            <v>180</v>
          </cell>
          <cell r="AG1945">
            <v>120</v>
          </cell>
          <cell r="AH1945">
            <v>60</v>
          </cell>
          <cell r="AI1945">
            <v>120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  <cell r="BK1945">
            <v>0</v>
          </cell>
          <cell r="BL1945">
            <v>0</v>
          </cell>
          <cell r="BM1945">
            <v>0</v>
          </cell>
          <cell r="BN1945">
            <v>0</v>
          </cell>
          <cell r="BO1945">
            <v>0</v>
          </cell>
          <cell r="BP1945">
            <v>0</v>
          </cell>
          <cell r="BQ1945">
            <v>0</v>
          </cell>
          <cell r="BR1945">
            <v>0</v>
          </cell>
          <cell r="BS1945">
            <v>0</v>
          </cell>
          <cell r="BT1945">
            <v>0</v>
          </cell>
          <cell r="BU1945">
            <v>0</v>
          </cell>
          <cell r="BV1945">
            <v>0</v>
          </cell>
        </row>
        <row r="1946">
          <cell r="A1946" t="str">
            <v>Volvo EX30</v>
          </cell>
          <cell r="B1946" t="str">
            <v>FHR</v>
          </cell>
          <cell r="D1946" t="str">
            <v>FHR V216 INDIGO</v>
          </cell>
          <cell r="Z1946">
            <v>1680</v>
          </cell>
          <cell r="AA1946">
            <v>540</v>
          </cell>
          <cell r="AB1946">
            <v>1560</v>
          </cell>
          <cell r="AC1946">
            <v>1980</v>
          </cell>
          <cell r="AD1946">
            <v>1560</v>
          </cell>
          <cell r="AE1946">
            <v>1500</v>
          </cell>
          <cell r="AF1946">
            <v>1620</v>
          </cell>
          <cell r="AG1946">
            <v>1740</v>
          </cell>
          <cell r="AH1946">
            <v>1800</v>
          </cell>
          <cell r="AI1946">
            <v>1800</v>
          </cell>
          <cell r="AJ1946">
            <v>720</v>
          </cell>
          <cell r="AK1946">
            <v>9720</v>
          </cell>
          <cell r="AL1946">
            <v>0</v>
          </cell>
          <cell r="AM1946">
            <v>0</v>
          </cell>
          <cell r="AN1946">
            <v>0</v>
          </cell>
          <cell r="AO1946">
            <v>6420</v>
          </cell>
          <cell r="AP1946">
            <v>0</v>
          </cell>
          <cell r="AQ1946">
            <v>0</v>
          </cell>
          <cell r="AR1946">
            <v>0</v>
          </cell>
          <cell r="AS1946">
            <v>7020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  <cell r="BK1946">
            <v>0</v>
          </cell>
          <cell r="BL1946">
            <v>0</v>
          </cell>
          <cell r="BM1946">
            <v>0</v>
          </cell>
          <cell r="BN1946">
            <v>0</v>
          </cell>
          <cell r="BO1946">
            <v>0</v>
          </cell>
          <cell r="BP1946">
            <v>0</v>
          </cell>
          <cell r="BQ1946">
            <v>0</v>
          </cell>
          <cell r="BR1946">
            <v>0</v>
          </cell>
          <cell r="BS1946">
            <v>0</v>
          </cell>
          <cell r="BT1946">
            <v>0</v>
          </cell>
          <cell r="BU1946">
            <v>0</v>
          </cell>
          <cell r="BV1946">
            <v>0</v>
          </cell>
        </row>
        <row r="1947">
          <cell r="A1947" t="str">
            <v>Volvo EX30</v>
          </cell>
          <cell r="B1947" t="str">
            <v>FHR</v>
          </cell>
          <cell r="D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  <cell r="BK1947">
            <v>0</v>
          </cell>
          <cell r="BL1947">
            <v>0</v>
          </cell>
          <cell r="BM1947">
            <v>0</v>
          </cell>
          <cell r="BN1947">
            <v>0</v>
          </cell>
          <cell r="BO1947">
            <v>0</v>
          </cell>
          <cell r="BP1947">
            <v>0</v>
          </cell>
          <cell r="BQ1947">
            <v>0</v>
          </cell>
          <cell r="BR1947">
            <v>0</v>
          </cell>
          <cell r="BS1947">
            <v>0</v>
          </cell>
          <cell r="BT1947">
            <v>0</v>
          </cell>
          <cell r="BU1947">
            <v>0</v>
          </cell>
          <cell r="BV1947">
            <v>0</v>
          </cell>
        </row>
        <row r="1948">
          <cell r="A1948" t="str">
            <v>Volvo EX30</v>
          </cell>
          <cell r="B1948" t="str">
            <v>FHR</v>
          </cell>
          <cell r="D1948" t="str">
            <v>Weekly demand</v>
          </cell>
          <cell r="Z1948">
            <v>2160</v>
          </cell>
          <cell r="AA1948">
            <v>780</v>
          </cell>
          <cell r="AB1948">
            <v>2040</v>
          </cell>
          <cell r="AC1948">
            <v>2580</v>
          </cell>
          <cell r="AD1948">
            <v>2160</v>
          </cell>
          <cell r="AE1948">
            <v>1980</v>
          </cell>
          <cell r="AF1948">
            <v>2160</v>
          </cell>
          <cell r="AG1948">
            <v>2160</v>
          </cell>
          <cell r="AH1948">
            <v>2040</v>
          </cell>
          <cell r="AI1948">
            <v>2220</v>
          </cell>
          <cell r="AJ1948">
            <v>780</v>
          </cell>
          <cell r="AK1948">
            <v>10380</v>
          </cell>
          <cell r="AL1948">
            <v>0</v>
          </cell>
          <cell r="AM1948">
            <v>0</v>
          </cell>
          <cell r="AN1948">
            <v>0</v>
          </cell>
          <cell r="AO1948">
            <v>6840</v>
          </cell>
          <cell r="AP1948">
            <v>0</v>
          </cell>
          <cell r="AQ1948">
            <v>0</v>
          </cell>
          <cell r="AR1948">
            <v>0</v>
          </cell>
          <cell r="AS1948">
            <v>7440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  <cell r="BK1948">
            <v>0</v>
          </cell>
          <cell r="BL1948">
            <v>46860</v>
          </cell>
          <cell r="BM1948">
            <v>0</v>
          </cell>
          <cell r="BN1948">
            <v>0</v>
          </cell>
          <cell r="BO1948">
            <v>0</v>
          </cell>
          <cell r="BP1948">
            <v>0</v>
          </cell>
          <cell r="BQ1948">
            <v>0</v>
          </cell>
          <cell r="BR1948">
            <v>0</v>
          </cell>
          <cell r="BS1948">
            <v>0</v>
          </cell>
          <cell r="BT1948">
            <v>0</v>
          </cell>
          <cell r="BU1948">
            <v>0</v>
          </cell>
          <cell r="BV1948">
            <v>0</v>
          </cell>
        </row>
        <row r="1949">
          <cell r="A1949" t="str">
            <v>Volvo EX30</v>
          </cell>
          <cell r="B1949" t="str">
            <v>FHR</v>
          </cell>
          <cell r="D1949" t="str">
            <v>Stock Target</v>
          </cell>
          <cell r="Z1949">
            <v>2000</v>
          </cell>
          <cell r="AA1949">
            <v>2000</v>
          </cell>
          <cell r="AB1949">
            <v>2000</v>
          </cell>
          <cell r="AC1949">
            <v>2000</v>
          </cell>
          <cell r="AD1949">
            <v>2000</v>
          </cell>
          <cell r="AE1949">
            <v>2000</v>
          </cell>
          <cell r="AF1949">
            <v>2000</v>
          </cell>
          <cell r="AG1949">
            <v>2000</v>
          </cell>
          <cell r="AH1949">
            <v>2000</v>
          </cell>
          <cell r="AI1949">
            <v>2000</v>
          </cell>
          <cell r="AJ1949">
            <v>2550</v>
          </cell>
          <cell r="AK1949">
            <v>2551</v>
          </cell>
          <cell r="AL1949">
            <v>2552</v>
          </cell>
          <cell r="AM1949">
            <v>2552</v>
          </cell>
          <cell r="AN1949">
            <v>2552</v>
          </cell>
          <cell r="AO1949">
            <v>2552</v>
          </cell>
          <cell r="AP1949">
            <v>2552</v>
          </cell>
          <cell r="AQ1949">
            <v>2552</v>
          </cell>
          <cell r="AR1949">
            <v>2552</v>
          </cell>
          <cell r="AS1949">
            <v>2552</v>
          </cell>
          <cell r="AT1949">
            <v>2552</v>
          </cell>
          <cell r="AU1949">
            <v>2552</v>
          </cell>
          <cell r="AV1949">
            <v>2552</v>
          </cell>
          <cell r="AW1949">
            <v>2552</v>
          </cell>
          <cell r="AX1949">
            <v>2552</v>
          </cell>
          <cell r="AY1949">
            <v>2552</v>
          </cell>
          <cell r="AZ1949">
            <v>2552</v>
          </cell>
          <cell r="BA1949">
            <v>2552</v>
          </cell>
          <cell r="BB1949">
            <v>2552</v>
          </cell>
          <cell r="BC1949">
            <v>2552</v>
          </cell>
          <cell r="BD1949">
            <v>2552</v>
          </cell>
          <cell r="BE1949">
            <v>2552</v>
          </cell>
          <cell r="BF1949">
            <v>2552</v>
          </cell>
          <cell r="BG1949">
            <v>2552</v>
          </cell>
          <cell r="BH1949">
            <v>2552</v>
          </cell>
          <cell r="BI1949">
            <v>2552</v>
          </cell>
          <cell r="BJ1949">
            <v>2552</v>
          </cell>
          <cell r="BK1949">
            <v>2552</v>
          </cell>
          <cell r="BL1949">
            <v>2552</v>
          </cell>
          <cell r="BM1949">
            <v>2552</v>
          </cell>
          <cell r="BN1949">
            <v>2553</v>
          </cell>
          <cell r="BO1949">
            <v>2554</v>
          </cell>
          <cell r="BP1949">
            <v>2555</v>
          </cell>
          <cell r="BQ1949">
            <v>2556</v>
          </cell>
          <cell r="BR1949">
            <v>2557</v>
          </cell>
          <cell r="BS1949">
            <v>2558</v>
          </cell>
          <cell r="BT1949">
            <v>2559</v>
          </cell>
          <cell r="BU1949">
            <v>2560</v>
          </cell>
          <cell r="BV1949">
            <v>2561</v>
          </cell>
        </row>
        <row r="1950">
          <cell r="A1950" t="str">
            <v>Volvo EX30</v>
          </cell>
          <cell r="B1950" t="str">
            <v>FHR</v>
          </cell>
          <cell r="D1950" t="str">
            <v>FHR V216 MIST</v>
          </cell>
          <cell r="Z1950">
            <v>300</v>
          </cell>
          <cell r="AA1950">
            <v>240</v>
          </cell>
          <cell r="AB1950">
            <v>180</v>
          </cell>
          <cell r="AC1950">
            <v>60</v>
          </cell>
          <cell r="AD1950">
            <v>-60</v>
          </cell>
          <cell r="AE1950">
            <v>-180</v>
          </cell>
          <cell r="AF1950">
            <v>-300</v>
          </cell>
          <cell r="AG1950">
            <v>-360</v>
          </cell>
          <cell r="AH1950">
            <v>-360</v>
          </cell>
          <cell r="AI1950">
            <v>-420</v>
          </cell>
          <cell r="AJ1950">
            <v>-480</v>
          </cell>
          <cell r="AK1950">
            <v>-1020</v>
          </cell>
          <cell r="AL1950">
            <v>-1020</v>
          </cell>
          <cell r="AM1950">
            <v>-1020</v>
          </cell>
          <cell r="AN1950">
            <v>-1020</v>
          </cell>
          <cell r="AO1950">
            <v>-1320</v>
          </cell>
          <cell r="AP1950">
            <v>-1020</v>
          </cell>
          <cell r="AQ1950">
            <v>-1320</v>
          </cell>
          <cell r="AR1950">
            <v>-1020</v>
          </cell>
          <cell r="AS1950">
            <v>-1620</v>
          </cell>
          <cell r="AT1950">
            <v>-1020</v>
          </cell>
          <cell r="AU1950">
            <v>-1620</v>
          </cell>
          <cell r="AV1950">
            <v>-1020</v>
          </cell>
          <cell r="AW1950">
            <v>-1620</v>
          </cell>
          <cell r="AX1950">
            <v>-1020</v>
          </cell>
          <cell r="AY1950">
            <v>-1620</v>
          </cell>
          <cell r="AZ1950">
            <v>-1020</v>
          </cell>
          <cell r="BA1950">
            <v>-1620</v>
          </cell>
          <cell r="BB1950">
            <v>-1020</v>
          </cell>
          <cell r="BC1950">
            <v>-1620</v>
          </cell>
          <cell r="BD1950">
            <v>-1020</v>
          </cell>
          <cell r="BE1950">
            <v>-1620</v>
          </cell>
          <cell r="BF1950">
            <v>-1020</v>
          </cell>
          <cell r="BG1950">
            <v>-1620</v>
          </cell>
          <cell r="BH1950">
            <v>-1020</v>
          </cell>
          <cell r="BI1950">
            <v>-1620</v>
          </cell>
          <cell r="BJ1950">
            <v>-1020</v>
          </cell>
          <cell r="BK1950">
            <v>-1620</v>
          </cell>
          <cell r="BL1950">
            <v>-1020</v>
          </cell>
          <cell r="BM1950">
            <v>-1620</v>
          </cell>
          <cell r="BN1950">
            <v>-1020</v>
          </cell>
          <cell r="BO1950">
            <v>-1620</v>
          </cell>
          <cell r="BP1950">
            <v>-1020</v>
          </cell>
          <cell r="BQ1950">
            <v>-1620</v>
          </cell>
          <cell r="BR1950">
            <v>-1020</v>
          </cell>
          <cell r="BS1950">
            <v>-1620</v>
          </cell>
          <cell r="BT1950">
            <v>-1020</v>
          </cell>
          <cell r="BU1950">
            <v>-1620</v>
          </cell>
          <cell r="BV1950">
            <v>-1020</v>
          </cell>
        </row>
        <row r="1951">
          <cell r="A1951" t="str">
            <v>Volvo EX30</v>
          </cell>
          <cell r="B1951" t="str">
            <v>FHR</v>
          </cell>
          <cell r="D1951" t="str">
            <v>FHR V216 PINE</v>
          </cell>
          <cell r="Z1951">
            <v>420</v>
          </cell>
          <cell r="AA1951">
            <v>300</v>
          </cell>
          <cell r="AB1951">
            <v>60</v>
          </cell>
          <cell r="AC1951">
            <v>-300</v>
          </cell>
          <cell r="AD1951">
            <v>-600</v>
          </cell>
          <cell r="AE1951">
            <v>-840</v>
          </cell>
          <cell r="AF1951">
            <v>-1080</v>
          </cell>
          <cell r="AG1951">
            <v>-1320</v>
          </cell>
          <cell r="AH1951">
            <v>-1500</v>
          </cell>
          <cell r="AI1951">
            <v>-1740</v>
          </cell>
          <cell r="AJ1951">
            <v>-1740</v>
          </cell>
          <cell r="AK1951">
            <v>-1860</v>
          </cell>
          <cell r="AL1951">
            <v>-1860</v>
          </cell>
          <cell r="AM1951">
            <v>-1860</v>
          </cell>
          <cell r="AN1951">
            <v>-1860</v>
          </cell>
          <cell r="AO1951">
            <v>-1980</v>
          </cell>
          <cell r="AP1951">
            <v>-1860</v>
          </cell>
          <cell r="AQ1951">
            <v>-1980</v>
          </cell>
          <cell r="AR1951">
            <v>-1860</v>
          </cell>
          <cell r="AS1951">
            <v>-2100</v>
          </cell>
          <cell r="AT1951">
            <v>-1860</v>
          </cell>
          <cell r="AU1951">
            <v>-2100</v>
          </cell>
          <cell r="AV1951">
            <v>-1860</v>
          </cell>
          <cell r="AW1951">
            <v>-2100</v>
          </cell>
          <cell r="AX1951">
            <v>-1860</v>
          </cell>
          <cell r="AY1951">
            <v>-2100</v>
          </cell>
          <cell r="AZ1951">
            <v>-1860</v>
          </cell>
          <cell r="BA1951">
            <v>-2100</v>
          </cell>
          <cell r="BB1951">
            <v>-1860</v>
          </cell>
          <cell r="BC1951">
            <v>-2100</v>
          </cell>
          <cell r="BD1951">
            <v>-1860</v>
          </cell>
          <cell r="BE1951">
            <v>-2100</v>
          </cell>
          <cell r="BF1951">
            <v>-1860</v>
          </cell>
          <cell r="BG1951">
            <v>-2100</v>
          </cell>
          <cell r="BH1951">
            <v>-1860</v>
          </cell>
          <cell r="BI1951">
            <v>-2100</v>
          </cell>
          <cell r="BJ1951">
            <v>-1860</v>
          </cell>
          <cell r="BK1951">
            <v>-2100</v>
          </cell>
          <cell r="BL1951">
            <v>-1860</v>
          </cell>
          <cell r="BM1951">
            <v>-2100</v>
          </cell>
          <cell r="BN1951">
            <v>-1860</v>
          </cell>
          <cell r="BO1951">
            <v>-2100</v>
          </cell>
          <cell r="BP1951">
            <v>-1860</v>
          </cell>
          <cell r="BQ1951">
            <v>-2100</v>
          </cell>
          <cell r="BR1951">
            <v>-1860</v>
          </cell>
          <cell r="BS1951">
            <v>-2100</v>
          </cell>
          <cell r="BT1951">
            <v>-1860</v>
          </cell>
          <cell r="BU1951">
            <v>-2100</v>
          </cell>
          <cell r="BV1951">
            <v>-1860</v>
          </cell>
        </row>
        <row r="1952">
          <cell r="A1952" t="str">
            <v>Volvo EX30</v>
          </cell>
          <cell r="B1952" t="str">
            <v>FHR</v>
          </cell>
          <cell r="D1952" t="str">
            <v>FHR V216 BREEZE</v>
          </cell>
          <cell r="Z1952">
            <v>180</v>
          </cell>
          <cell r="AA1952">
            <v>120</v>
          </cell>
          <cell r="AB1952">
            <v>-60</v>
          </cell>
          <cell r="AC1952">
            <v>-180</v>
          </cell>
          <cell r="AD1952">
            <v>-360</v>
          </cell>
          <cell r="AE1952">
            <v>-480</v>
          </cell>
          <cell r="AF1952">
            <v>-660</v>
          </cell>
          <cell r="AG1952">
            <v>-780</v>
          </cell>
          <cell r="AH1952">
            <v>-840</v>
          </cell>
          <cell r="AI1952">
            <v>-960</v>
          </cell>
          <cell r="AJ1952">
            <v>-960</v>
          </cell>
          <cell r="AK1952">
            <v>-960</v>
          </cell>
          <cell r="AL1952">
            <v>-960</v>
          </cell>
          <cell r="AM1952">
            <v>-960</v>
          </cell>
          <cell r="AN1952">
            <v>-960</v>
          </cell>
          <cell r="AO1952">
            <v>-960</v>
          </cell>
          <cell r="AP1952">
            <v>-960</v>
          </cell>
          <cell r="AQ1952">
            <v>-960</v>
          </cell>
          <cell r="AR1952">
            <v>-960</v>
          </cell>
          <cell r="AS1952">
            <v>-960</v>
          </cell>
          <cell r="AT1952">
            <v>-960</v>
          </cell>
          <cell r="AU1952">
            <v>-960</v>
          </cell>
          <cell r="AV1952">
            <v>-960</v>
          </cell>
          <cell r="AW1952">
            <v>-960</v>
          </cell>
          <cell r="AX1952">
            <v>-960</v>
          </cell>
          <cell r="AY1952">
            <v>-960</v>
          </cell>
          <cell r="AZ1952">
            <v>-960</v>
          </cell>
          <cell r="BA1952">
            <v>-960</v>
          </cell>
          <cell r="BB1952">
            <v>-960</v>
          </cell>
          <cell r="BC1952">
            <v>-960</v>
          </cell>
          <cell r="BD1952">
            <v>-960</v>
          </cell>
          <cell r="BE1952">
            <v>-960</v>
          </cell>
          <cell r="BF1952">
            <v>-960</v>
          </cell>
          <cell r="BG1952">
            <v>-960</v>
          </cell>
          <cell r="BH1952">
            <v>-960</v>
          </cell>
          <cell r="BI1952">
            <v>-960</v>
          </cell>
          <cell r="BJ1952">
            <v>-960</v>
          </cell>
          <cell r="BK1952">
            <v>-960</v>
          </cell>
          <cell r="BL1952">
            <v>-960</v>
          </cell>
          <cell r="BM1952">
            <v>-960</v>
          </cell>
          <cell r="BN1952">
            <v>-960</v>
          </cell>
          <cell r="BO1952">
            <v>-960</v>
          </cell>
          <cell r="BP1952">
            <v>-960</v>
          </cell>
          <cell r="BQ1952">
            <v>-960</v>
          </cell>
          <cell r="BR1952">
            <v>-960</v>
          </cell>
          <cell r="BS1952">
            <v>-960</v>
          </cell>
          <cell r="BT1952">
            <v>-960</v>
          </cell>
          <cell r="BU1952">
            <v>-960</v>
          </cell>
          <cell r="BV1952">
            <v>-960</v>
          </cell>
        </row>
        <row r="1953">
          <cell r="A1953" t="str">
            <v>Volvo EX30</v>
          </cell>
          <cell r="B1953" t="str">
            <v>FHR</v>
          </cell>
          <cell r="D1953" t="str">
            <v>FHR V216 INDIGO</v>
          </cell>
          <cell r="Z1953">
            <v>2820</v>
          </cell>
          <cell r="AA1953">
            <v>2280</v>
          </cell>
          <cell r="AB1953">
            <v>720</v>
          </cell>
          <cell r="AC1953">
            <v>-1260</v>
          </cell>
          <cell r="AD1953">
            <v>-2820</v>
          </cell>
          <cell r="AE1953">
            <v>-4320</v>
          </cell>
          <cell r="AF1953">
            <v>-5940</v>
          </cell>
          <cell r="AG1953">
            <v>-7680</v>
          </cell>
          <cell r="AH1953">
            <v>-9480</v>
          </cell>
          <cell r="AI1953">
            <v>-11280</v>
          </cell>
          <cell r="AJ1953">
            <v>-12000</v>
          </cell>
          <cell r="AK1953">
            <v>-21720</v>
          </cell>
          <cell r="AL1953">
            <v>-21720</v>
          </cell>
          <cell r="AM1953">
            <v>-21720</v>
          </cell>
          <cell r="AN1953">
            <v>-21720</v>
          </cell>
          <cell r="AO1953">
            <v>-28140</v>
          </cell>
          <cell r="AP1953">
            <v>-21720</v>
          </cell>
          <cell r="AQ1953">
            <v>-28140</v>
          </cell>
          <cell r="AR1953">
            <v>-21720</v>
          </cell>
          <cell r="AS1953">
            <v>-35160</v>
          </cell>
          <cell r="AT1953">
            <v>-21720</v>
          </cell>
          <cell r="AU1953">
            <v>-35160</v>
          </cell>
          <cell r="AV1953">
            <v>-21720</v>
          </cell>
          <cell r="AW1953">
            <v>-35160</v>
          </cell>
          <cell r="AX1953">
            <v>-21720</v>
          </cell>
          <cell r="AY1953">
            <v>-35160</v>
          </cell>
          <cell r="AZ1953">
            <v>-21720</v>
          </cell>
          <cell r="BA1953">
            <v>-35160</v>
          </cell>
          <cell r="BB1953">
            <v>-21720</v>
          </cell>
          <cell r="BC1953">
            <v>-35160</v>
          </cell>
          <cell r="BD1953">
            <v>-21720</v>
          </cell>
          <cell r="BE1953">
            <v>-35160</v>
          </cell>
          <cell r="BF1953">
            <v>-21720</v>
          </cell>
          <cell r="BG1953">
            <v>-35160</v>
          </cell>
          <cell r="BH1953">
            <v>-21720</v>
          </cell>
          <cell r="BI1953">
            <v>-35160</v>
          </cell>
          <cell r="BJ1953">
            <v>-21720</v>
          </cell>
          <cell r="BK1953">
            <v>-35160</v>
          </cell>
          <cell r="BL1953">
            <v>-21720</v>
          </cell>
          <cell r="BM1953">
            <v>-35160</v>
          </cell>
          <cell r="BN1953">
            <v>-21720</v>
          </cell>
          <cell r="BO1953">
            <v>-35160</v>
          </cell>
          <cell r="BP1953">
            <v>-21720</v>
          </cell>
          <cell r="BQ1953">
            <v>-35160</v>
          </cell>
          <cell r="BR1953">
            <v>-21720</v>
          </cell>
          <cell r="BS1953">
            <v>-35160</v>
          </cell>
          <cell r="BT1953">
            <v>-21720</v>
          </cell>
          <cell r="BU1953">
            <v>-35160</v>
          </cell>
          <cell r="BV1953">
            <v>-21720</v>
          </cell>
        </row>
        <row r="1954">
          <cell r="A1954" t="str">
            <v>Volvo EX30</v>
          </cell>
          <cell r="B1954" t="str">
            <v>FHR</v>
          </cell>
          <cell r="D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  <cell r="BK1954">
            <v>0</v>
          </cell>
          <cell r="BL1954">
            <v>0</v>
          </cell>
          <cell r="BM1954">
            <v>0</v>
          </cell>
          <cell r="BN1954">
            <v>0</v>
          </cell>
          <cell r="BO1954">
            <v>0</v>
          </cell>
          <cell r="BP1954">
            <v>0</v>
          </cell>
          <cell r="BQ1954">
            <v>0</v>
          </cell>
          <cell r="BR1954">
            <v>0</v>
          </cell>
          <cell r="BS1954">
            <v>0</v>
          </cell>
          <cell r="BT1954">
            <v>0</v>
          </cell>
          <cell r="BU1954">
            <v>0</v>
          </cell>
          <cell r="BV1954">
            <v>0</v>
          </cell>
        </row>
        <row r="1955">
          <cell r="A1955" t="str">
            <v>Volvo EX30</v>
          </cell>
          <cell r="B1955" t="str">
            <v>FHR</v>
          </cell>
          <cell r="D1955" t="str">
            <v>STOCK</v>
          </cell>
          <cell r="Z1955">
            <v>3720</v>
          </cell>
          <cell r="AA1955">
            <v>4780.909090909091</v>
          </cell>
          <cell r="AB1955">
            <v>4581.818181818182</v>
          </cell>
          <cell r="AC1955">
            <v>3842.727272727273</v>
          </cell>
          <cell r="AD1955">
            <v>2787.2727272727275</v>
          </cell>
          <cell r="AE1955">
            <v>2648.1818181818185</v>
          </cell>
          <cell r="AF1955">
            <v>3249.5454545454545</v>
          </cell>
          <cell r="AG1955">
            <v>2930.4545454545455</v>
          </cell>
          <cell r="AH1955">
            <v>3651.8181818181815</v>
          </cell>
          <cell r="AI1955">
            <v>3272.7272727272725</v>
          </cell>
          <cell r="AJ1955">
            <v>5254.0909090909081</v>
          </cell>
          <cell r="AK1955">
            <v>-3653.1818181818189</v>
          </cell>
          <cell r="AL1955">
            <v>-1444.0909090909099</v>
          </cell>
          <cell r="AM1955">
            <v>396.81818181818107</v>
          </cell>
          <cell r="AN1955">
            <v>2605.9090909090901</v>
          </cell>
          <cell r="AO1955">
            <v>-2393.1818181818189</v>
          </cell>
          <cell r="AP1955">
            <v>368.18181818181711</v>
          </cell>
          <cell r="AQ1955">
            <v>2209.0909090909081</v>
          </cell>
          <cell r="AR1955">
            <v>4970.4545454545441</v>
          </cell>
          <cell r="AS1955">
            <v>-628.63636363636488</v>
          </cell>
          <cell r="AT1955">
            <v>1212.2727272727261</v>
          </cell>
          <cell r="AU1955">
            <v>2132.7272727272716</v>
          </cell>
          <cell r="AV1955">
            <v>3053.1818181818171</v>
          </cell>
          <cell r="AW1955">
            <v>3973.6363636363626</v>
          </cell>
          <cell r="AX1955">
            <v>4894.0909090909081</v>
          </cell>
          <cell r="AY1955">
            <v>4894.0909090909081</v>
          </cell>
          <cell r="AZ1955">
            <v>4894.0909090909081</v>
          </cell>
          <cell r="BA1955">
            <v>4894.0909090909081</v>
          </cell>
          <cell r="BB1955">
            <v>4894.0909090909081</v>
          </cell>
          <cell r="BC1955">
            <v>5814.545454545454</v>
          </cell>
          <cell r="BD1955">
            <v>6735</v>
          </cell>
          <cell r="BE1955">
            <v>7655.454545454546</v>
          </cell>
          <cell r="BF1955">
            <v>8575.9090909090919</v>
          </cell>
          <cell r="BG1955">
            <v>9496.3636363636379</v>
          </cell>
          <cell r="BH1955">
            <v>10416.818181818184</v>
          </cell>
          <cell r="BI1955">
            <v>11337.27272727273</v>
          </cell>
          <cell r="BJ1955">
            <v>12257.727272727276</v>
          </cell>
          <cell r="BK1955">
            <v>13485.000000000004</v>
          </cell>
          <cell r="BL1955">
            <v>-33129.545454545456</v>
          </cell>
          <cell r="BM1955">
            <v>-32884.090909090912</v>
          </cell>
          <cell r="BN1955">
            <v>-32638.636363636368</v>
          </cell>
          <cell r="BO1955">
            <v>-32393.181818181823</v>
          </cell>
          <cell r="BP1955">
            <v>-32147.727272727279</v>
          </cell>
          <cell r="BQ1955">
            <v>-31902.272727272735</v>
          </cell>
          <cell r="BR1955">
            <v>-31656.818181818191</v>
          </cell>
          <cell r="BS1955">
            <v>-31411.363636363647</v>
          </cell>
          <cell r="BT1955">
            <v>-31165.909090909103</v>
          </cell>
          <cell r="BU1955">
            <v>-30920.454545454559</v>
          </cell>
          <cell r="BV1955">
            <v>-30675.000000000015</v>
          </cell>
        </row>
        <row r="1956">
          <cell r="A1956"/>
          <cell r="B1956" t="str">
            <v>Blank</v>
          </cell>
          <cell r="D1956" t="str">
            <v>Blank</v>
          </cell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</row>
        <row r="1957">
          <cell r="A1957" t="str">
            <v>Volvo EX30</v>
          </cell>
          <cell r="B1957" t="str">
            <v>FHR</v>
          </cell>
          <cell r="D1957" t="str">
            <v>Work days</v>
          </cell>
          <cell r="Z1957">
            <v>5</v>
          </cell>
          <cell r="AA1957">
            <v>5</v>
          </cell>
          <cell r="AB1957">
            <v>5</v>
          </cell>
          <cell r="AC1957">
            <v>5</v>
          </cell>
          <cell r="AD1957">
            <v>3</v>
          </cell>
          <cell r="AE1957">
            <v>5</v>
          </cell>
          <cell r="AF1957">
            <v>5</v>
          </cell>
          <cell r="AG1957">
            <v>5</v>
          </cell>
          <cell r="AH1957">
            <v>5</v>
          </cell>
          <cell r="AI1957">
            <v>5</v>
          </cell>
          <cell r="AJ1957">
            <v>5</v>
          </cell>
          <cell r="AK1957">
            <v>4</v>
          </cell>
          <cell r="AL1957">
            <v>4</v>
          </cell>
          <cell r="AM1957">
            <v>5</v>
          </cell>
          <cell r="AN1957">
            <v>4</v>
          </cell>
          <cell r="AO1957">
            <v>5</v>
          </cell>
          <cell r="AP1957">
            <v>5</v>
          </cell>
          <cell r="AQ1957">
            <v>5</v>
          </cell>
          <cell r="AR1957">
            <v>5</v>
          </cell>
          <cell r="AS1957">
            <v>5</v>
          </cell>
          <cell r="AT1957">
            <v>5</v>
          </cell>
          <cell r="AU1957">
            <v>5</v>
          </cell>
          <cell r="AV1957">
            <v>5</v>
          </cell>
          <cell r="AW1957">
            <v>5</v>
          </cell>
          <cell r="AX1957">
            <v>5</v>
          </cell>
          <cell r="AY1957">
            <v>5</v>
          </cell>
          <cell r="AZ1957">
            <v>0</v>
          </cell>
          <cell r="BA1957">
            <v>0</v>
          </cell>
          <cell r="BB1957">
            <v>0</v>
          </cell>
          <cell r="BC1957">
            <v>5</v>
          </cell>
          <cell r="BD1957">
            <v>5</v>
          </cell>
          <cell r="BE1957">
            <v>5</v>
          </cell>
          <cell r="BF1957">
            <v>5</v>
          </cell>
          <cell r="BG1957">
            <v>5</v>
          </cell>
          <cell r="BH1957">
            <v>5</v>
          </cell>
          <cell r="BI1957">
            <v>5</v>
          </cell>
          <cell r="BJ1957">
            <v>5</v>
          </cell>
          <cell r="BK1957">
            <v>5</v>
          </cell>
          <cell r="BL1957">
            <v>7</v>
          </cell>
          <cell r="BM1957">
            <v>7</v>
          </cell>
          <cell r="BN1957">
            <v>7</v>
          </cell>
          <cell r="BO1957">
            <v>7</v>
          </cell>
          <cell r="BP1957">
            <v>7</v>
          </cell>
          <cell r="BQ1957">
            <v>7</v>
          </cell>
          <cell r="BR1957">
            <v>7</v>
          </cell>
          <cell r="BS1957">
            <v>7</v>
          </cell>
          <cell r="BT1957">
            <v>7</v>
          </cell>
          <cell r="BU1957">
            <v>7</v>
          </cell>
          <cell r="BV1957">
            <v>7</v>
          </cell>
        </row>
        <row r="1958">
          <cell r="A1958" t="str">
            <v>Volvo EX30</v>
          </cell>
          <cell r="B1958" t="str">
            <v>FHR</v>
          </cell>
          <cell r="D1958" t="str">
            <v>SHIFT A HC - operators</v>
          </cell>
          <cell r="Z1958">
            <v>3</v>
          </cell>
          <cell r="AA1958">
            <v>3</v>
          </cell>
          <cell r="AB1958">
            <v>3</v>
          </cell>
          <cell r="AC1958">
            <v>3</v>
          </cell>
          <cell r="AD1958">
            <v>3</v>
          </cell>
          <cell r="AE1958">
            <v>3</v>
          </cell>
          <cell r="AF1958">
            <v>3</v>
          </cell>
          <cell r="AG1958">
            <v>3</v>
          </cell>
          <cell r="AH1958">
            <v>3</v>
          </cell>
          <cell r="AI1958">
            <v>3</v>
          </cell>
          <cell r="AJ1958">
            <v>3</v>
          </cell>
          <cell r="AK1958">
            <v>3</v>
          </cell>
          <cell r="AL1958">
            <v>3</v>
          </cell>
          <cell r="AM1958">
            <v>3</v>
          </cell>
          <cell r="AN1958">
            <v>3</v>
          </cell>
          <cell r="AO1958">
            <v>3</v>
          </cell>
          <cell r="AP1958">
            <v>3</v>
          </cell>
          <cell r="AQ1958">
            <v>3</v>
          </cell>
          <cell r="AR1958">
            <v>3</v>
          </cell>
          <cell r="AS1958">
            <v>3</v>
          </cell>
          <cell r="AT1958">
            <v>3</v>
          </cell>
          <cell r="AU1958">
            <v>3</v>
          </cell>
          <cell r="AV1958">
            <v>3</v>
          </cell>
          <cell r="AW1958">
            <v>3</v>
          </cell>
          <cell r="AX1958">
            <v>3</v>
          </cell>
          <cell r="AY1958">
            <v>3</v>
          </cell>
          <cell r="AZ1958">
            <v>3</v>
          </cell>
          <cell r="BA1958">
            <v>3</v>
          </cell>
          <cell r="BB1958">
            <v>3</v>
          </cell>
          <cell r="BC1958">
            <v>3</v>
          </cell>
          <cell r="BD1958">
            <v>3</v>
          </cell>
          <cell r="BE1958">
            <v>3</v>
          </cell>
          <cell r="BF1958">
            <v>3</v>
          </cell>
          <cell r="BG1958">
            <v>3</v>
          </cell>
          <cell r="BH1958">
            <v>3</v>
          </cell>
          <cell r="BI1958">
            <v>3</v>
          </cell>
          <cell r="BJ1958">
            <v>3</v>
          </cell>
          <cell r="BK1958">
            <v>7</v>
          </cell>
          <cell r="BL1958">
            <v>7</v>
          </cell>
          <cell r="BM1958">
            <v>7</v>
          </cell>
          <cell r="BN1958">
            <v>7</v>
          </cell>
          <cell r="BO1958">
            <v>7</v>
          </cell>
          <cell r="BP1958">
            <v>7</v>
          </cell>
          <cell r="BQ1958">
            <v>7</v>
          </cell>
          <cell r="BR1958">
            <v>7</v>
          </cell>
          <cell r="BS1958">
            <v>7</v>
          </cell>
          <cell r="BT1958">
            <v>7</v>
          </cell>
          <cell r="BU1958">
            <v>7</v>
          </cell>
          <cell r="BV1958">
            <v>7</v>
          </cell>
        </row>
        <row r="1959">
          <cell r="A1959" t="str">
            <v>Volvo EX30</v>
          </cell>
          <cell r="B1959" t="str">
            <v>FHR</v>
          </cell>
          <cell r="D1959" t="str">
            <v>SHIFT B HC  - operators</v>
          </cell>
          <cell r="Z1959">
            <v>3</v>
          </cell>
          <cell r="AA1959">
            <v>3</v>
          </cell>
          <cell r="AB1959">
            <v>3</v>
          </cell>
          <cell r="AC1959">
            <v>3</v>
          </cell>
          <cell r="AD1959">
            <v>3</v>
          </cell>
          <cell r="AE1959">
            <v>3</v>
          </cell>
          <cell r="AF1959">
            <v>3</v>
          </cell>
          <cell r="AG1959">
            <v>3</v>
          </cell>
          <cell r="AH1959">
            <v>3</v>
          </cell>
          <cell r="AI1959">
            <v>3</v>
          </cell>
          <cell r="AJ1959">
            <v>3</v>
          </cell>
          <cell r="AK1959">
            <v>3</v>
          </cell>
          <cell r="AL1959">
            <v>3</v>
          </cell>
          <cell r="AM1959">
            <v>3</v>
          </cell>
          <cell r="AN1959">
            <v>3</v>
          </cell>
          <cell r="AO1959">
            <v>3</v>
          </cell>
          <cell r="AP1959">
            <v>3</v>
          </cell>
          <cell r="AQ1959">
            <v>3</v>
          </cell>
          <cell r="AR1959">
            <v>3</v>
          </cell>
          <cell r="AS1959">
            <v>3</v>
          </cell>
          <cell r="AT1959">
            <v>3</v>
          </cell>
          <cell r="AU1959">
            <v>3</v>
          </cell>
          <cell r="AV1959">
            <v>3</v>
          </cell>
          <cell r="AW1959">
            <v>3</v>
          </cell>
          <cell r="AX1959">
            <v>3</v>
          </cell>
          <cell r="AY1959">
            <v>3</v>
          </cell>
          <cell r="AZ1959">
            <v>3</v>
          </cell>
          <cell r="BA1959">
            <v>3</v>
          </cell>
          <cell r="BB1959">
            <v>3</v>
          </cell>
          <cell r="BC1959">
            <v>3</v>
          </cell>
          <cell r="BD1959">
            <v>3</v>
          </cell>
          <cell r="BE1959">
            <v>3</v>
          </cell>
          <cell r="BF1959">
            <v>3</v>
          </cell>
          <cell r="BG1959">
            <v>3</v>
          </cell>
          <cell r="BH1959">
            <v>3</v>
          </cell>
          <cell r="BI1959">
            <v>3</v>
          </cell>
          <cell r="BJ1959">
            <v>3</v>
          </cell>
          <cell r="BK1959">
            <v>0</v>
          </cell>
          <cell r="BL1959">
            <v>0</v>
          </cell>
          <cell r="BM1959">
            <v>0</v>
          </cell>
          <cell r="BN1959">
            <v>0</v>
          </cell>
          <cell r="BO1959">
            <v>0</v>
          </cell>
          <cell r="BP1959">
            <v>0</v>
          </cell>
          <cell r="BQ1959">
            <v>0</v>
          </cell>
          <cell r="BR1959">
            <v>0</v>
          </cell>
          <cell r="BS1959">
            <v>0</v>
          </cell>
          <cell r="BT1959">
            <v>0</v>
          </cell>
          <cell r="BU1959">
            <v>0</v>
          </cell>
          <cell r="BV1959">
            <v>0</v>
          </cell>
        </row>
        <row r="1960">
          <cell r="A1960" t="str">
            <v>Volvo EX30</v>
          </cell>
          <cell r="B1960" t="str">
            <v>FHR</v>
          </cell>
          <cell r="D1960" t="str">
            <v>SHIFT C HC  - operators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  <cell r="BK1960">
            <v>0</v>
          </cell>
          <cell r="BL1960">
            <v>0</v>
          </cell>
          <cell r="BM1960">
            <v>0</v>
          </cell>
          <cell r="BN1960">
            <v>0</v>
          </cell>
          <cell r="BO1960">
            <v>0</v>
          </cell>
          <cell r="BP1960">
            <v>0</v>
          </cell>
          <cell r="BQ1960">
            <v>0</v>
          </cell>
          <cell r="BR1960">
            <v>0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</row>
        <row r="1961">
          <cell r="A1961" t="str">
            <v>Volvo EX30</v>
          </cell>
          <cell r="B1961" t="str">
            <v>FHR</v>
          </cell>
          <cell r="D1961" t="str">
            <v>Total HC</v>
          </cell>
          <cell r="Z1961">
            <v>6</v>
          </cell>
          <cell r="AA1961">
            <v>6</v>
          </cell>
          <cell r="AB1961">
            <v>6</v>
          </cell>
          <cell r="AC1961">
            <v>6</v>
          </cell>
          <cell r="AD1961">
            <v>6</v>
          </cell>
          <cell r="AE1961">
            <v>6</v>
          </cell>
          <cell r="AF1961">
            <v>6</v>
          </cell>
          <cell r="AG1961">
            <v>6</v>
          </cell>
          <cell r="AH1961">
            <v>6</v>
          </cell>
          <cell r="AI1961">
            <v>6</v>
          </cell>
          <cell r="AJ1961">
            <v>6</v>
          </cell>
          <cell r="AK1961">
            <v>6</v>
          </cell>
          <cell r="AL1961">
            <v>6</v>
          </cell>
          <cell r="AM1961">
            <v>6</v>
          </cell>
          <cell r="AN1961">
            <v>6</v>
          </cell>
          <cell r="AO1961">
            <v>6</v>
          </cell>
          <cell r="AP1961">
            <v>6</v>
          </cell>
          <cell r="AQ1961">
            <v>6</v>
          </cell>
          <cell r="AR1961">
            <v>6</v>
          </cell>
          <cell r="AS1961">
            <v>6</v>
          </cell>
          <cell r="AT1961">
            <v>6</v>
          </cell>
          <cell r="AU1961">
            <v>6</v>
          </cell>
          <cell r="AV1961">
            <v>6</v>
          </cell>
          <cell r="AW1961">
            <v>6</v>
          </cell>
          <cell r="AX1961">
            <v>6</v>
          </cell>
          <cell r="AY1961">
            <v>6</v>
          </cell>
          <cell r="AZ1961">
            <v>6</v>
          </cell>
          <cell r="BA1961">
            <v>6</v>
          </cell>
          <cell r="BB1961">
            <v>6</v>
          </cell>
          <cell r="BC1961">
            <v>6</v>
          </cell>
          <cell r="BD1961">
            <v>6</v>
          </cell>
          <cell r="BE1961">
            <v>6</v>
          </cell>
          <cell r="BF1961">
            <v>6</v>
          </cell>
          <cell r="BG1961">
            <v>6</v>
          </cell>
          <cell r="BH1961">
            <v>6</v>
          </cell>
          <cell r="BI1961">
            <v>6</v>
          </cell>
          <cell r="BJ1961">
            <v>6</v>
          </cell>
          <cell r="BK1961">
            <v>7</v>
          </cell>
          <cell r="BL1961">
            <v>7</v>
          </cell>
          <cell r="BM1961">
            <v>7</v>
          </cell>
          <cell r="BN1961">
            <v>7</v>
          </cell>
          <cell r="BO1961">
            <v>7</v>
          </cell>
          <cell r="BP1961">
            <v>7</v>
          </cell>
          <cell r="BQ1961">
            <v>7</v>
          </cell>
          <cell r="BR1961">
            <v>7</v>
          </cell>
          <cell r="BS1961">
            <v>7</v>
          </cell>
          <cell r="BT1961">
            <v>7</v>
          </cell>
          <cell r="BU1961">
            <v>7</v>
          </cell>
          <cell r="BV1961">
            <v>7</v>
          </cell>
        </row>
        <row r="1962">
          <cell r="A1962" t="str">
            <v>Volvo EX30</v>
          </cell>
          <cell r="B1962" t="str">
            <v>FHR</v>
          </cell>
          <cell r="D1962" t="str">
            <v>SHIFT A HC  - efficiency</v>
          </cell>
          <cell r="Z1962">
            <v>1.1000000000000001</v>
          </cell>
          <cell r="AA1962">
            <v>1.1000000000000001</v>
          </cell>
          <cell r="AB1962">
            <v>1.1000000000000001</v>
          </cell>
          <cell r="AC1962">
            <v>1.2</v>
          </cell>
          <cell r="AD1962">
            <v>1.2</v>
          </cell>
          <cell r="AE1962">
            <v>1.2</v>
          </cell>
          <cell r="AF1962">
            <v>1.2</v>
          </cell>
          <cell r="AG1962">
            <v>1.2</v>
          </cell>
          <cell r="AH1962">
            <v>1.2</v>
          </cell>
          <cell r="AI1962">
            <v>1.2</v>
          </cell>
          <cell r="AJ1962">
            <v>1.2</v>
          </cell>
          <cell r="AK1962">
            <v>1.2</v>
          </cell>
          <cell r="AL1962">
            <v>1.2</v>
          </cell>
          <cell r="AM1962">
            <v>1.2</v>
          </cell>
          <cell r="AN1962">
            <v>1.2</v>
          </cell>
          <cell r="AO1962">
            <v>1.2</v>
          </cell>
          <cell r="AP1962">
            <v>1.2</v>
          </cell>
          <cell r="AQ1962">
            <v>1.2</v>
          </cell>
          <cell r="AR1962">
            <v>1.2</v>
          </cell>
          <cell r="AS1962">
            <v>1.2</v>
          </cell>
          <cell r="AT1962">
            <v>1.2</v>
          </cell>
          <cell r="AU1962">
            <v>1.2</v>
          </cell>
          <cell r="AV1962">
            <v>1.2</v>
          </cell>
          <cell r="AW1962">
            <v>1</v>
          </cell>
          <cell r="AX1962">
            <v>1</v>
          </cell>
          <cell r="AY1962">
            <v>1</v>
          </cell>
          <cell r="AZ1962">
            <v>1</v>
          </cell>
          <cell r="BA1962">
            <v>1</v>
          </cell>
          <cell r="BB1962">
            <v>1</v>
          </cell>
          <cell r="BC1962">
            <v>1</v>
          </cell>
          <cell r="BD1962">
            <v>1</v>
          </cell>
          <cell r="BE1962">
            <v>1</v>
          </cell>
          <cell r="BF1962">
            <v>1</v>
          </cell>
          <cell r="BG1962">
            <v>1</v>
          </cell>
          <cell r="BH1962">
            <v>1</v>
          </cell>
          <cell r="BI1962">
            <v>1</v>
          </cell>
          <cell r="BJ1962">
            <v>1</v>
          </cell>
          <cell r="BK1962">
            <v>1.2</v>
          </cell>
          <cell r="BL1962">
            <v>1.2</v>
          </cell>
          <cell r="BM1962">
            <v>1.2</v>
          </cell>
          <cell r="BN1962">
            <v>1.2</v>
          </cell>
          <cell r="BO1962">
            <v>1.2</v>
          </cell>
          <cell r="BP1962">
            <v>1.2</v>
          </cell>
          <cell r="BQ1962">
            <v>1.2</v>
          </cell>
          <cell r="BR1962">
            <v>1.2</v>
          </cell>
          <cell r="BS1962">
            <v>1.2</v>
          </cell>
          <cell r="BT1962">
            <v>1.2</v>
          </cell>
          <cell r="BU1962">
            <v>1.2</v>
          </cell>
          <cell r="BV1962">
            <v>1.2</v>
          </cell>
        </row>
        <row r="1963">
          <cell r="A1963" t="str">
            <v>Volvo EX30</v>
          </cell>
          <cell r="B1963" t="str">
            <v>FHR</v>
          </cell>
          <cell r="D1963" t="str">
            <v>SHIFT B HC  - efficiency</v>
          </cell>
          <cell r="Z1963">
            <v>1.1000000000000001</v>
          </cell>
          <cell r="AA1963">
            <v>1.1000000000000001</v>
          </cell>
          <cell r="AB1963">
            <v>1.1000000000000001</v>
          </cell>
          <cell r="AC1963">
            <v>1.2</v>
          </cell>
          <cell r="AD1963">
            <v>1.2</v>
          </cell>
          <cell r="AE1963">
            <v>1.2</v>
          </cell>
          <cell r="AF1963">
            <v>1.2</v>
          </cell>
          <cell r="AG1963">
            <v>1.2</v>
          </cell>
          <cell r="AH1963">
            <v>1.2</v>
          </cell>
          <cell r="AI1963">
            <v>1.2</v>
          </cell>
          <cell r="AJ1963">
            <v>1.2</v>
          </cell>
          <cell r="AK1963">
            <v>1.2</v>
          </cell>
          <cell r="AL1963">
            <v>1.2</v>
          </cell>
          <cell r="AM1963">
            <v>1.2</v>
          </cell>
          <cell r="AN1963">
            <v>1.2</v>
          </cell>
          <cell r="AO1963">
            <v>1.2</v>
          </cell>
          <cell r="AP1963">
            <v>1.2</v>
          </cell>
          <cell r="AQ1963">
            <v>1.2</v>
          </cell>
          <cell r="AR1963">
            <v>1.2</v>
          </cell>
          <cell r="AS1963">
            <v>1.2</v>
          </cell>
          <cell r="AT1963">
            <v>1.2</v>
          </cell>
          <cell r="AU1963">
            <v>1.2</v>
          </cell>
          <cell r="AV1963">
            <v>1.2</v>
          </cell>
          <cell r="AW1963">
            <v>1</v>
          </cell>
          <cell r="AX1963">
            <v>1</v>
          </cell>
          <cell r="AY1963">
            <v>1</v>
          </cell>
          <cell r="AZ1963">
            <v>1</v>
          </cell>
          <cell r="BA1963">
            <v>1</v>
          </cell>
          <cell r="BB1963">
            <v>1</v>
          </cell>
          <cell r="BC1963">
            <v>1</v>
          </cell>
          <cell r="BD1963">
            <v>1</v>
          </cell>
          <cell r="BE1963">
            <v>1</v>
          </cell>
          <cell r="BF1963">
            <v>1</v>
          </cell>
          <cell r="BG1963">
            <v>1</v>
          </cell>
          <cell r="BH1963">
            <v>1</v>
          </cell>
          <cell r="BI1963">
            <v>1</v>
          </cell>
          <cell r="BJ1963">
            <v>1</v>
          </cell>
          <cell r="BK1963">
            <v>1</v>
          </cell>
          <cell r="BL1963">
            <v>1</v>
          </cell>
          <cell r="BM1963">
            <v>1</v>
          </cell>
          <cell r="BN1963">
            <v>1</v>
          </cell>
          <cell r="BO1963">
            <v>1</v>
          </cell>
          <cell r="BP1963">
            <v>1</v>
          </cell>
          <cell r="BQ1963">
            <v>1</v>
          </cell>
          <cell r="BR1963">
            <v>1</v>
          </cell>
          <cell r="BS1963">
            <v>1</v>
          </cell>
          <cell r="BT1963">
            <v>1</v>
          </cell>
          <cell r="BU1963">
            <v>1</v>
          </cell>
          <cell r="BV1963">
            <v>1</v>
          </cell>
        </row>
        <row r="1964">
          <cell r="A1964" t="str">
            <v>Volvo EX30</v>
          </cell>
          <cell r="B1964" t="str">
            <v>FHR</v>
          </cell>
          <cell r="D1964" t="str">
            <v>SHIFT C HC  - efficiency</v>
          </cell>
          <cell r="Z1964">
            <v>1</v>
          </cell>
          <cell r="AA1964">
            <v>1</v>
          </cell>
          <cell r="AB1964">
            <v>1</v>
          </cell>
          <cell r="AC1964">
            <v>1</v>
          </cell>
          <cell r="AD1964">
            <v>1</v>
          </cell>
          <cell r="AE1964">
            <v>1</v>
          </cell>
          <cell r="AF1964">
            <v>1</v>
          </cell>
          <cell r="AG1964">
            <v>1</v>
          </cell>
          <cell r="AH1964">
            <v>1</v>
          </cell>
          <cell r="AI1964">
            <v>1</v>
          </cell>
          <cell r="AJ1964">
            <v>1</v>
          </cell>
          <cell r="AK1964">
            <v>1</v>
          </cell>
          <cell r="AL1964">
            <v>1</v>
          </cell>
          <cell r="AM1964">
            <v>1</v>
          </cell>
          <cell r="AN1964">
            <v>1</v>
          </cell>
          <cell r="AO1964">
            <v>1</v>
          </cell>
          <cell r="AP1964">
            <v>1</v>
          </cell>
          <cell r="AQ1964">
            <v>1</v>
          </cell>
          <cell r="AR1964">
            <v>1</v>
          </cell>
          <cell r="AS1964">
            <v>1</v>
          </cell>
          <cell r="AT1964">
            <v>1</v>
          </cell>
          <cell r="AU1964">
            <v>1</v>
          </cell>
          <cell r="AV1964">
            <v>1</v>
          </cell>
          <cell r="AW1964">
            <v>1</v>
          </cell>
          <cell r="AX1964">
            <v>1</v>
          </cell>
          <cell r="AY1964">
            <v>1</v>
          </cell>
          <cell r="AZ1964">
            <v>1</v>
          </cell>
          <cell r="BA1964">
            <v>1</v>
          </cell>
          <cell r="BB1964">
            <v>1</v>
          </cell>
          <cell r="BC1964">
            <v>1</v>
          </cell>
          <cell r="BD1964">
            <v>1</v>
          </cell>
          <cell r="BE1964">
            <v>1</v>
          </cell>
          <cell r="BF1964">
            <v>1</v>
          </cell>
          <cell r="BG1964">
            <v>1</v>
          </cell>
          <cell r="BH1964">
            <v>1</v>
          </cell>
          <cell r="BI1964">
            <v>1</v>
          </cell>
          <cell r="BJ1964">
            <v>1</v>
          </cell>
          <cell r="BK1964">
            <v>1</v>
          </cell>
          <cell r="BL1964">
            <v>1</v>
          </cell>
          <cell r="BM1964">
            <v>1</v>
          </cell>
          <cell r="BN1964">
            <v>1</v>
          </cell>
          <cell r="BO1964">
            <v>1</v>
          </cell>
          <cell r="BP1964">
            <v>1</v>
          </cell>
          <cell r="BQ1964">
            <v>1</v>
          </cell>
          <cell r="BR1964">
            <v>1</v>
          </cell>
          <cell r="BS1964">
            <v>1</v>
          </cell>
          <cell r="BT1964">
            <v>1</v>
          </cell>
          <cell r="BU1964">
            <v>1</v>
          </cell>
          <cell r="BV1964">
            <v>1</v>
          </cell>
        </row>
        <row r="1965">
          <cell r="A1965" t="str">
            <v>Volvo EX30</v>
          </cell>
          <cell r="B1965" t="str">
            <v>FHR</v>
          </cell>
          <cell r="D1965" t="str">
            <v>Total efficiency</v>
          </cell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</row>
        <row r="1966">
          <cell r="A1966" t="str">
            <v>Volvo EX30</v>
          </cell>
          <cell r="B1966" t="str">
            <v>FHR</v>
          </cell>
          <cell r="D1966" t="str">
            <v>SHIFT A - output</v>
          </cell>
          <cell r="Z1966">
            <v>201.21951219512198</v>
          </cell>
          <cell r="AA1966">
            <v>201.21951219512198</v>
          </cell>
          <cell r="AB1966">
            <v>201.21951219512198</v>
          </cell>
          <cell r="AC1966">
            <v>219.51219512195124</v>
          </cell>
          <cell r="AD1966">
            <v>219.51219512195124</v>
          </cell>
          <cell r="AE1966">
            <v>219.51219512195124</v>
          </cell>
          <cell r="AF1966">
            <v>219.51219512195124</v>
          </cell>
          <cell r="AG1966">
            <v>219.51219512195124</v>
          </cell>
          <cell r="AH1966">
            <v>219.51219512195124</v>
          </cell>
          <cell r="AI1966">
            <v>219.51219512195124</v>
          </cell>
          <cell r="AJ1966">
            <v>219.51219512195124</v>
          </cell>
          <cell r="AK1966">
            <v>219.51219512195124</v>
          </cell>
          <cell r="AL1966">
            <v>219.51219512195124</v>
          </cell>
          <cell r="AM1966">
            <v>219.51219512195124</v>
          </cell>
          <cell r="AN1966">
            <v>219.51219512195124</v>
          </cell>
          <cell r="AO1966">
            <v>219.51219512195124</v>
          </cell>
          <cell r="AP1966">
            <v>219.51219512195124</v>
          </cell>
          <cell r="AQ1966">
            <v>219.51219512195124</v>
          </cell>
          <cell r="AR1966">
            <v>219.51219512195124</v>
          </cell>
          <cell r="AS1966">
            <v>219.51219512195124</v>
          </cell>
          <cell r="AT1966">
            <v>219.51219512195124</v>
          </cell>
          <cell r="AU1966">
            <v>219.51219512195124</v>
          </cell>
          <cell r="AV1966">
            <v>219.51219512195124</v>
          </cell>
          <cell r="AW1966">
            <v>182.92682926829269</v>
          </cell>
          <cell r="AX1966">
            <v>182.92682926829269</v>
          </cell>
          <cell r="AY1966">
            <v>182.92682926829269</v>
          </cell>
          <cell r="AZ1966">
            <v>182.92682926829269</v>
          </cell>
          <cell r="BA1966">
            <v>182.92682926829269</v>
          </cell>
          <cell r="BB1966">
            <v>182.92682926829269</v>
          </cell>
          <cell r="BC1966">
            <v>182.92682926829269</v>
          </cell>
          <cell r="BD1966">
            <v>182.92682926829269</v>
          </cell>
          <cell r="BE1966">
            <v>182.92682926829269</v>
          </cell>
          <cell r="BF1966">
            <v>182.92682926829269</v>
          </cell>
          <cell r="BG1966">
            <v>182.92682926829269</v>
          </cell>
          <cell r="BH1966">
            <v>182.92682926829269</v>
          </cell>
          <cell r="BI1966">
            <v>182.92682926829269</v>
          </cell>
          <cell r="BJ1966">
            <v>182.92682926829269</v>
          </cell>
          <cell r="BK1966">
            <v>512.19512195121945</v>
          </cell>
          <cell r="BL1966">
            <v>512.19512195121945</v>
          </cell>
          <cell r="BM1966">
            <v>512.19512195121945</v>
          </cell>
          <cell r="BN1966">
            <v>512.19512195121945</v>
          </cell>
          <cell r="BO1966">
            <v>512.19512195121945</v>
          </cell>
          <cell r="BP1966">
            <v>512.19512195121945</v>
          </cell>
          <cell r="BQ1966">
            <v>512.19512195121945</v>
          </cell>
          <cell r="BR1966">
            <v>512.19512195121945</v>
          </cell>
          <cell r="BS1966">
            <v>512.19512195121945</v>
          </cell>
          <cell r="BT1966">
            <v>512.19512195121945</v>
          </cell>
          <cell r="BU1966">
            <v>512.19512195121945</v>
          </cell>
          <cell r="BV1966">
            <v>512.19512195121945</v>
          </cell>
        </row>
        <row r="1967">
          <cell r="A1967" t="str">
            <v>Volvo EX30</v>
          </cell>
          <cell r="B1967" t="str">
            <v>FHR</v>
          </cell>
          <cell r="D1967" t="str">
            <v>SHIFT B  - output</v>
          </cell>
          <cell r="Z1967">
            <v>201.21951219512198</v>
          </cell>
          <cell r="AA1967">
            <v>201.21951219512198</v>
          </cell>
          <cell r="AB1967">
            <v>201.21951219512198</v>
          </cell>
          <cell r="AC1967">
            <v>219.51219512195124</v>
          </cell>
          <cell r="AD1967">
            <v>219.51219512195124</v>
          </cell>
          <cell r="AE1967">
            <v>219.51219512195124</v>
          </cell>
          <cell r="AF1967">
            <v>219.51219512195124</v>
          </cell>
          <cell r="AG1967">
            <v>219.51219512195124</v>
          </cell>
          <cell r="AH1967">
            <v>219.51219512195124</v>
          </cell>
          <cell r="AI1967">
            <v>219.51219512195124</v>
          </cell>
          <cell r="AJ1967">
            <v>219.51219512195124</v>
          </cell>
          <cell r="AK1967">
            <v>219.51219512195124</v>
          </cell>
          <cell r="AL1967">
            <v>219.51219512195124</v>
          </cell>
          <cell r="AM1967">
            <v>219.51219512195124</v>
          </cell>
          <cell r="AN1967">
            <v>219.51219512195124</v>
          </cell>
          <cell r="AO1967">
            <v>219.51219512195124</v>
          </cell>
          <cell r="AP1967">
            <v>219.51219512195124</v>
          </cell>
          <cell r="AQ1967">
            <v>219.51219512195124</v>
          </cell>
          <cell r="AR1967">
            <v>219.51219512195124</v>
          </cell>
          <cell r="AS1967">
            <v>219.51219512195124</v>
          </cell>
          <cell r="AT1967">
            <v>219.51219512195124</v>
          </cell>
          <cell r="AU1967">
            <v>219.51219512195124</v>
          </cell>
          <cell r="AV1967">
            <v>219.51219512195124</v>
          </cell>
          <cell r="AW1967">
            <v>182.92682926829269</v>
          </cell>
          <cell r="AX1967">
            <v>182.92682926829269</v>
          </cell>
          <cell r="AY1967">
            <v>182.92682926829269</v>
          </cell>
          <cell r="AZ1967">
            <v>182.92682926829269</v>
          </cell>
          <cell r="BA1967">
            <v>182.92682926829269</v>
          </cell>
          <cell r="BB1967">
            <v>182.92682926829269</v>
          </cell>
          <cell r="BC1967">
            <v>182.92682926829269</v>
          </cell>
          <cell r="BD1967">
            <v>182.92682926829269</v>
          </cell>
          <cell r="BE1967">
            <v>182.92682926829269</v>
          </cell>
          <cell r="BF1967">
            <v>182.92682926829269</v>
          </cell>
          <cell r="BG1967">
            <v>182.92682926829269</v>
          </cell>
          <cell r="BH1967">
            <v>182.92682926829269</v>
          </cell>
          <cell r="BI1967">
            <v>182.92682926829269</v>
          </cell>
          <cell r="BJ1967">
            <v>182.92682926829269</v>
          </cell>
          <cell r="BK1967">
            <v>0</v>
          </cell>
          <cell r="BL1967">
            <v>0</v>
          </cell>
          <cell r="BM1967">
            <v>0</v>
          </cell>
          <cell r="BN1967">
            <v>0</v>
          </cell>
          <cell r="BO1967">
            <v>0</v>
          </cell>
          <cell r="BP1967">
            <v>0</v>
          </cell>
          <cell r="BQ1967">
            <v>0</v>
          </cell>
          <cell r="BR1967">
            <v>0</v>
          </cell>
          <cell r="BS1967">
            <v>0</v>
          </cell>
          <cell r="BT1967">
            <v>0</v>
          </cell>
          <cell r="BU1967">
            <v>0</v>
          </cell>
          <cell r="BV1967">
            <v>0</v>
          </cell>
        </row>
        <row r="1968">
          <cell r="A1968" t="str">
            <v>Volvo EX30</v>
          </cell>
          <cell r="B1968" t="str">
            <v>FHR</v>
          </cell>
          <cell r="D1968" t="str">
            <v>SHIFT C  - output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  <cell r="BK1968">
            <v>0</v>
          </cell>
          <cell r="BL1968">
            <v>0</v>
          </cell>
          <cell r="BM1968">
            <v>0</v>
          </cell>
          <cell r="BN1968">
            <v>0</v>
          </cell>
          <cell r="BO1968">
            <v>0</v>
          </cell>
          <cell r="BP1968">
            <v>0</v>
          </cell>
          <cell r="BQ1968">
            <v>0</v>
          </cell>
          <cell r="BR1968">
            <v>0</v>
          </cell>
          <cell r="BS1968">
            <v>0</v>
          </cell>
          <cell r="BT1968">
            <v>0</v>
          </cell>
          <cell r="BU1968">
            <v>0</v>
          </cell>
          <cell r="BV1968">
            <v>0</v>
          </cell>
        </row>
        <row r="1969">
          <cell r="A1969" t="str">
            <v>Volvo EX30</v>
          </cell>
          <cell r="B1969" t="str">
            <v>FHR</v>
          </cell>
          <cell r="D1969" t="str">
            <v>Est. Output (Pcs day)</v>
          </cell>
          <cell r="E1969">
            <v>7.38</v>
          </cell>
          <cell r="Z1969">
            <v>402.43902439024396</v>
          </cell>
          <cell r="AA1969">
            <v>402.43902439024396</v>
          </cell>
          <cell r="AB1969">
            <v>402.43902439024396</v>
          </cell>
          <cell r="AC1969">
            <v>439.02439024390247</v>
          </cell>
          <cell r="AD1969">
            <v>439.02439024390247</v>
          </cell>
          <cell r="AE1969">
            <v>439.02439024390247</v>
          </cell>
          <cell r="AF1969">
            <v>439.02439024390247</v>
          </cell>
          <cell r="AG1969">
            <v>439.02439024390247</v>
          </cell>
          <cell r="AH1969">
            <v>439.02439024390247</v>
          </cell>
          <cell r="AI1969">
            <v>439.02439024390247</v>
          </cell>
          <cell r="AJ1969">
            <v>439.02439024390247</v>
          </cell>
          <cell r="AK1969">
            <v>439.02439024390247</v>
          </cell>
          <cell r="AL1969">
            <v>439.02439024390247</v>
          </cell>
          <cell r="AM1969">
            <v>439.02439024390247</v>
          </cell>
          <cell r="AN1969">
            <v>439.02439024390247</v>
          </cell>
          <cell r="AO1969">
            <v>439.02439024390247</v>
          </cell>
          <cell r="AP1969">
            <v>439.02439024390247</v>
          </cell>
          <cell r="AQ1969">
            <v>439.02439024390247</v>
          </cell>
          <cell r="AR1969">
            <v>439.02439024390247</v>
          </cell>
          <cell r="AS1969">
            <v>439.02439024390247</v>
          </cell>
          <cell r="AT1969">
            <v>439.02439024390247</v>
          </cell>
          <cell r="AU1969">
            <v>439.02439024390247</v>
          </cell>
          <cell r="AV1969">
            <v>439.02439024390247</v>
          </cell>
          <cell r="AW1969">
            <v>365.85365853658539</v>
          </cell>
          <cell r="AX1969">
            <v>365.85365853658539</v>
          </cell>
          <cell r="AY1969">
            <v>365.85365853658539</v>
          </cell>
          <cell r="AZ1969">
            <v>365.85365853658539</v>
          </cell>
          <cell r="BA1969">
            <v>365.85365853658539</v>
          </cell>
          <cell r="BB1969">
            <v>365.85365853658539</v>
          </cell>
          <cell r="BC1969">
            <v>365.85365853658539</v>
          </cell>
          <cell r="BD1969">
            <v>365.85365853658539</v>
          </cell>
          <cell r="BE1969">
            <v>365.85365853658539</v>
          </cell>
          <cell r="BF1969">
            <v>365.85365853658539</v>
          </cell>
          <cell r="BG1969">
            <v>365.85365853658539</v>
          </cell>
          <cell r="BH1969">
            <v>365.85365853658539</v>
          </cell>
          <cell r="BI1969">
            <v>365.85365853658539</v>
          </cell>
          <cell r="BJ1969">
            <v>365.85365853658539</v>
          </cell>
          <cell r="BK1969">
            <v>512.19512195121945</v>
          </cell>
          <cell r="BL1969">
            <v>512.19512195121945</v>
          </cell>
          <cell r="BM1969">
            <v>512.19512195121945</v>
          </cell>
          <cell r="BN1969">
            <v>512.19512195121945</v>
          </cell>
          <cell r="BO1969">
            <v>512.19512195121945</v>
          </cell>
          <cell r="BP1969">
            <v>512.19512195121945</v>
          </cell>
          <cell r="BQ1969">
            <v>512.19512195121945</v>
          </cell>
          <cell r="BR1969">
            <v>512.19512195121945</v>
          </cell>
          <cell r="BS1969">
            <v>512.19512195121945</v>
          </cell>
          <cell r="BT1969">
            <v>512.19512195121945</v>
          </cell>
          <cell r="BU1969">
            <v>512.19512195121945</v>
          </cell>
          <cell r="BV1969">
            <v>512.19512195121945</v>
          </cell>
        </row>
        <row r="1970">
          <cell r="A1970" t="str">
            <v>Volvo EX30</v>
          </cell>
          <cell r="B1970" t="str">
            <v>FHR</v>
          </cell>
          <cell r="D1970" t="str">
            <v>Weekly Output PLAN</v>
          </cell>
          <cell r="E1970" t="str">
            <v>SEW</v>
          </cell>
          <cell r="Z1970">
            <v>2012.1951219512198</v>
          </cell>
          <cell r="AA1970">
            <v>2012.1951219512198</v>
          </cell>
          <cell r="AB1970">
            <v>2012.1951219512198</v>
          </cell>
          <cell r="AC1970">
            <v>2195.1219512195125</v>
          </cell>
          <cell r="AD1970">
            <v>1317.0731707317075</v>
          </cell>
          <cell r="AE1970">
            <v>2195.1219512195125</v>
          </cell>
          <cell r="AF1970">
            <v>2195.1219512195125</v>
          </cell>
          <cell r="AG1970">
            <v>2195.1219512195125</v>
          </cell>
          <cell r="AH1970">
            <v>2195.1219512195125</v>
          </cell>
          <cell r="AI1970">
            <v>2195.1219512195125</v>
          </cell>
          <cell r="AJ1970">
            <v>2195.1219512195125</v>
          </cell>
          <cell r="AK1970">
            <v>1756.0975609756099</v>
          </cell>
          <cell r="AL1970">
            <v>1756.0975609756099</v>
          </cell>
          <cell r="AM1970">
            <v>2195.1219512195125</v>
          </cell>
          <cell r="AN1970">
            <v>1756.0975609756099</v>
          </cell>
          <cell r="AO1970">
            <v>2195.1219512195125</v>
          </cell>
          <cell r="AP1970">
            <v>2195.1219512195125</v>
          </cell>
          <cell r="AQ1970">
            <v>2195.1219512195125</v>
          </cell>
          <cell r="AR1970">
            <v>2195.1219512195125</v>
          </cell>
          <cell r="AS1970">
            <v>2195.1219512195125</v>
          </cell>
          <cell r="AT1970">
            <v>2195.1219512195125</v>
          </cell>
          <cell r="AU1970">
            <v>2195.1219512195125</v>
          </cell>
          <cell r="AV1970">
            <v>2195.1219512195125</v>
          </cell>
          <cell r="AW1970">
            <v>1829.268292682927</v>
          </cell>
          <cell r="AX1970">
            <v>1829.268292682927</v>
          </cell>
          <cell r="AY1970">
            <v>1829.268292682927</v>
          </cell>
          <cell r="AZ1970">
            <v>0</v>
          </cell>
          <cell r="BA1970">
            <v>0</v>
          </cell>
          <cell r="BB1970">
            <v>0</v>
          </cell>
          <cell r="BC1970">
            <v>1829.268292682927</v>
          </cell>
          <cell r="BD1970">
            <v>1829.268292682927</v>
          </cell>
          <cell r="BE1970">
            <v>1829.268292682927</v>
          </cell>
          <cell r="BF1970">
            <v>1829.268292682927</v>
          </cell>
          <cell r="BG1970">
            <v>1829.268292682927</v>
          </cell>
          <cell r="BH1970">
            <v>1829.268292682927</v>
          </cell>
          <cell r="BI1970">
            <v>1829.268292682927</v>
          </cell>
          <cell r="BJ1970">
            <v>1829.268292682927</v>
          </cell>
          <cell r="BK1970">
            <v>2560.9756097560971</v>
          </cell>
          <cell r="BL1970">
            <v>3585.3658536585363</v>
          </cell>
          <cell r="BM1970">
            <v>3585.3658536585363</v>
          </cell>
          <cell r="BN1970">
            <v>3585.3658536585363</v>
          </cell>
          <cell r="BO1970">
            <v>3585.3658536585363</v>
          </cell>
          <cell r="BP1970">
            <v>3585.3658536585363</v>
          </cell>
          <cell r="BQ1970">
            <v>3585.3658536585363</v>
          </cell>
          <cell r="BR1970">
            <v>3585.3658536585363</v>
          </cell>
          <cell r="BS1970">
            <v>3585.3658536585363</v>
          </cell>
          <cell r="BT1970">
            <v>3585.3658536585363</v>
          </cell>
          <cell r="BU1970">
            <v>3585.3658536585363</v>
          </cell>
          <cell r="BV1970">
            <v>3585.3658536585363</v>
          </cell>
        </row>
        <row r="1971">
          <cell r="A1971" t="str">
            <v>Volvo EX30</v>
          </cell>
          <cell r="B1971" t="str">
            <v>FHR</v>
          </cell>
          <cell r="D1971" t="str">
            <v>FHR V216 MIST</v>
          </cell>
          <cell r="E1971">
            <v>7.3170000000000011</v>
          </cell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</row>
        <row r="1972">
          <cell r="A1972" t="str">
            <v>Volvo EX30</v>
          </cell>
          <cell r="B1972" t="str">
            <v>FHR</v>
          </cell>
          <cell r="D1972" t="str">
            <v>FHR V216 PINE</v>
          </cell>
          <cell r="E1972">
            <v>7.3170000000000011</v>
          </cell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</row>
        <row r="1973">
          <cell r="A1973" t="str">
            <v>Volvo EX30</v>
          </cell>
          <cell r="B1973" t="str">
            <v>FHR</v>
          </cell>
          <cell r="D1973" t="str">
            <v>FHR V216 BREEZE</v>
          </cell>
          <cell r="E1973">
            <v>7.3772999999999991</v>
          </cell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</row>
        <row r="1974">
          <cell r="A1974" t="str">
            <v>Volvo EX30</v>
          </cell>
          <cell r="B1974" t="str">
            <v>FHR</v>
          </cell>
          <cell r="D1974" t="str">
            <v>FHR V216 INDIGO</v>
          </cell>
          <cell r="E1974">
            <v>7.3170000000000011</v>
          </cell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</row>
        <row r="1975">
          <cell r="A1975" t="str">
            <v>Volvo EX30</v>
          </cell>
          <cell r="B1975" t="str">
            <v>FHR</v>
          </cell>
          <cell r="D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</row>
        <row r="1976">
          <cell r="A1976" t="str">
            <v>Volvo EX30</v>
          </cell>
          <cell r="B1976" t="str">
            <v>FHR</v>
          </cell>
          <cell r="D1976" t="str">
            <v>Weekly Output PLAN - SUM of models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0</v>
          </cell>
          <cell r="AJ1976">
            <v>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  <cell r="BK1976">
            <v>0</v>
          </cell>
          <cell r="BL1976">
            <v>0</v>
          </cell>
          <cell r="BM1976">
            <v>0</v>
          </cell>
          <cell r="BN1976">
            <v>0</v>
          </cell>
          <cell r="BO1976">
            <v>0</v>
          </cell>
          <cell r="BP1976">
            <v>0</v>
          </cell>
          <cell r="BQ1976">
            <v>0</v>
          </cell>
          <cell r="BR1976">
            <v>0</v>
          </cell>
          <cell r="BS1976">
            <v>0</v>
          </cell>
          <cell r="BT1976">
            <v>0</v>
          </cell>
          <cell r="BU1976">
            <v>0</v>
          </cell>
          <cell r="BV1976">
            <v>0</v>
          </cell>
        </row>
        <row r="1977">
          <cell r="A1977" t="str">
            <v>Volvo EX30</v>
          </cell>
          <cell r="B1977" t="str">
            <v>FHR</v>
          </cell>
          <cell r="D1977" t="str">
            <v>Weekly Output CHECK with TO time multiple</v>
          </cell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</row>
        <row r="1978">
          <cell r="A1978" t="str">
            <v>Volvo EX30</v>
          </cell>
          <cell r="B1978" t="str">
            <v>FHR</v>
          </cell>
          <cell r="D1978" t="str">
            <v>Weekly Output ACT</v>
          </cell>
          <cell r="Z1978">
            <v>2012.1951219512198</v>
          </cell>
          <cell r="AA1978">
            <v>2012.1951219512198</v>
          </cell>
          <cell r="AB1978">
            <v>2012.1951219512198</v>
          </cell>
          <cell r="AC1978">
            <v>2195.1219512195125</v>
          </cell>
          <cell r="AD1978">
            <v>1317.0731707317075</v>
          </cell>
          <cell r="AE1978">
            <v>2195.1219512195125</v>
          </cell>
          <cell r="AF1978">
            <v>2195.1219512195125</v>
          </cell>
          <cell r="AG1978">
            <v>2195.1219512195125</v>
          </cell>
          <cell r="AH1978">
            <v>2195.1219512195125</v>
          </cell>
          <cell r="AI1978">
            <v>2195.1219512195125</v>
          </cell>
          <cell r="AJ1978">
            <v>2195.1219512195125</v>
          </cell>
          <cell r="AK1978">
            <v>1756.0975609756099</v>
          </cell>
          <cell r="AL1978">
            <v>1756.0975609756099</v>
          </cell>
          <cell r="AM1978">
            <v>2195.1219512195125</v>
          </cell>
          <cell r="AN1978">
            <v>1756.0975609756099</v>
          </cell>
          <cell r="AO1978">
            <v>2195.1219512195125</v>
          </cell>
          <cell r="AP1978">
            <v>2195.1219512195125</v>
          </cell>
          <cell r="AQ1978">
            <v>2195.1219512195125</v>
          </cell>
          <cell r="AR1978">
            <v>2195.1219512195125</v>
          </cell>
          <cell r="AS1978">
            <v>2195.1219512195125</v>
          </cell>
          <cell r="AT1978">
            <v>2195.1219512195125</v>
          </cell>
          <cell r="AU1978">
            <v>2195.1219512195125</v>
          </cell>
          <cell r="AV1978">
            <v>2195.1219512195125</v>
          </cell>
          <cell r="AW1978">
            <v>1829.268292682927</v>
          </cell>
          <cell r="AX1978">
            <v>1829.268292682927</v>
          </cell>
          <cell r="AY1978">
            <v>1829.268292682927</v>
          </cell>
          <cell r="AZ1978">
            <v>0</v>
          </cell>
          <cell r="BA1978">
            <v>0</v>
          </cell>
          <cell r="BB1978">
            <v>0</v>
          </cell>
          <cell r="BC1978">
            <v>1829.268292682927</v>
          </cell>
          <cell r="BD1978">
            <v>1829.268292682927</v>
          </cell>
          <cell r="BE1978">
            <v>1829.268292682927</v>
          </cell>
          <cell r="BF1978">
            <v>1829.268292682927</v>
          </cell>
          <cell r="BG1978">
            <v>1829.268292682927</v>
          </cell>
          <cell r="BH1978">
            <v>1829.268292682927</v>
          </cell>
          <cell r="BI1978">
            <v>1829.268292682927</v>
          </cell>
          <cell r="BJ1978">
            <v>1829.268292682927</v>
          </cell>
          <cell r="BK1978">
            <v>2560.9756097560971</v>
          </cell>
          <cell r="BL1978">
            <v>3585.3658536585363</v>
          </cell>
          <cell r="BM1978">
            <v>3585.3658536585363</v>
          </cell>
          <cell r="BN1978">
            <v>3585.3658536585363</v>
          </cell>
          <cell r="BO1978">
            <v>3585.3658536585363</v>
          </cell>
          <cell r="BP1978">
            <v>3585.3658536585363</v>
          </cell>
          <cell r="BQ1978">
            <v>3585.3658536585363</v>
          </cell>
          <cell r="BR1978">
            <v>3585.3658536585363</v>
          </cell>
          <cell r="BS1978">
            <v>3585.3658536585363</v>
          </cell>
          <cell r="BT1978">
            <v>3585.3658536585363</v>
          </cell>
          <cell r="BU1978">
            <v>3585.3658536585363</v>
          </cell>
          <cell r="BV1978">
            <v>3585.3658536585363</v>
          </cell>
        </row>
        <row r="1979">
          <cell r="A1979" t="str">
            <v>Volvo EX30</v>
          </cell>
          <cell r="B1979" t="str">
            <v>FHR</v>
          </cell>
          <cell r="D1979" t="str">
            <v>FHR V216 MIST</v>
          </cell>
          <cell r="Z1979">
            <v>2761.363636363636</v>
          </cell>
          <cell r="AA1979">
            <v>1840.909090909091</v>
          </cell>
          <cell r="AB1979">
            <v>1840.909090909091</v>
          </cell>
          <cell r="AC1979">
            <v>1840.909090909091</v>
          </cell>
          <cell r="AD1979">
            <v>1104.5454545454545</v>
          </cell>
          <cell r="AE1979">
            <v>1840.909090909091</v>
          </cell>
          <cell r="AF1979">
            <v>2761.363636363636</v>
          </cell>
          <cell r="AG1979">
            <v>1840.909090909091</v>
          </cell>
          <cell r="AH1979">
            <v>2761.363636363636</v>
          </cell>
          <cell r="AI1979">
            <v>1840.909090909091</v>
          </cell>
          <cell r="AJ1979">
            <v>2761.363636363636</v>
          </cell>
          <cell r="AK1979">
            <v>1472.7272727272727</v>
          </cell>
          <cell r="AL1979">
            <v>2209.090909090909</v>
          </cell>
          <cell r="AM1979">
            <v>1840.909090909091</v>
          </cell>
          <cell r="AN1979">
            <v>2209.090909090909</v>
          </cell>
          <cell r="AO1979">
            <v>1840.909090909091</v>
          </cell>
          <cell r="AP1979">
            <v>2761.363636363636</v>
          </cell>
          <cell r="AQ1979">
            <v>1840.909090909091</v>
          </cell>
          <cell r="AR1979">
            <v>2761.363636363636</v>
          </cell>
          <cell r="AS1979">
            <v>1840.909090909091</v>
          </cell>
          <cell r="AT1979">
            <v>1840.909090909091</v>
          </cell>
          <cell r="AU1979">
            <v>920.4545454545455</v>
          </cell>
          <cell r="AV1979">
            <v>920.4545454545455</v>
          </cell>
          <cell r="AW1979">
            <v>920.4545454545455</v>
          </cell>
          <cell r="AX1979">
            <v>920.4545454545455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920.4545454545455</v>
          </cell>
          <cell r="BD1979">
            <v>920.4545454545455</v>
          </cell>
          <cell r="BE1979">
            <v>920.4545454545455</v>
          </cell>
          <cell r="BF1979">
            <v>920.4545454545455</v>
          </cell>
          <cell r="BG1979">
            <v>920.4545454545455</v>
          </cell>
          <cell r="BH1979">
            <v>920.4545454545455</v>
          </cell>
          <cell r="BI1979">
            <v>920.4545454545455</v>
          </cell>
          <cell r="BJ1979">
            <v>920.4545454545455</v>
          </cell>
          <cell r="BK1979">
            <v>0</v>
          </cell>
          <cell r="BL1979">
            <v>0</v>
          </cell>
          <cell r="BM1979">
            <v>0</v>
          </cell>
          <cell r="BN1979">
            <v>0</v>
          </cell>
          <cell r="BO1979">
            <v>0</v>
          </cell>
          <cell r="BP1979">
            <v>0</v>
          </cell>
          <cell r="BQ1979">
            <v>0</v>
          </cell>
          <cell r="BR1979">
            <v>0</v>
          </cell>
          <cell r="BS1979">
            <v>0</v>
          </cell>
          <cell r="BT1979">
            <v>0</v>
          </cell>
          <cell r="BU1979">
            <v>0</v>
          </cell>
          <cell r="BV1979">
            <v>0</v>
          </cell>
        </row>
        <row r="1980">
          <cell r="A1980" t="str">
            <v>Volvo EX30</v>
          </cell>
          <cell r="B1980" t="str">
            <v>FHR</v>
          </cell>
          <cell r="D1980" t="str">
            <v>FHR V216 PINE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0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  <cell r="BK1980">
            <v>0</v>
          </cell>
          <cell r="BL1980">
            <v>0</v>
          </cell>
          <cell r="BM1980">
            <v>0</v>
          </cell>
          <cell r="BN1980">
            <v>0</v>
          </cell>
          <cell r="BO1980">
            <v>0</v>
          </cell>
          <cell r="BP1980">
            <v>0</v>
          </cell>
          <cell r="BQ1980">
            <v>0</v>
          </cell>
          <cell r="BR1980">
            <v>0</v>
          </cell>
          <cell r="BS1980">
            <v>0</v>
          </cell>
          <cell r="BT1980">
            <v>0</v>
          </cell>
          <cell r="BU1980">
            <v>0</v>
          </cell>
          <cell r="BV1980">
            <v>0</v>
          </cell>
        </row>
        <row r="1981">
          <cell r="A1981" t="str">
            <v>Volvo EX30</v>
          </cell>
          <cell r="B1981" t="str">
            <v>FHR</v>
          </cell>
          <cell r="D1981" t="str">
            <v>FHR V216 BREEZE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  <cell r="BK1981">
            <v>0</v>
          </cell>
          <cell r="BL1981">
            <v>0</v>
          </cell>
          <cell r="BM1981">
            <v>0</v>
          </cell>
          <cell r="BN1981">
            <v>0</v>
          </cell>
          <cell r="BO1981">
            <v>0</v>
          </cell>
          <cell r="BP1981">
            <v>0</v>
          </cell>
          <cell r="BQ1981">
            <v>0</v>
          </cell>
          <cell r="BR1981">
            <v>0</v>
          </cell>
          <cell r="BS1981">
            <v>0</v>
          </cell>
          <cell r="BT1981">
            <v>0</v>
          </cell>
          <cell r="BU1981">
            <v>0</v>
          </cell>
          <cell r="BV1981">
            <v>0</v>
          </cell>
        </row>
        <row r="1982">
          <cell r="A1982" t="str">
            <v>Volvo EX30</v>
          </cell>
          <cell r="B1982" t="str">
            <v>FHR</v>
          </cell>
          <cell r="D1982" t="str">
            <v>FHR V216 INDIGO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0</v>
          </cell>
          <cell r="AJ1982">
            <v>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  <cell r="BK1982">
            <v>0</v>
          </cell>
          <cell r="BL1982">
            <v>0</v>
          </cell>
          <cell r="BM1982">
            <v>0</v>
          </cell>
          <cell r="BN1982">
            <v>0</v>
          </cell>
          <cell r="BO1982">
            <v>0</v>
          </cell>
          <cell r="BP1982">
            <v>0</v>
          </cell>
          <cell r="BQ1982">
            <v>0</v>
          </cell>
          <cell r="BR1982">
            <v>0</v>
          </cell>
          <cell r="BS1982">
            <v>0</v>
          </cell>
          <cell r="BT1982">
            <v>0</v>
          </cell>
          <cell r="BU1982">
            <v>0</v>
          </cell>
          <cell r="BV1982">
            <v>0</v>
          </cell>
        </row>
        <row r="1983">
          <cell r="A1983" t="str">
            <v>Volvo EX30</v>
          </cell>
          <cell r="B1983" t="str">
            <v>FHR</v>
          </cell>
          <cell r="D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0</v>
          </cell>
          <cell r="AJ1983">
            <v>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  <cell r="BK1983">
            <v>0</v>
          </cell>
          <cell r="BL1983">
            <v>0</v>
          </cell>
          <cell r="BM1983">
            <v>0</v>
          </cell>
          <cell r="BN1983">
            <v>0</v>
          </cell>
          <cell r="BO1983">
            <v>0</v>
          </cell>
          <cell r="BP1983">
            <v>0</v>
          </cell>
          <cell r="BQ1983">
            <v>0</v>
          </cell>
          <cell r="BR1983">
            <v>0</v>
          </cell>
          <cell r="BS1983">
            <v>0</v>
          </cell>
          <cell r="BT1983">
            <v>0</v>
          </cell>
          <cell r="BU1983">
            <v>0</v>
          </cell>
          <cell r="BV1983">
            <v>0</v>
          </cell>
        </row>
        <row r="1984">
          <cell r="A1984" t="str">
            <v>Volvo EX30</v>
          </cell>
          <cell r="B1984" t="str">
            <v>FHR</v>
          </cell>
          <cell r="D1984" t="str">
            <v>Weekly demand</v>
          </cell>
          <cell r="Z1984">
            <v>2761.363636363636</v>
          </cell>
          <cell r="AA1984">
            <v>1840.909090909091</v>
          </cell>
          <cell r="AB1984">
            <v>1840.909090909091</v>
          </cell>
          <cell r="AC1984">
            <v>1840.909090909091</v>
          </cell>
          <cell r="AD1984">
            <v>1104.5454545454545</v>
          </cell>
          <cell r="AE1984">
            <v>1840.909090909091</v>
          </cell>
          <cell r="AF1984">
            <v>2761.363636363636</v>
          </cell>
          <cell r="AG1984">
            <v>1840.909090909091</v>
          </cell>
          <cell r="AH1984">
            <v>2761.363636363636</v>
          </cell>
          <cell r="AI1984">
            <v>1840.909090909091</v>
          </cell>
          <cell r="AJ1984">
            <v>2761.363636363636</v>
          </cell>
          <cell r="AK1984">
            <v>1472.7272727272727</v>
          </cell>
          <cell r="AL1984">
            <v>2209.090909090909</v>
          </cell>
          <cell r="AM1984">
            <v>1840.909090909091</v>
          </cell>
          <cell r="AN1984">
            <v>2209.090909090909</v>
          </cell>
          <cell r="AO1984">
            <v>1840.909090909091</v>
          </cell>
          <cell r="AP1984">
            <v>2761.363636363636</v>
          </cell>
          <cell r="AQ1984">
            <v>1840.909090909091</v>
          </cell>
          <cell r="AR1984">
            <v>2761.363636363636</v>
          </cell>
          <cell r="AS1984">
            <v>1840.909090909091</v>
          </cell>
          <cell r="AT1984">
            <v>1840.909090909091</v>
          </cell>
          <cell r="AU1984">
            <v>920.4545454545455</v>
          </cell>
          <cell r="AV1984">
            <v>920.4545454545455</v>
          </cell>
          <cell r="AW1984">
            <v>920.4545454545455</v>
          </cell>
          <cell r="AX1984">
            <v>920.4545454545455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920.4545454545455</v>
          </cell>
          <cell r="BD1984">
            <v>920.4545454545455</v>
          </cell>
          <cell r="BE1984">
            <v>920.4545454545455</v>
          </cell>
          <cell r="BF1984">
            <v>920.4545454545455</v>
          </cell>
          <cell r="BG1984">
            <v>920.4545454545455</v>
          </cell>
          <cell r="BH1984">
            <v>920.4545454545455</v>
          </cell>
          <cell r="BI1984">
            <v>920.4545454545455</v>
          </cell>
          <cell r="BJ1984">
            <v>920.4545454545455</v>
          </cell>
          <cell r="BK1984">
            <v>0</v>
          </cell>
          <cell r="BL1984">
            <v>0</v>
          </cell>
          <cell r="BM1984">
            <v>0</v>
          </cell>
          <cell r="BN1984">
            <v>0</v>
          </cell>
          <cell r="BO1984">
            <v>0</v>
          </cell>
          <cell r="BP1984">
            <v>0</v>
          </cell>
          <cell r="BQ1984">
            <v>0</v>
          </cell>
          <cell r="BR1984">
            <v>0</v>
          </cell>
          <cell r="BS1984">
            <v>0</v>
          </cell>
          <cell r="BT1984">
            <v>0</v>
          </cell>
          <cell r="BU1984">
            <v>0</v>
          </cell>
          <cell r="BV1984">
            <v>0</v>
          </cell>
        </row>
        <row r="1985">
          <cell r="A1985" t="str">
            <v>Volvo EX30</v>
          </cell>
          <cell r="B1985" t="str">
            <v>FHR</v>
          </cell>
          <cell r="D1985" t="str">
            <v>Stock Target</v>
          </cell>
          <cell r="Z1985">
            <v>2540</v>
          </cell>
          <cell r="AA1985">
            <v>2541</v>
          </cell>
          <cell r="AB1985">
            <v>2542</v>
          </cell>
          <cell r="AC1985">
            <v>2543</v>
          </cell>
          <cell r="AD1985">
            <v>2544</v>
          </cell>
          <cell r="AE1985">
            <v>2545</v>
          </cell>
          <cell r="AF1985">
            <v>2546</v>
          </cell>
          <cell r="AG1985">
            <v>2547</v>
          </cell>
          <cell r="AH1985">
            <v>2548</v>
          </cell>
          <cell r="AI1985">
            <v>2549</v>
          </cell>
          <cell r="AJ1985">
            <v>2550</v>
          </cell>
          <cell r="AK1985">
            <v>2551</v>
          </cell>
          <cell r="AL1985">
            <v>2552</v>
          </cell>
          <cell r="AM1985">
            <v>2552</v>
          </cell>
          <cell r="AN1985">
            <v>2552</v>
          </cell>
          <cell r="AO1985">
            <v>2552</v>
          </cell>
          <cell r="AP1985">
            <v>2552</v>
          </cell>
          <cell r="AQ1985">
            <v>2552</v>
          </cell>
          <cell r="AR1985">
            <v>2552</v>
          </cell>
          <cell r="AS1985">
            <v>2552</v>
          </cell>
          <cell r="AT1985">
            <v>2552</v>
          </cell>
          <cell r="AU1985">
            <v>2552</v>
          </cell>
          <cell r="AV1985">
            <v>2552</v>
          </cell>
          <cell r="AW1985">
            <v>2552</v>
          </cell>
          <cell r="AX1985">
            <v>2552</v>
          </cell>
          <cell r="AY1985">
            <v>2552</v>
          </cell>
          <cell r="AZ1985">
            <v>2552</v>
          </cell>
          <cell r="BA1985">
            <v>2552</v>
          </cell>
          <cell r="BB1985">
            <v>2552</v>
          </cell>
          <cell r="BC1985">
            <v>2552</v>
          </cell>
          <cell r="BD1985">
            <v>2552</v>
          </cell>
          <cell r="BE1985">
            <v>2552</v>
          </cell>
          <cell r="BF1985">
            <v>2552</v>
          </cell>
          <cell r="BG1985">
            <v>2552</v>
          </cell>
          <cell r="BH1985">
            <v>2552</v>
          </cell>
          <cell r="BI1985">
            <v>2552</v>
          </cell>
          <cell r="BJ1985">
            <v>2552</v>
          </cell>
          <cell r="BK1985">
            <v>2552</v>
          </cell>
          <cell r="BL1985">
            <v>2552</v>
          </cell>
          <cell r="BM1985">
            <v>2552</v>
          </cell>
          <cell r="BN1985">
            <v>2553</v>
          </cell>
          <cell r="BO1985">
            <v>2554</v>
          </cell>
          <cell r="BP1985">
            <v>2555</v>
          </cell>
          <cell r="BQ1985">
            <v>2556</v>
          </cell>
          <cell r="BR1985">
            <v>2557</v>
          </cell>
          <cell r="BS1985">
            <v>2558</v>
          </cell>
          <cell r="BT1985">
            <v>2559</v>
          </cell>
          <cell r="BU1985">
            <v>2560</v>
          </cell>
          <cell r="BV1985">
            <v>2561</v>
          </cell>
        </row>
        <row r="1986">
          <cell r="A1986" t="str">
            <v>Volvo EX30</v>
          </cell>
          <cell r="B1986" t="str">
            <v>FHR</v>
          </cell>
          <cell r="D1986" t="str">
            <v>FHR V216 MIST</v>
          </cell>
          <cell r="Z1986">
            <v>0</v>
          </cell>
          <cell r="AA1986">
            <v>-1840.909090909091</v>
          </cell>
          <cell r="AB1986">
            <v>-3681.818181818182</v>
          </cell>
          <cell r="AC1986">
            <v>-5522.727272727273</v>
          </cell>
          <cell r="AD1986">
            <v>-6627.2727272727279</v>
          </cell>
          <cell r="AE1986">
            <v>-8468.1818181818198</v>
          </cell>
          <cell r="AF1986">
            <v>-11229.545454545456</v>
          </cell>
          <cell r="AG1986">
            <v>-13070.454545454548</v>
          </cell>
          <cell r="AH1986">
            <v>-15831.818181818184</v>
          </cell>
          <cell r="AI1986">
            <v>-17672.727272727276</v>
          </cell>
          <cell r="AJ1986">
            <v>-20434.090909090912</v>
          </cell>
          <cell r="AK1986">
            <v>-21906.818181818184</v>
          </cell>
          <cell r="AL1986">
            <v>-24115.909090909092</v>
          </cell>
          <cell r="AM1986">
            <v>-25956.818181818184</v>
          </cell>
          <cell r="AN1986">
            <v>-26325</v>
          </cell>
          <cell r="AO1986">
            <v>-27797.727272727276</v>
          </cell>
          <cell r="AP1986">
            <v>-29086.363636363636</v>
          </cell>
          <cell r="AQ1986">
            <v>-29638.636363636368</v>
          </cell>
          <cell r="AR1986">
            <v>-31847.727272727272</v>
          </cell>
          <cell r="AS1986">
            <v>-31479.54545454546</v>
          </cell>
          <cell r="AT1986">
            <v>-33688.63636363636</v>
          </cell>
          <cell r="AU1986">
            <v>-32400.000000000004</v>
          </cell>
          <cell r="AV1986">
            <v>-34609.090909090904</v>
          </cell>
          <cell r="AW1986">
            <v>-33320.454545454551</v>
          </cell>
          <cell r="AX1986">
            <v>-35529.545454545449</v>
          </cell>
          <cell r="AY1986">
            <v>-33320.454545454551</v>
          </cell>
          <cell r="AZ1986">
            <v>-35529.545454545449</v>
          </cell>
          <cell r="BA1986">
            <v>-33320.454545454551</v>
          </cell>
          <cell r="BB1986">
            <v>-35529.545454545449</v>
          </cell>
          <cell r="BC1986">
            <v>-34240.909090909096</v>
          </cell>
          <cell r="BD1986">
            <v>-36449.999999999993</v>
          </cell>
          <cell r="BE1986">
            <v>-35161.36363636364</v>
          </cell>
          <cell r="BF1986">
            <v>-37370.454545454537</v>
          </cell>
          <cell r="BG1986">
            <v>-36081.818181818184</v>
          </cell>
          <cell r="BH1986">
            <v>-38290.909090909081</v>
          </cell>
          <cell r="BI1986">
            <v>-37002.272727272728</v>
          </cell>
          <cell r="BJ1986">
            <v>-39211.363636363625</v>
          </cell>
          <cell r="BK1986">
            <v>-37002.272727272728</v>
          </cell>
          <cell r="BL1986">
            <v>-39211.363636363625</v>
          </cell>
          <cell r="BM1986">
            <v>-37002.272727272728</v>
          </cell>
          <cell r="BN1986">
            <v>-39211.363636363625</v>
          </cell>
          <cell r="BO1986">
            <v>-37002.272727272728</v>
          </cell>
          <cell r="BP1986">
            <v>-39211.363636363625</v>
          </cell>
          <cell r="BQ1986">
            <v>-37002.272727272728</v>
          </cell>
          <cell r="BR1986">
            <v>-39211.363636363625</v>
          </cell>
          <cell r="BS1986">
            <v>-37002.272727272728</v>
          </cell>
          <cell r="BT1986">
            <v>-39211.363636363625</v>
          </cell>
          <cell r="BU1986">
            <v>-37002.272727272728</v>
          </cell>
          <cell r="BV1986">
            <v>-39211.363636363625</v>
          </cell>
        </row>
        <row r="1987">
          <cell r="A1987" t="str">
            <v>Volvo EX30</v>
          </cell>
          <cell r="B1987" t="str">
            <v>FHR</v>
          </cell>
          <cell r="D1987" t="str">
            <v>FHR V216 PINE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  <cell r="BK1987">
            <v>0</v>
          </cell>
          <cell r="BL1987">
            <v>0</v>
          </cell>
          <cell r="BM1987">
            <v>0</v>
          </cell>
          <cell r="BN1987">
            <v>0</v>
          </cell>
          <cell r="BO1987">
            <v>0</v>
          </cell>
          <cell r="BP1987">
            <v>0</v>
          </cell>
          <cell r="BQ1987">
            <v>0</v>
          </cell>
          <cell r="BR1987">
            <v>0</v>
          </cell>
          <cell r="BS1987">
            <v>0</v>
          </cell>
          <cell r="BT1987">
            <v>0</v>
          </cell>
          <cell r="BU1987">
            <v>0</v>
          </cell>
          <cell r="BV1987">
            <v>0</v>
          </cell>
        </row>
        <row r="1988">
          <cell r="A1988" t="str">
            <v>Volvo EX30</v>
          </cell>
          <cell r="B1988" t="str">
            <v>FHR</v>
          </cell>
          <cell r="D1988" t="str">
            <v>FHR V216 BREEZE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  <cell r="BK1988">
            <v>0</v>
          </cell>
          <cell r="BL1988">
            <v>0</v>
          </cell>
          <cell r="BM1988">
            <v>0</v>
          </cell>
          <cell r="BN1988">
            <v>0</v>
          </cell>
          <cell r="BO1988">
            <v>0</v>
          </cell>
          <cell r="BP1988">
            <v>0</v>
          </cell>
          <cell r="BQ1988">
            <v>0</v>
          </cell>
          <cell r="BR1988">
            <v>0</v>
          </cell>
          <cell r="BS1988">
            <v>0</v>
          </cell>
          <cell r="BT1988">
            <v>0</v>
          </cell>
          <cell r="BU1988">
            <v>0</v>
          </cell>
          <cell r="BV1988">
            <v>0</v>
          </cell>
        </row>
        <row r="1989">
          <cell r="A1989" t="str">
            <v>Volvo EX30</v>
          </cell>
          <cell r="B1989" t="str">
            <v>FHR</v>
          </cell>
          <cell r="D1989" t="str">
            <v>FHR V216 INDIGO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  <cell r="BK1989">
            <v>0</v>
          </cell>
          <cell r="BL1989">
            <v>0</v>
          </cell>
          <cell r="BM1989">
            <v>0</v>
          </cell>
          <cell r="BN1989">
            <v>0</v>
          </cell>
          <cell r="BO1989">
            <v>0</v>
          </cell>
          <cell r="BP1989">
            <v>0</v>
          </cell>
          <cell r="BQ1989">
            <v>0</v>
          </cell>
          <cell r="BR1989">
            <v>0</v>
          </cell>
          <cell r="BS1989">
            <v>0</v>
          </cell>
          <cell r="BT1989">
            <v>0</v>
          </cell>
          <cell r="BU1989">
            <v>0</v>
          </cell>
          <cell r="BV1989">
            <v>0</v>
          </cell>
        </row>
        <row r="1990">
          <cell r="A1990" t="str">
            <v>Volvo EX30</v>
          </cell>
          <cell r="B1990" t="str">
            <v>FHR</v>
          </cell>
          <cell r="D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0</v>
          </cell>
          <cell r="AJ1990">
            <v>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  <cell r="BK1990">
            <v>0</v>
          </cell>
          <cell r="BL1990">
            <v>0</v>
          </cell>
          <cell r="BM1990">
            <v>0</v>
          </cell>
          <cell r="BN1990">
            <v>0</v>
          </cell>
          <cell r="BO1990">
            <v>0</v>
          </cell>
          <cell r="BP1990">
            <v>0</v>
          </cell>
          <cell r="BQ1990">
            <v>0</v>
          </cell>
          <cell r="BR1990">
            <v>0</v>
          </cell>
          <cell r="BS1990">
            <v>0</v>
          </cell>
          <cell r="BT1990">
            <v>0</v>
          </cell>
          <cell r="BU1990">
            <v>0</v>
          </cell>
          <cell r="BV1990">
            <v>0</v>
          </cell>
        </row>
        <row r="1991">
          <cell r="A1991" t="str">
            <v>Volvo EX30</v>
          </cell>
          <cell r="B1991" t="str">
            <v>FHR</v>
          </cell>
          <cell r="D1991" t="str">
            <v>STOCK</v>
          </cell>
          <cell r="Z1991">
            <v>0</v>
          </cell>
          <cell r="AA1991">
            <v>171.2860310421288</v>
          </cell>
          <cell r="AB1991">
            <v>342.5720620842576</v>
          </cell>
          <cell r="AC1991">
            <v>696.78492239467914</v>
          </cell>
          <cell r="AD1991">
            <v>909.31263858093212</v>
          </cell>
          <cell r="AE1991">
            <v>1263.5254988913537</v>
          </cell>
          <cell r="AF1991">
            <v>697.28381374723017</v>
          </cell>
          <cell r="AG1991">
            <v>1051.4966740576517</v>
          </cell>
          <cell r="AH1991">
            <v>485.25498891352822</v>
          </cell>
          <cell r="AI1991">
            <v>839.46784922394977</v>
          </cell>
          <cell r="AJ1991">
            <v>273.22616407982628</v>
          </cell>
          <cell r="AK1991">
            <v>556.59645232816342</v>
          </cell>
          <cell r="AL1991">
            <v>103.60310421286431</v>
          </cell>
          <cell r="AM1991">
            <v>457.81596452328586</v>
          </cell>
          <cell r="AN1991">
            <v>4.8226164079867431</v>
          </cell>
          <cell r="AO1991">
            <v>359.03547671840829</v>
          </cell>
          <cell r="AP1991">
            <v>-207.20620842571543</v>
          </cell>
          <cell r="AQ1991">
            <v>147.00665188470612</v>
          </cell>
          <cell r="AR1991">
            <v>-419.23503325941738</v>
          </cell>
          <cell r="AS1991">
            <v>-65.022172948995831</v>
          </cell>
          <cell r="AT1991">
            <v>289.19068736142572</v>
          </cell>
          <cell r="AU1991">
            <v>1563.8580931263928</v>
          </cell>
          <cell r="AV1991">
            <v>2838.5254988913598</v>
          </cell>
          <cell r="AW1991">
            <v>3747.3392461197413</v>
          </cell>
          <cell r="AX1991">
            <v>4656.1529933481233</v>
          </cell>
          <cell r="AY1991">
            <v>6485.4212860310508</v>
          </cell>
          <cell r="AZ1991">
            <v>6485.4212860310508</v>
          </cell>
          <cell r="BA1991">
            <v>6485.4212860310508</v>
          </cell>
          <cell r="BB1991">
            <v>6485.4212860310508</v>
          </cell>
          <cell r="BC1991">
            <v>7394.2350332594324</v>
          </cell>
          <cell r="BD1991">
            <v>8303.0487804878139</v>
          </cell>
          <cell r="BE1991">
            <v>9211.8625277161955</v>
          </cell>
          <cell r="BF1991">
            <v>10120.676274944577</v>
          </cell>
          <cell r="BG1991">
            <v>11029.490022172959</v>
          </cell>
          <cell r="BH1991">
            <v>11938.30376940134</v>
          </cell>
          <cell r="BI1991">
            <v>12847.117516629722</v>
          </cell>
          <cell r="BJ1991">
            <v>13755.931263858103</v>
          </cell>
          <cell r="BK1991">
            <v>16316.9068736142</v>
          </cell>
          <cell r="BL1991">
            <v>19902.272727272735</v>
          </cell>
          <cell r="BM1991">
            <v>23487.638580931271</v>
          </cell>
          <cell r="BN1991">
            <v>27073.004434589806</v>
          </cell>
          <cell r="BO1991">
            <v>30658.370288248341</v>
          </cell>
          <cell r="BP1991">
            <v>34243.736141906877</v>
          </cell>
          <cell r="BQ1991">
            <v>37829.101995565412</v>
          </cell>
          <cell r="BR1991">
            <v>41414.467849223947</v>
          </cell>
          <cell r="BS1991">
            <v>44999.833702882483</v>
          </cell>
          <cell r="BT1991">
            <v>48585.199556541018</v>
          </cell>
          <cell r="BU1991">
            <v>52170.565410199553</v>
          </cell>
          <cell r="BV1991">
            <v>55755.931263858089</v>
          </cell>
        </row>
        <row r="1992">
          <cell r="A1992" t="str">
            <v>Blank</v>
          </cell>
          <cell r="B1992" t="str">
            <v>Blank</v>
          </cell>
          <cell r="D1992" t="str">
            <v>Blank</v>
          </cell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</row>
        <row r="1993">
          <cell r="A1993" t="str">
            <v>Volvo GPA</v>
          </cell>
          <cell r="B1993" t="str">
            <v>FHR</v>
          </cell>
          <cell r="D1993" t="str">
            <v>Work days</v>
          </cell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>
            <v>0</v>
          </cell>
          <cell r="AJ1993">
            <v>1</v>
          </cell>
          <cell r="AK1993">
            <v>4</v>
          </cell>
          <cell r="AL1993">
            <v>4</v>
          </cell>
          <cell r="AM1993">
            <v>5</v>
          </cell>
          <cell r="AN1993">
            <v>4</v>
          </cell>
          <cell r="AO1993">
            <v>5</v>
          </cell>
          <cell r="AP1993">
            <v>5</v>
          </cell>
          <cell r="AQ1993">
            <v>5</v>
          </cell>
          <cell r="AR1993">
            <v>5</v>
          </cell>
          <cell r="AS1993">
            <v>5</v>
          </cell>
          <cell r="AT1993">
            <v>5</v>
          </cell>
          <cell r="AU1993">
            <v>5</v>
          </cell>
          <cell r="AV1993">
            <v>5</v>
          </cell>
          <cell r="AW1993">
            <v>5</v>
          </cell>
          <cell r="AX1993">
            <v>5</v>
          </cell>
          <cell r="AY1993">
            <v>5</v>
          </cell>
          <cell r="AZ1993">
            <v>0</v>
          </cell>
          <cell r="BA1993">
            <v>0</v>
          </cell>
          <cell r="BB1993">
            <v>5</v>
          </cell>
          <cell r="BC1993">
            <v>5</v>
          </cell>
          <cell r="BD1993">
            <v>5</v>
          </cell>
          <cell r="BE1993">
            <v>5</v>
          </cell>
          <cell r="BF1993">
            <v>5</v>
          </cell>
          <cell r="BG1993">
            <v>5</v>
          </cell>
          <cell r="BH1993">
            <v>5</v>
          </cell>
          <cell r="BI1993">
            <v>5</v>
          </cell>
          <cell r="BJ1993">
            <v>5</v>
          </cell>
          <cell r="BK1993">
            <v>5</v>
          </cell>
          <cell r="BL1993">
            <v>10</v>
          </cell>
          <cell r="BM1993">
            <v>10</v>
          </cell>
          <cell r="BN1993">
            <v>10</v>
          </cell>
          <cell r="BO1993">
            <v>10</v>
          </cell>
          <cell r="BP1993">
            <v>10</v>
          </cell>
          <cell r="BQ1993">
            <v>10</v>
          </cell>
          <cell r="BR1993">
            <v>10</v>
          </cell>
          <cell r="BS1993">
            <v>10</v>
          </cell>
          <cell r="BT1993">
            <v>10</v>
          </cell>
          <cell r="BU1993">
            <v>10</v>
          </cell>
          <cell r="BV1993">
            <v>10</v>
          </cell>
        </row>
        <row r="1994">
          <cell r="A1994" t="str">
            <v>Volvo GPA</v>
          </cell>
          <cell r="B1994" t="str">
            <v>FHR</v>
          </cell>
          <cell r="D1994" t="str">
            <v>SHIFT A HC - operators</v>
          </cell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>
            <v>2</v>
          </cell>
          <cell r="AJ1994">
            <v>2</v>
          </cell>
          <cell r="AK1994">
            <v>1</v>
          </cell>
          <cell r="AL1994">
            <v>2</v>
          </cell>
          <cell r="AM1994">
            <v>1</v>
          </cell>
          <cell r="AN1994">
            <v>2</v>
          </cell>
          <cell r="AO1994">
            <v>3</v>
          </cell>
          <cell r="AP1994">
            <v>3</v>
          </cell>
          <cell r="AQ1994">
            <v>3</v>
          </cell>
          <cell r="AR1994">
            <v>3</v>
          </cell>
          <cell r="AS1994">
            <v>3</v>
          </cell>
          <cell r="AT1994">
            <v>3</v>
          </cell>
          <cell r="AU1994">
            <v>3</v>
          </cell>
          <cell r="AV1994">
            <v>3</v>
          </cell>
          <cell r="AW1994">
            <v>3</v>
          </cell>
          <cell r="AX1994">
            <v>3</v>
          </cell>
          <cell r="AY1994">
            <v>8</v>
          </cell>
          <cell r="AZ1994">
            <v>8</v>
          </cell>
          <cell r="BA1994">
            <v>8</v>
          </cell>
          <cell r="BB1994">
            <v>8</v>
          </cell>
          <cell r="BC1994">
            <v>8</v>
          </cell>
          <cell r="BD1994">
            <v>8</v>
          </cell>
          <cell r="BE1994">
            <v>8</v>
          </cell>
          <cell r="BF1994">
            <v>8</v>
          </cell>
          <cell r="BG1994">
            <v>8</v>
          </cell>
          <cell r="BH1994">
            <v>8</v>
          </cell>
          <cell r="BI1994">
            <v>8</v>
          </cell>
          <cell r="BJ1994">
            <v>8</v>
          </cell>
          <cell r="BK1994">
            <v>10</v>
          </cell>
          <cell r="BL1994">
            <v>10</v>
          </cell>
          <cell r="BM1994">
            <v>10</v>
          </cell>
          <cell r="BN1994">
            <v>10</v>
          </cell>
          <cell r="BO1994">
            <v>10</v>
          </cell>
          <cell r="BP1994">
            <v>10</v>
          </cell>
          <cell r="BQ1994">
            <v>10</v>
          </cell>
          <cell r="BR1994">
            <v>10</v>
          </cell>
          <cell r="BS1994">
            <v>10</v>
          </cell>
          <cell r="BT1994">
            <v>10</v>
          </cell>
          <cell r="BU1994">
            <v>10</v>
          </cell>
          <cell r="BV1994">
            <v>10</v>
          </cell>
        </row>
        <row r="1995">
          <cell r="A1995" t="str">
            <v>Volvo GPA</v>
          </cell>
          <cell r="B1995" t="str">
            <v>FHR</v>
          </cell>
          <cell r="D1995" t="str">
            <v>SHIFT B HC  - operators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0</v>
          </cell>
          <cell r="AJ1995">
            <v>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  <cell r="BK1995">
            <v>0</v>
          </cell>
          <cell r="BL1995">
            <v>0</v>
          </cell>
          <cell r="BM1995">
            <v>0</v>
          </cell>
          <cell r="BN1995">
            <v>0</v>
          </cell>
          <cell r="BO1995">
            <v>0</v>
          </cell>
          <cell r="BP1995">
            <v>0</v>
          </cell>
          <cell r="BQ1995">
            <v>0</v>
          </cell>
          <cell r="BR1995">
            <v>0</v>
          </cell>
          <cell r="BS1995">
            <v>0</v>
          </cell>
          <cell r="BT1995">
            <v>0</v>
          </cell>
          <cell r="BU1995">
            <v>0</v>
          </cell>
          <cell r="BV1995">
            <v>0</v>
          </cell>
        </row>
        <row r="1996">
          <cell r="A1996" t="str">
            <v>Volvo GPA</v>
          </cell>
          <cell r="B1996" t="str">
            <v>FHR</v>
          </cell>
          <cell r="D1996" t="str">
            <v>SHIFT C HC  - operators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0</v>
          </cell>
          <cell r="AJ1996">
            <v>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  <cell r="BK1996">
            <v>0</v>
          </cell>
          <cell r="BL1996">
            <v>0</v>
          </cell>
          <cell r="BM1996">
            <v>0</v>
          </cell>
          <cell r="BN1996">
            <v>0</v>
          </cell>
          <cell r="BO1996">
            <v>0</v>
          </cell>
          <cell r="BP1996">
            <v>0</v>
          </cell>
          <cell r="BQ1996">
            <v>0</v>
          </cell>
          <cell r="BR1996">
            <v>0</v>
          </cell>
          <cell r="BS1996">
            <v>0</v>
          </cell>
          <cell r="BT1996">
            <v>0</v>
          </cell>
          <cell r="BU1996">
            <v>0</v>
          </cell>
          <cell r="BV1996">
            <v>0</v>
          </cell>
        </row>
        <row r="1997">
          <cell r="A1997" t="str">
            <v>Volvo GPA</v>
          </cell>
          <cell r="B1997" t="str">
            <v>FHR</v>
          </cell>
          <cell r="D1997" t="str">
            <v>Total HC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2</v>
          </cell>
          <cell r="AJ1997">
            <v>2</v>
          </cell>
          <cell r="AK1997">
            <v>1</v>
          </cell>
          <cell r="AL1997">
            <v>2</v>
          </cell>
          <cell r="AM1997">
            <v>1</v>
          </cell>
          <cell r="AN1997">
            <v>2</v>
          </cell>
          <cell r="AO1997">
            <v>3</v>
          </cell>
          <cell r="AP1997">
            <v>3</v>
          </cell>
          <cell r="AQ1997">
            <v>3</v>
          </cell>
          <cell r="AR1997">
            <v>3</v>
          </cell>
          <cell r="AS1997">
            <v>3</v>
          </cell>
          <cell r="AT1997">
            <v>3</v>
          </cell>
          <cell r="AU1997">
            <v>3</v>
          </cell>
          <cell r="AV1997">
            <v>3</v>
          </cell>
          <cell r="AW1997">
            <v>3</v>
          </cell>
          <cell r="AX1997">
            <v>3</v>
          </cell>
          <cell r="AY1997">
            <v>8</v>
          </cell>
          <cell r="AZ1997">
            <v>8</v>
          </cell>
          <cell r="BA1997">
            <v>8</v>
          </cell>
          <cell r="BB1997">
            <v>8</v>
          </cell>
          <cell r="BC1997">
            <v>8</v>
          </cell>
          <cell r="BD1997">
            <v>8</v>
          </cell>
          <cell r="BE1997">
            <v>8</v>
          </cell>
          <cell r="BF1997">
            <v>8</v>
          </cell>
          <cell r="BG1997">
            <v>8</v>
          </cell>
          <cell r="BH1997">
            <v>8</v>
          </cell>
          <cell r="BI1997">
            <v>8</v>
          </cell>
          <cell r="BJ1997">
            <v>8</v>
          </cell>
          <cell r="BK1997">
            <v>10</v>
          </cell>
          <cell r="BL1997">
            <v>10</v>
          </cell>
          <cell r="BM1997">
            <v>10</v>
          </cell>
          <cell r="BN1997">
            <v>10</v>
          </cell>
          <cell r="BO1997">
            <v>10</v>
          </cell>
          <cell r="BP1997">
            <v>10</v>
          </cell>
          <cell r="BQ1997">
            <v>10</v>
          </cell>
          <cell r="BR1997">
            <v>10</v>
          </cell>
          <cell r="BS1997">
            <v>10</v>
          </cell>
          <cell r="BT1997">
            <v>10</v>
          </cell>
          <cell r="BU1997">
            <v>10</v>
          </cell>
          <cell r="BV1997">
            <v>10</v>
          </cell>
        </row>
        <row r="1998">
          <cell r="A1998" t="str">
            <v>Volvo GPA</v>
          </cell>
          <cell r="B1998" t="str">
            <v>FHR</v>
          </cell>
          <cell r="D1998" t="str">
            <v>SHIFT A HC  - efficiency</v>
          </cell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>
            <v>0.8</v>
          </cell>
          <cell r="AK1998">
            <v>0.8</v>
          </cell>
          <cell r="AL1998">
            <v>0.8</v>
          </cell>
          <cell r="AM1998">
            <v>0.8</v>
          </cell>
          <cell r="AN1998">
            <v>0.8</v>
          </cell>
          <cell r="AO1998">
            <v>0.8</v>
          </cell>
          <cell r="AP1998">
            <v>0.8</v>
          </cell>
          <cell r="AQ1998">
            <v>0.8</v>
          </cell>
          <cell r="AR1998">
            <v>0.8</v>
          </cell>
          <cell r="AS1998">
            <v>0.8</v>
          </cell>
          <cell r="AT1998">
            <v>0.8</v>
          </cell>
          <cell r="AU1998">
            <v>0.8</v>
          </cell>
          <cell r="AV1998">
            <v>0.8</v>
          </cell>
          <cell r="AW1998">
            <v>0.8</v>
          </cell>
          <cell r="AX1998">
            <v>1</v>
          </cell>
          <cell r="AY1998">
            <v>1</v>
          </cell>
          <cell r="AZ1998">
            <v>1</v>
          </cell>
          <cell r="BA1998">
            <v>1</v>
          </cell>
          <cell r="BB1998">
            <v>1</v>
          </cell>
          <cell r="BC1998">
            <v>1</v>
          </cell>
          <cell r="BD1998">
            <v>1</v>
          </cell>
          <cell r="BE1998">
            <v>1</v>
          </cell>
          <cell r="BF1998">
            <v>1</v>
          </cell>
          <cell r="BG1998">
            <v>1</v>
          </cell>
          <cell r="BH1998">
            <v>1</v>
          </cell>
          <cell r="BI1998">
            <v>1</v>
          </cell>
          <cell r="BJ1998">
            <v>1</v>
          </cell>
          <cell r="BK1998">
            <v>1</v>
          </cell>
          <cell r="BL1998">
            <v>1</v>
          </cell>
          <cell r="BM1998">
            <v>1</v>
          </cell>
          <cell r="BN1998">
            <v>1</v>
          </cell>
          <cell r="BO1998">
            <v>1</v>
          </cell>
          <cell r="BP1998">
            <v>1</v>
          </cell>
          <cell r="BQ1998">
            <v>1</v>
          </cell>
          <cell r="BR1998">
            <v>1</v>
          </cell>
          <cell r="BS1998">
            <v>1</v>
          </cell>
          <cell r="BT1998">
            <v>1</v>
          </cell>
          <cell r="BU1998">
            <v>1</v>
          </cell>
          <cell r="BV1998">
            <v>1</v>
          </cell>
        </row>
        <row r="1999">
          <cell r="A1999" t="str">
            <v>Volvo GPA</v>
          </cell>
          <cell r="B1999" t="str">
            <v>FHR</v>
          </cell>
          <cell r="D1999" t="str">
            <v>SHIFT B HC  - efficiency</v>
          </cell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>
            <v>1</v>
          </cell>
          <cell r="AK1999">
            <v>1</v>
          </cell>
          <cell r="AL1999">
            <v>1</v>
          </cell>
          <cell r="AM1999">
            <v>1</v>
          </cell>
          <cell r="AN1999">
            <v>1</v>
          </cell>
          <cell r="AO1999">
            <v>1</v>
          </cell>
          <cell r="AP1999">
            <v>1</v>
          </cell>
          <cell r="AQ1999">
            <v>1</v>
          </cell>
          <cell r="AR1999">
            <v>1</v>
          </cell>
          <cell r="AS1999">
            <v>1</v>
          </cell>
          <cell r="AT1999">
            <v>1</v>
          </cell>
          <cell r="AU1999">
            <v>1</v>
          </cell>
          <cell r="AV1999">
            <v>1</v>
          </cell>
          <cell r="AW1999">
            <v>1</v>
          </cell>
          <cell r="AX1999">
            <v>1</v>
          </cell>
          <cell r="AY1999">
            <v>1</v>
          </cell>
          <cell r="AZ1999">
            <v>1</v>
          </cell>
          <cell r="BA1999">
            <v>1</v>
          </cell>
          <cell r="BB1999">
            <v>1</v>
          </cell>
          <cell r="BC1999">
            <v>1</v>
          </cell>
          <cell r="BD1999">
            <v>1</v>
          </cell>
          <cell r="BE1999">
            <v>1</v>
          </cell>
          <cell r="BF1999">
            <v>1</v>
          </cell>
          <cell r="BG1999">
            <v>1</v>
          </cell>
          <cell r="BH1999">
            <v>1</v>
          </cell>
          <cell r="BI1999">
            <v>1</v>
          </cell>
          <cell r="BJ1999">
            <v>1</v>
          </cell>
          <cell r="BK1999">
            <v>1</v>
          </cell>
          <cell r="BL1999">
            <v>1</v>
          </cell>
          <cell r="BM1999">
            <v>1</v>
          </cell>
          <cell r="BN1999">
            <v>1</v>
          </cell>
          <cell r="BO1999">
            <v>1</v>
          </cell>
          <cell r="BP1999">
            <v>1</v>
          </cell>
          <cell r="BQ1999">
            <v>1</v>
          </cell>
          <cell r="BR1999">
            <v>1</v>
          </cell>
          <cell r="BS1999">
            <v>1</v>
          </cell>
          <cell r="BT1999">
            <v>1</v>
          </cell>
          <cell r="BU1999">
            <v>1</v>
          </cell>
          <cell r="BV1999">
            <v>1</v>
          </cell>
        </row>
        <row r="2000">
          <cell r="A2000" t="str">
            <v>Volvo GPA</v>
          </cell>
          <cell r="B2000" t="str">
            <v>FHR</v>
          </cell>
          <cell r="D2000" t="str">
            <v>SHIFT C HC  - efficiency</v>
          </cell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>
            <v>1</v>
          </cell>
          <cell r="AK2000">
            <v>1</v>
          </cell>
          <cell r="AL2000">
            <v>1</v>
          </cell>
          <cell r="AM2000">
            <v>1</v>
          </cell>
          <cell r="AN2000">
            <v>1</v>
          </cell>
          <cell r="AO2000">
            <v>1</v>
          </cell>
          <cell r="AP2000">
            <v>1</v>
          </cell>
          <cell r="AQ2000">
            <v>1</v>
          </cell>
          <cell r="AR2000">
            <v>1</v>
          </cell>
          <cell r="AS2000">
            <v>1</v>
          </cell>
          <cell r="AT2000">
            <v>1</v>
          </cell>
          <cell r="AU2000">
            <v>1</v>
          </cell>
          <cell r="AV2000">
            <v>1</v>
          </cell>
          <cell r="AW2000">
            <v>1</v>
          </cell>
          <cell r="AX2000">
            <v>1</v>
          </cell>
          <cell r="AY2000">
            <v>1</v>
          </cell>
          <cell r="AZ2000">
            <v>1</v>
          </cell>
          <cell r="BA2000">
            <v>1</v>
          </cell>
          <cell r="BB2000">
            <v>1</v>
          </cell>
          <cell r="BC2000">
            <v>1</v>
          </cell>
          <cell r="BD2000">
            <v>1</v>
          </cell>
          <cell r="BE2000">
            <v>1</v>
          </cell>
          <cell r="BF2000">
            <v>1</v>
          </cell>
          <cell r="BG2000">
            <v>1</v>
          </cell>
          <cell r="BH2000">
            <v>1</v>
          </cell>
          <cell r="BI2000">
            <v>1</v>
          </cell>
          <cell r="BJ2000">
            <v>1</v>
          </cell>
          <cell r="BK2000">
            <v>1</v>
          </cell>
          <cell r="BL2000">
            <v>1</v>
          </cell>
          <cell r="BM2000">
            <v>1</v>
          </cell>
          <cell r="BN2000">
            <v>1</v>
          </cell>
          <cell r="BO2000">
            <v>1</v>
          </cell>
          <cell r="BP2000">
            <v>1</v>
          </cell>
          <cell r="BQ2000">
            <v>1</v>
          </cell>
          <cell r="BR2000">
            <v>1</v>
          </cell>
          <cell r="BS2000">
            <v>1</v>
          </cell>
          <cell r="BT2000">
            <v>1</v>
          </cell>
          <cell r="BU2000">
            <v>1</v>
          </cell>
          <cell r="BV2000">
            <v>1</v>
          </cell>
        </row>
        <row r="2001">
          <cell r="A2001" t="str">
            <v>Volvo GPA</v>
          </cell>
          <cell r="B2001" t="str">
            <v>FHR</v>
          </cell>
          <cell r="D2001" t="str">
            <v>Total efficiency</v>
          </cell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</row>
        <row r="2002">
          <cell r="A2002" t="str">
            <v>Volvo GPA</v>
          </cell>
          <cell r="B2002" t="str">
            <v>FHR</v>
          </cell>
          <cell r="D2002" t="str">
            <v>SHIFT A - output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135.08442776735461</v>
          </cell>
          <cell r="AK2002">
            <v>67.542213883677306</v>
          </cell>
          <cell r="AL2002">
            <v>135.08442776735461</v>
          </cell>
          <cell r="AM2002">
            <v>67.542213883677306</v>
          </cell>
          <cell r="AN2002">
            <v>135.08442776735461</v>
          </cell>
          <cell r="AO2002">
            <v>202.62664165103192</v>
          </cell>
          <cell r="AP2002">
            <v>202.62664165103192</v>
          </cell>
          <cell r="AQ2002">
            <v>202.62664165103192</v>
          </cell>
          <cell r="AR2002">
            <v>202.62664165103192</v>
          </cell>
          <cell r="AS2002">
            <v>202.62664165103192</v>
          </cell>
          <cell r="AT2002">
            <v>202.62664165103192</v>
          </cell>
          <cell r="AU2002">
            <v>202.62664165103192</v>
          </cell>
          <cell r="AV2002">
            <v>202.62664165103192</v>
          </cell>
          <cell r="AW2002">
            <v>202.62664165103192</v>
          </cell>
          <cell r="AX2002">
            <v>253.28330206378988</v>
          </cell>
          <cell r="AY2002">
            <v>675.422138836773</v>
          </cell>
          <cell r="AZ2002">
            <v>675.422138836773</v>
          </cell>
          <cell r="BA2002">
            <v>675.422138836773</v>
          </cell>
          <cell r="BB2002">
            <v>675.422138836773</v>
          </cell>
          <cell r="BC2002">
            <v>675.422138836773</v>
          </cell>
          <cell r="BD2002">
            <v>675.422138836773</v>
          </cell>
          <cell r="BE2002">
            <v>675.422138836773</v>
          </cell>
          <cell r="BF2002">
            <v>675.422138836773</v>
          </cell>
          <cell r="BG2002">
            <v>675.422138836773</v>
          </cell>
          <cell r="BH2002">
            <v>675.422138836773</v>
          </cell>
          <cell r="BI2002">
            <v>675.422138836773</v>
          </cell>
          <cell r="BJ2002">
            <v>675.422138836773</v>
          </cell>
          <cell r="BK2002">
            <v>844.27767354596631</v>
          </cell>
          <cell r="BL2002">
            <v>844.27767354596631</v>
          </cell>
          <cell r="BM2002">
            <v>844.27767354596631</v>
          </cell>
          <cell r="BN2002">
            <v>844.27767354596631</v>
          </cell>
          <cell r="BO2002">
            <v>844.27767354596631</v>
          </cell>
          <cell r="BP2002">
            <v>844.27767354596631</v>
          </cell>
          <cell r="BQ2002">
            <v>844.27767354596631</v>
          </cell>
          <cell r="BR2002">
            <v>844.27767354596631</v>
          </cell>
          <cell r="BS2002">
            <v>844.27767354596631</v>
          </cell>
          <cell r="BT2002">
            <v>844.27767354596631</v>
          </cell>
          <cell r="BU2002">
            <v>844.27767354596631</v>
          </cell>
          <cell r="BV2002">
            <v>844.27767354596631</v>
          </cell>
        </row>
        <row r="2003">
          <cell r="A2003" t="str">
            <v>Volvo GPA</v>
          </cell>
          <cell r="B2003" t="str">
            <v>FHR</v>
          </cell>
          <cell r="D2003" t="str">
            <v>SHIFT B  - output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0</v>
          </cell>
          <cell r="AJ2003">
            <v>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  <cell r="BK2003">
            <v>0</v>
          </cell>
          <cell r="BL2003">
            <v>0</v>
          </cell>
          <cell r="BM2003">
            <v>0</v>
          </cell>
          <cell r="BN2003">
            <v>0</v>
          </cell>
          <cell r="BO2003">
            <v>0</v>
          </cell>
          <cell r="BP2003">
            <v>0</v>
          </cell>
          <cell r="BQ2003">
            <v>0</v>
          </cell>
          <cell r="BR2003">
            <v>0</v>
          </cell>
          <cell r="BS2003">
            <v>0</v>
          </cell>
          <cell r="BT2003">
            <v>0</v>
          </cell>
          <cell r="BU2003">
            <v>0</v>
          </cell>
          <cell r="BV2003">
            <v>0</v>
          </cell>
        </row>
        <row r="2004">
          <cell r="A2004" t="str">
            <v>Volvo GPA</v>
          </cell>
          <cell r="B2004" t="str">
            <v>FHR</v>
          </cell>
          <cell r="D2004" t="str">
            <v>SHIFT C  - output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0</v>
          </cell>
          <cell r="AJ2004">
            <v>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  <cell r="BK2004">
            <v>0</v>
          </cell>
          <cell r="BL2004">
            <v>0</v>
          </cell>
          <cell r="BM2004">
            <v>0</v>
          </cell>
          <cell r="BN2004">
            <v>0</v>
          </cell>
          <cell r="BO2004">
            <v>0</v>
          </cell>
          <cell r="BP2004">
            <v>0</v>
          </cell>
          <cell r="BQ2004">
            <v>0</v>
          </cell>
          <cell r="BR2004">
            <v>0</v>
          </cell>
          <cell r="BS2004">
            <v>0</v>
          </cell>
          <cell r="BT2004">
            <v>0</v>
          </cell>
          <cell r="BU2004">
            <v>0</v>
          </cell>
          <cell r="BV2004">
            <v>0</v>
          </cell>
        </row>
        <row r="2005">
          <cell r="A2005" t="str">
            <v>Volvo GPA</v>
          </cell>
          <cell r="B2005" t="str">
            <v>FHR</v>
          </cell>
          <cell r="D2005" t="str">
            <v>Est. Output (Pcs day)</v>
          </cell>
          <cell r="E2005">
            <v>5.33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135.08442776735461</v>
          </cell>
          <cell r="AK2005">
            <v>67.542213883677306</v>
          </cell>
          <cell r="AL2005">
            <v>135.08442776735461</v>
          </cell>
          <cell r="AM2005">
            <v>67.542213883677306</v>
          </cell>
          <cell r="AN2005">
            <v>135.08442776735461</v>
          </cell>
          <cell r="AO2005">
            <v>202.62664165103192</v>
          </cell>
          <cell r="AP2005">
            <v>202.62664165103192</v>
          </cell>
          <cell r="AQ2005">
            <v>202.62664165103192</v>
          </cell>
          <cell r="AR2005">
            <v>202.62664165103192</v>
          </cell>
          <cell r="AS2005">
            <v>202.62664165103192</v>
          </cell>
          <cell r="AT2005">
            <v>202.62664165103192</v>
          </cell>
          <cell r="AU2005">
            <v>202.62664165103192</v>
          </cell>
          <cell r="AV2005">
            <v>202.62664165103192</v>
          </cell>
          <cell r="AW2005">
            <v>202.62664165103192</v>
          </cell>
          <cell r="AX2005">
            <v>253.28330206378988</v>
          </cell>
          <cell r="AY2005">
            <v>675.422138836773</v>
          </cell>
          <cell r="AZ2005">
            <v>675.422138836773</v>
          </cell>
          <cell r="BA2005">
            <v>675.422138836773</v>
          </cell>
          <cell r="BB2005">
            <v>675.422138836773</v>
          </cell>
          <cell r="BC2005">
            <v>675.422138836773</v>
          </cell>
          <cell r="BD2005">
            <v>675.422138836773</v>
          </cell>
          <cell r="BE2005">
            <v>675.422138836773</v>
          </cell>
          <cell r="BF2005">
            <v>675.422138836773</v>
          </cell>
          <cell r="BG2005">
            <v>675.422138836773</v>
          </cell>
          <cell r="BH2005">
            <v>675.422138836773</v>
          </cell>
          <cell r="BI2005">
            <v>675.422138836773</v>
          </cell>
          <cell r="BJ2005">
            <v>675.422138836773</v>
          </cell>
          <cell r="BK2005">
            <v>844.27767354596631</v>
          </cell>
          <cell r="BL2005">
            <v>844.27767354596631</v>
          </cell>
          <cell r="BM2005">
            <v>844.27767354596631</v>
          </cell>
          <cell r="BN2005">
            <v>844.27767354596631</v>
          </cell>
          <cell r="BO2005">
            <v>844.27767354596631</v>
          </cell>
          <cell r="BP2005">
            <v>844.27767354596631</v>
          </cell>
          <cell r="BQ2005">
            <v>844.27767354596631</v>
          </cell>
          <cell r="BR2005">
            <v>844.27767354596631</v>
          </cell>
          <cell r="BS2005">
            <v>844.27767354596631</v>
          </cell>
          <cell r="BT2005">
            <v>844.27767354596631</v>
          </cell>
          <cell r="BU2005">
            <v>844.27767354596631</v>
          </cell>
          <cell r="BV2005">
            <v>844.27767354596631</v>
          </cell>
        </row>
        <row r="2006">
          <cell r="A2006" t="str">
            <v>Volvo GPA</v>
          </cell>
          <cell r="B2006" t="str">
            <v>FHR</v>
          </cell>
          <cell r="D2006" t="str">
            <v>Weekly Output PLAN</v>
          </cell>
          <cell r="E2006" t="str">
            <v>ASSY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0</v>
          </cell>
          <cell r="AJ2006">
            <v>135.08442776735461</v>
          </cell>
          <cell r="AK2006">
            <v>270.16885553470922</v>
          </cell>
          <cell r="AL2006">
            <v>540.33771106941845</v>
          </cell>
          <cell r="AM2006">
            <v>337.7110694183865</v>
          </cell>
          <cell r="AN2006">
            <v>540.33771106941845</v>
          </cell>
          <cell r="AO2006">
            <v>1013.1332082551596</v>
          </cell>
          <cell r="AP2006">
            <v>1013.1332082551596</v>
          </cell>
          <cell r="AQ2006">
            <v>1013.1332082551596</v>
          </cell>
          <cell r="AR2006">
            <v>1013.1332082551596</v>
          </cell>
          <cell r="AS2006">
            <v>1013.1332082551596</v>
          </cell>
          <cell r="AT2006">
            <v>1013.1332082551596</v>
          </cell>
          <cell r="AU2006">
            <v>1013.1332082551596</v>
          </cell>
          <cell r="AV2006">
            <v>1013.1332082551596</v>
          </cell>
          <cell r="AW2006">
            <v>1013.1332082551596</v>
          </cell>
          <cell r="AX2006">
            <v>1266.4165103189493</v>
          </cell>
          <cell r="AY2006">
            <v>3377.1106941838652</v>
          </cell>
          <cell r="AZ2006">
            <v>0</v>
          </cell>
          <cell r="BA2006">
            <v>0</v>
          </cell>
          <cell r="BB2006">
            <v>3377.1106941838652</v>
          </cell>
          <cell r="BC2006">
            <v>3377.1106941838652</v>
          </cell>
          <cell r="BD2006">
            <v>3377.1106941838652</v>
          </cell>
          <cell r="BE2006">
            <v>3377.1106941838652</v>
          </cell>
          <cell r="BF2006">
            <v>3377.1106941838652</v>
          </cell>
          <cell r="BG2006">
            <v>3377.1106941838652</v>
          </cell>
          <cell r="BH2006">
            <v>3377.1106941838652</v>
          </cell>
          <cell r="BI2006">
            <v>3377.1106941838652</v>
          </cell>
          <cell r="BJ2006">
            <v>3377.1106941838652</v>
          </cell>
          <cell r="BK2006">
            <v>4221.3883677298318</v>
          </cell>
          <cell r="BL2006">
            <v>8442.7767354596635</v>
          </cell>
          <cell r="BM2006">
            <v>8442.7767354596635</v>
          </cell>
          <cell r="BN2006">
            <v>8442.7767354596635</v>
          </cell>
          <cell r="BO2006">
            <v>8442.7767354596635</v>
          </cell>
          <cell r="BP2006">
            <v>8442.7767354596635</v>
          </cell>
          <cell r="BQ2006">
            <v>8442.7767354596635</v>
          </cell>
          <cell r="BR2006">
            <v>8442.7767354596635</v>
          </cell>
          <cell r="BS2006">
            <v>8442.7767354596635</v>
          </cell>
          <cell r="BT2006">
            <v>8442.7767354596635</v>
          </cell>
          <cell r="BU2006">
            <v>8442.7767354596635</v>
          </cell>
          <cell r="BV2006">
            <v>8442.7767354596635</v>
          </cell>
        </row>
        <row r="2007">
          <cell r="A2007" t="str">
            <v>Volvo GPA</v>
          </cell>
          <cell r="B2007" t="str">
            <v>FHR</v>
          </cell>
          <cell r="D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</row>
        <row r="2008">
          <cell r="A2008" t="str">
            <v>Volvo GPA</v>
          </cell>
          <cell r="B2008" t="str">
            <v>FHR</v>
          </cell>
          <cell r="D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</row>
        <row r="2009">
          <cell r="A2009" t="str">
            <v>Volvo GPA</v>
          </cell>
          <cell r="B2009" t="str">
            <v>FHR</v>
          </cell>
          <cell r="D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</row>
        <row r="2010">
          <cell r="A2010" t="str">
            <v>Volvo GPA</v>
          </cell>
          <cell r="B2010" t="str">
            <v>FHR</v>
          </cell>
          <cell r="D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</row>
        <row r="2011">
          <cell r="A2011" t="str">
            <v>Volvo GPA</v>
          </cell>
          <cell r="B2011" t="str">
            <v>FHR</v>
          </cell>
          <cell r="D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</row>
        <row r="2012">
          <cell r="A2012" t="str">
            <v>Volvo GPA</v>
          </cell>
          <cell r="B2012" t="str">
            <v>FHR</v>
          </cell>
          <cell r="D2012" t="str">
            <v>Weekly Output PLAN - SUM of models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  <cell r="AJ2012">
            <v>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  <cell r="BK2012">
            <v>0</v>
          </cell>
          <cell r="BL2012">
            <v>0</v>
          </cell>
          <cell r="BM2012">
            <v>0</v>
          </cell>
          <cell r="BN2012">
            <v>0</v>
          </cell>
          <cell r="BO2012">
            <v>0</v>
          </cell>
          <cell r="BP2012">
            <v>0</v>
          </cell>
          <cell r="BQ2012">
            <v>0</v>
          </cell>
          <cell r="BR2012">
            <v>0</v>
          </cell>
          <cell r="BS2012">
            <v>0</v>
          </cell>
          <cell r="BT2012">
            <v>0</v>
          </cell>
          <cell r="BU2012">
            <v>0</v>
          </cell>
          <cell r="BV2012">
            <v>0</v>
          </cell>
        </row>
        <row r="2013">
          <cell r="A2013" t="str">
            <v>Volvo GPA</v>
          </cell>
          <cell r="B2013" t="str">
            <v>FHR</v>
          </cell>
          <cell r="D2013" t="str">
            <v>Weekly Output CHECK with TO time multiple</v>
          </cell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</row>
        <row r="2014">
          <cell r="A2014" t="str">
            <v>Volvo GPA</v>
          </cell>
          <cell r="B2014" t="str">
            <v>FHR</v>
          </cell>
          <cell r="D2014" t="str">
            <v>Weekly Output ACT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  <cell r="AJ2014">
            <v>135.08442776735461</v>
          </cell>
          <cell r="AK2014">
            <v>270.16885553470922</v>
          </cell>
          <cell r="AL2014">
            <v>540.33771106941845</v>
          </cell>
          <cell r="AM2014">
            <v>337.7110694183865</v>
          </cell>
          <cell r="AN2014">
            <v>540.33771106941845</v>
          </cell>
          <cell r="AO2014">
            <v>1013.1332082551596</v>
          </cell>
          <cell r="AP2014">
            <v>1013.1332082551596</v>
          </cell>
          <cell r="AQ2014">
            <v>1013.1332082551596</v>
          </cell>
          <cell r="AR2014">
            <v>1013.1332082551596</v>
          </cell>
          <cell r="AS2014">
            <v>1013.1332082551596</v>
          </cell>
          <cell r="AT2014">
            <v>1013.1332082551596</v>
          </cell>
          <cell r="AU2014">
            <v>1013.1332082551596</v>
          </cell>
          <cell r="AV2014">
            <v>1013.1332082551596</v>
          </cell>
          <cell r="AW2014">
            <v>1013.1332082551596</v>
          </cell>
          <cell r="AX2014">
            <v>1266.4165103189493</v>
          </cell>
          <cell r="AY2014">
            <v>3377.1106941838652</v>
          </cell>
          <cell r="AZ2014">
            <v>0</v>
          </cell>
          <cell r="BA2014">
            <v>0</v>
          </cell>
          <cell r="BB2014">
            <v>3377.1106941838652</v>
          </cell>
          <cell r="BC2014">
            <v>3377.1106941838652</v>
          </cell>
          <cell r="BD2014">
            <v>3377.1106941838652</v>
          </cell>
          <cell r="BE2014">
            <v>3377.1106941838652</v>
          </cell>
          <cell r="BF2014">
            <v>3377.1106941838652</v>
          </cell>
          <cell r="BG2014">
            <v>3377.1106941838652</v>
          </cell>
          <cell r="BH2014">
            <v>3377.1106941838652</v>
          </cell>
          <cell r="BI2014">
            <v>3377.1106941838652</v>
          </cell>
          <cell r="BJ2014">
            <v>3377.1106941838652</v>
          </cell>
          <cell r="BK2014">
            <v>4221.3883677298318</v>
          </cell>
          <cell r="BL2014">
            <v>8442.7767354596635</v>
          </cell>
          <cell r="BM2014">
            <v>8442.7767354596635</v>
          </cell>
          <cell r="BN2014">
            <v>8442.7767354596635</v>
          </cell>
          <cell r="BO2014">
            <v>8442.7767354596635</v>
          </cell>
          <cell r="BP2014">
            <v>8442.7767354596635</v>
          </cell>
          <cell r="BQ2014">
            <v>8442.7767354596635</v>
          </cell>
          <cell r="BR2014">
            <v>8442.7767354596635</v>
          </cell>
          <cell r="BS2014">
            <v>8442.7767354596635</v>
          </cell>
          <cell r="BT2014">
            <v>8442.7767354596635</v>
          </cell>
          <cell r="BU2014">
            <v>8442.7767354596635</v>
          </cell>
          <cell r="BV2014">
            <v>8442.7767354596635</v>
          </cell>
        </row>
        <row r="2015">
          <cell r="A2015" t="str">
            <v>Volvo GPA</v>
          </cell>
          <cell r="B2015" t="str">
            <v>FHR</v>
          </cell>
          <cell r="D2015">
            <v>0</v>
          </cell>
          <cell r="Z2015">
            <v>0</v>
          </cell>
          <cell r="AA2015">
            <v>328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144</v>
          </cell>
          <cell r="AK2015">
            <v>288</v>
          </cell>
          <cell r="AL2015">
            <v>0</v>
          </cell>
          <cell r="AM2015">
            <v>216</v>
          </cell>
          <cell r="AN2015">
            <v>432</v>
          </cell>
          <cell r="AO2015">
            <v>720</v>
          </cell>
          <cell r="AP2015">
            <v>864</v>
          </cell>
          <cell r="AQ2015">
            <v>936</v>
          </cell>
          <cell r="AR2015">
            <v>792</v>
          </cell>
          <cell r="AS2015">
            <v>1224</v>
          </cell>
          <cell r="AT2015">
            <v>1584</v>
          </cell>
          <cell r="AU2015">
            <v>1584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2088</v>
          </cell>
          <cell r="BA2015">
            <v>2160</v>
          </cell>
          <cell r="BB2015">
            <v>11880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16344</v>
          </cell>
          <cell r="BH2015">
            <v>0</v>
          </cell>
          <cell r="BI2015">
            <v>0</v>
          </cell>
          <cell r="BJ2015">
            <v>0</v>
          </cell>
          <cell r="BK2015">
            <v>24480</v>
          </cell>
          <cell r="BL2015">
            <v>0</v>
          </cell>
          <cell r="BM2015">
            <v>0</v>
          </cell>
          <cell r="BN2015">
            <v>0</v>
          </cell>
          <cell r="BO2015">
            <v>22104</v>
          </cell>
          <cell r="BP2015">
            <v>0</v>
          </cell>
          <cell r="BQ2015">
            <v>0</v>
          </cell>
          <cell r="BR2015">
            <v>0</v>
          </cell>
          <cell r="BS2015">
            <v>0</v>
          </cell>
          <cell r="BT2015">
            <v>12600</v>
          </cell>
          <cell r="BU2015">
            <v>0</v>
          </cell>
          <cell r="BV2015">
            <v>0</v>
          </cell>
        </row>
        <row r="2016">
          <cell r="A2016" t="str">
            <v>Volvo GPA</v>
          </cell>
          <cell r="B2016" t="str">
            <v>FHR</v>
          </cell>
          <cell r="D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  <cell r="BK2016">
            <v>0</v>
          </cell>
          <cell r="BL2016">
            <v>0</v>
          </cell>
          <cell r="BM2016">
            <v>0</v>
          </cell>
          <cell r="BN2016">
            <v>0</v>
          </cell>
          <cell r="BO2016">
            <v>0</v>
          </cell>
          <cell r="BP2016">
            <v>0</v>
          </cell>
          <cell r="BQ2016">
            <v>0</v>
          </cell>
          <cell r="BR2016">
            <v>0</v>
          </cell>
          <cell r="BS2016">
            <v>0</v>
          </cell>
          <cell r="BT2016">
            <v>0</v>
          </cell>
          <cell r="BU2016">
            <v>0</v>
          </cell>
          <cell r="BV2016">
            <v>0</v>
          </cell>
        </row>
        <row r="2017">
          <cell r="A2017" t="str">
            <v>Volvo GPA</v>
          </cell>
          <cell r="B2017" t="str">
            <v>FHR</v>
          </cell>
          <cell r="D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  <cell r="BK2017">
            <v>0</v>
          </cell>
          <cell r="BL2017">
            <v>0</v>
          </cell>
          <cell r="BM2017">
            <v>0</v>
          </cell>
          <cell r="BN2017">
            <v>0</v>
          </cell>
          <cell r="BO2017">
            <v>0</v>
          </cell>
          <cell r="BP2017">
            <v>0</v>
          </cell>
          <cell r="BQ2017">
            <v>0</v>
          </cell>
          <cell r="BR2017">
            <v>0</v>
          </cell>
          <cell r="BS2017">
            <v>0</v>
          </cell>
          <cell r="BT2017">
            <v>0</v>
          </cell>
          <cell r="BU2017">
            <v>0</v>
          </cell>
          <cell r="BV2017">
            <v>0</v>
          </cell>
        </row>
        <row r="2018">
          <cell r="A2018" t="str">
            <v>Volvo GPA</v>
          </cell>
          <cell r="B2018" t="str">
            <v>FHR</v>
          </cell>
          <cell r="D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  <cell r="BK2018">
            <v>0</v>
          </cell>
          <cell r="BL2018">
            <v>0</v>
          </cell>
          <cell r="BM2018">
            <v>0</v>
          </cell>
          <cell r="BN2018">
            <v>0</v>
          </cell>
          <cell r="BO2018">
            <v>0</v>
          </cell>
          <cell r="BP2018">
            <v>0</v>
          </cell>
          <cell r="BQ2018">
            <v>0</v>
          </cell>
          <cell r="BR2018">
            <v>0</v>
          </cell>
          <cell r="BS2018">
            <v>0</v>
          </cell>
          <cell r="BT2018">
            <v>0</v>
          </cell>
          <cell r="BU2018">
            <v>0</v>
          </cell>
          <cell r="BV2018">
            <v>0</v>
          </cell>
        </row>
        <row r="2019">
          <cell r="A2019" t="str">
            <v>Volvo GPA</v>
          </cell>
          <cell r="B2019" t="str">
            <v>FHR</v>
          </cell>
          <cell r="D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0</v>
          </cell>
          <cell r="AJ2019">
            <v>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  <cell r="BK2019">
            <v>0</v>
          </cell>
          <cell r="BL2019">
            <v>0</v>
          </cell>
          <cell r="BM2019">
            <v>0</v>
          </cell>
          <cell r="BN2019">
            <v>0</v>
          </cell>
          <cell r="BO2019">
            <v>0</v>
          </cell>
          <cell r="BP2019">
            <v>0</v>
          </cell>
          <cell r="BQ2019">
            <v>0</v>
          </cell>
          <cell r="BR2019">
            <v>0</v>
          </cell>
          <cell r="BS2019">
            <v>0</v>
          </cell>
          <cell r="BT2019">
            <v>0</v>
          </cell>
          <cell r="BU2019">
            <v>0</v>
          </cell>
          <cell r="BV2019">
            <v>0</v>
          </cell>
        </row>
        <row r="2020">
          <cell r="A2020" t="str">
            <v>Volvo GPA</v>
          </cell>
          <cell r="B2020" t="str">
            <v>FHR</v>
          </cell>
          <cell r="D2020" t="str">
            <v>Weekly demand</v>
          </cell>
          <cell r="Z2020">
            <v>0</v>
          </cell>
          <cell r="AA2020">
            <v>328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0</v>
          </cell>
          <cell r="AJ2020">
            <v>144</v>
          </cell>
          <cell r="AK2020">
            <v>288</v>
          </cell>
          <cell r="AL2020">
            <v>0</v>
          </cell>
          <cell r="AM2020">
            <v>216</v>
          </cell>
          <cell r="AN2020">
            <v>432</v>
          </cell>
          <cell r="AO2020">
            <v>720</v>
          </cell>
          <cell r="AP2020">
            <v>864</v>
          </cell>
          <cell r="AQ2020">
            <v>936</v>
          </cell>
          <cell r="AR2020">
            <v>792</v>
          </cell>
          <cell r="AS2020">
            <v>1224</v>
          </cell>
          <cell r="AT2020">
            <v>1584</v>
          </cell>
          <cell r="AU2020">
            <v>1584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2088</v>
          </cell>
          <cell r="BA2020">
            <v>2160</v>
          </cell>
          <cell r="BB2020">
            <v>11880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16344</v>
          </cell>
          <cell r="BH2020">
            <v>0</v>
          </cell>
          <cell r="BI2020">
            <v>0</v>
          </cell>
          <cell r="BJ2020">
            <v>0</v>
          </cell>
          <cell r="BK2020">
            <v>24480</v>
          </cell>
          <cell r="BL2020">
            <v>41584</v>
          </cell>
          <cell r="BM2020">
            <v>0</v>
          </cell>
          <cell r="BN2020">
            <v>0</v>
          </cell>
          <cell r="BO2020">
            <v>22104</v>
          </cell>
          <cell r="BP2020">
            <v>0</v>
          </cell>
          <cell r="BQ2020">
            <v>0</v>
          </cell>
          <cell r="BR2020">
            <v>0</v>
          </cell>
          <cell r="BS2020">
            <v>0</v>
          </cell>
          <cell r="BT2020">
            <v>12600</v>
          </cell>
          <cell r="BU2020">
            <v>0</v>
          </cell>
          <cell r="BV2020">
            <v>0</v>
          </cell>
        </row>
        <row r="2021">
          <cell r="A2021" t="str">
            <v>Volvo GPA</v>
          </cell>
          <cell r="B2021" t="str">
            <v>FHR</v>
          </cell>
          <cell r="D2021" t="str">
            <v>Stock Target</v>
          </cell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>
            <v>2550</v>
          </cell>
          <cell r="AK2021">
            <v>2551</v>
          </cell>
          <cell r="AL2021">
            <v>2552</v>
          </cell>
          <cell r="AM2021">
            <v>2552</v>
          </cell>
          <cell r="AN2021">
            <v>2552</v>
          </cell>
          <cell r="AO2021">
            <v>2552</v>
          </cell>
          <cell r="AP2021">
            <v>2552</v>
          </cell>
          <cell r="AQ2021">
            <v>2552</v>
          </cell>
          <cell r="AR2021">
            <v>2552</v>
          </cell>
          <cell r="AS2021">
            <v>2552</v>
          </cell>
          <cell r="AT2021">
            <v>2552</v>
          </cell>
          <cell r="AU2021">
            <v>2552</v>
          </cell>
          <cell r="AV2021">
            <v>2552</v>
          </cell>
          <cell r="AW2021">
            <v>2552</v>
          </cell>
          <cell r="AX2021">
            <v>2552</v>
          </cell>
          <cell r="AY2021">
            <v>2552</v>
          </cell>
          <cell r="AZ2021">
            <v>2552</v>
          </cell>
          <cell r="BA2021">
            <v>2552</v>
          </cell>
          <cell r="BB2021">
            <v>2552</v>
          </cell>
          <cell r="BC2021">
            <v>2552</v>
          </cell>
          <cell r="BD2021">
            <v>2552</v>
          </cell>
          <cell r="BE2021">
            <v>2552</v>
          </cell>
          <cell r="BF2021">
            <v>2552</v>
          </cell>
          <cell r="BG2021">
            <v>2552</v>
          </cell>
          <cell r="BH2021">
            <v>2552</v>
          </cell>
          <cell r="BI2021">
            <v>2552</v>
          </cell>
          <cell r="BJ2021">
            <v>2552</v>
          </cell>
          <cell r="BK2021">
            <v>2552</v>
          </cell>
          <cell r="BL2021">
            <v>2552</v>
          </cell>
          <cell r="BM2021">
            <v>2552</v>
          </cell>
          <cell r="BN2021">
            <v>2553</v>
          </cell>
          <cell r="BO2021">
            <v>2554</v>
          </cell>
          <cell r="BP2021">
            <v>2555</v>
          </cell>
          <cell r="BQ2021">
            <v>2556</v>
          </cell>
          <cell r="BR2021">
            <v>2557</v>
          </cell>
          <cell r="BS2021">
            <v>2558</v>
          </cell>
          <cell r="BT2021">
            <v>2559</v>
          </cell>
          <cell r="BU2021">
            <v>2560</v>
          </cell>
          <cell r="BV2021">
            <v>2561</v>
          </cell>
        </row>
        <row r="2022">
          <cell r="A2022" t="str">
            <v>Volvo GPA</v>
          </cell>
          <cell r="B2022" t="str">
            <v>FHR</v>
          </cell>
          <cell r="D2022">
            <v>0</v>
          </cell>
          <cell r="Z2022">
            <v>-90</v>
          </cell>
          <cell r="AA2022">
            <v>-418</v>
          </cell>
          <cell r="AB2022">
            <v>-418</v>
          </cell>
          <cell r="AC2022">
            <v>-418</v>
          </cell>
          <cell r="AD2022">
            <v>-418</v>
          </cell>
          <cell r="AE2022">
            <v>-418</v>
          </cell>
          <cell r="AF2022">
            <v>-418</v>
          </cell>
          <cell r="AG2022">
            <v>-418</v>
          </cell>
          <cell r="AH2022">
            <v>-418</v>
          </cell>
          <cell r="AI2022">
            <v>-418</v>
          </cell>
          <cell r="AJ2022">
            <v>-562</v>
          </cell>
          <cell r="AK2022">
            <v>-850</v>
          </cell>
          <cell r="AL2022">
            <v>-850</v>
          </cell>
          <cell r="AM2022">
            <v>-1066</v>
          </cell>
          <cell r="AN2022">
            <v>-1282</v>
          </cell>
          <cell r="AO2022">
            <v>-1786</v>
          </cell>
          <cell r="AP2022">
            <v>-2146</v>
          </cell>
          <cell r="AQ2022">
            <v>-2722</v>
          </cell>
          <cell r="AR2022">
            <v>-2938</v>
          </cell>
          <cell r="AS2022">
            <v>-3946</v>
          </cell>
          <cell r="AT2022">
            <v>-4522</v>
          </cell>
          <cell r="AU2022">
            <v>-5530</v>
          </cell>
          <cell r="AV2022">
            <v>-4522</v>
          </cell>
          <cell r="AW2022">
            <v>-5530</v>
          </cell>
          <cell r="AX2022">
            <v>-4522</v>
          </cell>
          <cell r="AY2022">
            <v>-5530</v>
          </cell>
          <cell r="AZ2022">
            <v>-6610</v>
          </cell>
          <cell r="BA2022">
            <v>-7690</v>
          </cell>
          <cell r="BB2022">
            <v>-18490</v>
          </cell>
          <cell r="BC2022">
            <v>-7690</v>
          </cell>
          <cell r="BD2022">
            <v>-18490</v>
          </cell>
          <cell r="BE2022">
            <v>-7690</v>
          </cell>
          <cell r="BF2022">
            <v>-18490</v>
          </cell>
          <cell r="BG2022">
            <v>-24034</v>
          </cell>
          <cell r="BH2022">
            <v>-18490</v>
          </cell>
          <cell r="BI2022">
            <v>-24034</v>
          </cell>
          <cell r="BJ2022">
            <v>-18490</v>
          </cell>
          <cell r="BK2022">
            <v>-48514</v>
          </cell>
          <cell r="BL2022">
            <v>-18490</v>
          </cell>
          <cell r="BM2022">
            <v>-48514</v>
          </cell>
          <cell r="BN2022">
            <v>-18490</v>
          </cell>
          <cell r="BO2022">
            <v>-70618</v>
          </cell>
          <cell r="BP2022">
            <v>-18490</v>
          </cell>
          <cell r="BQ2022">
            <v>-70618</v>
          </cell>
          <cell r="BR2022">
            <v>-18490</v>
          </cell>
          <cell r="BS2022">
            <v>-70618</v>
          </cell>
          <cell r="BT2022">
            <v>-31090</v>
          </cell>
          <cell r="BU2022">
            <v>-70618</v>
          </cell>
          <cell r="BV2022">
            <v>-31090</v>
          </cell>
        </row>
        <row r="2023">
          <cell r="A2023" t="str">
            <v>Volvo GPA</v>
          </cell>
          <cell r="B2023" t="str">
            <v>FHR</v>
          </cell>
          <cell r="D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0</v>
          </cell>
          <cell r="AJ2023">
            <v>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  <cell r="BK2023">
            <v>0</v>
          </cell>
          <cell r="BL2023">
            <v>0</v>
          </cell>
          <cell r="BM2023">
            <v>0</v>
          </cell>
          <cell r="BN2023">
            <v>0</v>
          </cell>
          <cell r="BO2023">
            <v>0</v>
          </cell>
          <cell r="BP2023">
            <v>0</v>
          </cell>
          <cell r="BQ2023">
            <v>0</v>
          </cell>
          <cell r="BR2023">
            <v>0</v>
          </cell>
          <cell r="BS2023">
            <v>0</v>
          </cell>
          <cell r="BT2023">
            <v>0</v>
          </cell>
          <cell r="BU2023">
            <v>0</v>
          </cell>
          <cell r="BV2023">
            <v>0</v>
          </cell>
        </row>
        <row r="2024">
          <cell r="A2024" t="str">
            <v>Volvo GPA</v>
          </cell>
          <cell r="B2024" t="str">
            <v>FHR</v>
          </cell>
          <cell r="D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  <cell r="BK2024">
            <v>0</v>
          </cell>
          <cell r="BL2024">
            <v>0</v>
          </cell>
          <cell r="BM2024">
            <v>0</v>
          </cell>
          <cell r="BN2024">
            <v>0</v>
          </cell>
          <cell r="BO2024">
            <v>0</v>
          </cell>
          <cell r="BP2024">
            <v>0</v>
          </cell>
          <cell r="BQ2024">
            <v>0</v>
          </cell>
          <cell r="BR2024">
            <v>0</v>
          </cell>
          <cell r="BS2024">
            <v>0</v>
          </cell>
          <cell r="BT2024">
            <v>0</v>
          </cell>
          <cell r="BU2024">
            <v>0</v>
          </cell>
          <cell r="BV2024">
            <v>0</v>
          </cell>
        </row>
        <row r="2025">
          <cell r="A2025" t="str">
            <v>Volvo GPA</v>
          </cell>
          <cell r="B2025" t="str">
            <v>FHR</v>
          </cell>
          <cell r="D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0</v>
          </cell>
          <cell r="AJ2025">
            <v>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  <cell r="BK2025">
            <v>0</v>
          </cell>
          <cell r="BL2025">
            <v>0</v>
          </cell>
          <cell r="BM2025">
            <v>0</v>
          </cell>
          <cell r="BN2025">
            <v>0</v>
          </cell>
          <cell r="BO2025">
            <v>0</v>
          </cell>
          <cell r="BP2025">
            <v>0</v>
          </cell>
          <cell r="BQ2025">
            <v>0</v>
          </cell>
          <cell r="BR2025">
            <v>0</v>
          </cell>
          <cell r="BS2025">
            <v>0</v>
          </cell>
          <cell r="BT2025">
            <v>0</v>
          </cell>
          <cell r="BU2025">
            <v>0</v>
          </cell>
          <cell r="BV2025">
            <v>0</v>
          </cell>
        </row>
        <row r="2026">
          <cell r="A2026" t="str">
            <v>Volvo GPA</v>
          </cell>
          <cell r="B2026" t="str">
            <v>FHR</v>
          </cell>
          <cell r="D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  <cell r="BK2026">
            <v>0</v>
          </cell>
          <cell r="BL2026">
            <v>0</v>
          </cell>
          <cell r="BM2026">
            <v>0</v>
          </cell>
          <cell r="BN2026">
            <v>0</v>
          </cell>
          <cell r="BO2026">
            <v>0</v>
          </cell>
          <cell r="BP2026">
            <v>0</v>
          </cell>
          <cell r="BQ2026">
            <v>0</v>
          </cell>
          <cell r="BR2026">
            <v>0</v>
          </cell>
          <cell r="BS2026">
            <v>0</v>
          </cell>
          <cell r="BT2026">
            <v>0</v>
          </cell>
          <cell r="BU2026">
            <v>0</v>
          </cell>
          <cell r="BV2026">
            <v>0</v>
          </cell>
        </row>
        <row r="2027">
          <cell r="A2027" t="str">
            <v>Volvo GPA</v>
          </cell>
          <cell r="B2027" t="str">
            <v>FHR</v>
          </cell>
          <cell r="D2027" t="str">
            <v>STOCK</v>
          </cell>
          <cell r="Z2027">
            <v>0</v>
          </cell>
          <cell r="AA2027">
            <v>-328</v>
          </cell>
          <cell r="AB2027">
            <v>-328</v>
          </cell>
          <cell r="AC2027">
            <v>-328</v>
          </cell>
          <cell r="AD2027">
            <v>-328</v>
          </cell>
          <cell r="AE2027">
            <v>-328</v>
          </cell>
          <cell r="AF2027">
            <v>-328</v>
          </cell>
          <cell r="AG2027">
            <v>-328</v>
          </cell>
          <cell r="AH2027">
            <v>-328</v>
          </cell>
          <cell r="AI2027">
            <v>-328</v>
          </cell>
          <cell r="AJ2027">
            <v>-336.91557223264539</v>
          </cell>
          <cell r="AK2027">
            <v>-354.74671669793622</v>
          </cell>
          <cell r="AL2027">
            <v>185.59099437148222</v>
          </cell>
          <cell r="AM2027">
            <v>307.30206378986873</v>
          </cell>
          <cell r="AN2027">
            <v>415.63977485928717</v>
          </cell>
          <cell r="AO2027">
            <v>708.77298311444679</v>
          </cell>
          <cell r="AP2027">
            <v>857.9061913696064</v>
          </cell>
          <cell r="AQ2027">
            <v>935.03939962476602</v>
          </cell>
          <cell r="AR2027">
            <v>1156.1726078799256</v>
          </cell>
          <cell r="AS2027">
            <v>945.30581613508525</v>
          </cell>
          <cell r="AT2027">
            <v>374.43902439024487</v>
          </cell>
          <cell r="AU2027">
            <v>-196.42776735459552</v>
          </cell>
          <cell r="AV2027">
            <v>816.7054409005641</v>
          </cell>
          <cell r="AW2027">
            <v>1829.8386491557237</v>
          </cell>
          <cell r="AX2027">
            <v>3096.2551594746728</v>
          </cell>
          <cell r="AY2027">
            <v>6473.3658536585381</v>
          </cell>
          <cell r="AZ2027">
            <v>4385.3658536585381</v>
          </cell>
          <cell r="BA2027">
            <v>2225.3658536585381</v>
          </cell>
          <cell r="BB2027">
            <v>-6277.5234521575958</v>
          </cell>
          <cell r="BC2027">
            <v>-2900.4127579737305</v>
          </cell>
          <cell r="BD2027">
            <v>476.69793621013469</v>
          </cell>
          <cell r="BE2027">
            <v>3853.8086303939999</v>
          </cell>
          <cell r="BF2027">
            <v>7230.9193245778652</v>
          </cell>
          <cell r="BG2027">
            <v>-5735.9699812382687</v>
          </cell>
          <cell r="BH2027">
            <v>-2358.8592870544035</v>
          </cell>
          <cell r="BI2027">
            <v>1018.2514071294618</v>
          </cell>
          <cell r="BJ2027">
            <v>4395.362101313327</v>
          </cell>
          <cell r="BK2027">
            <v>-15863.24953095684</v>
          </cell>
          <cell r="BL2027">
            <v>-49004.472795497175</v>
          </cell>
          <cell r="BM2027">
            <v>-40561.69606003751</v>
          </cell>
          <cell r="BN2027">
            <v>-32118.919324577844</v>
          </cell>
          <cell r="BO2027">
            <v>-45780.142589118179</v>
          </cell>
          <cell r="BP2027">
            <v>-37337.365853658514</v>
          </cell>
          <cell r="BQ2027">
            <v>-28894.589118198848</v>
          </cell>
          <cell r="BR2027">
            <v>-20451.812382739183</v>
          </cell>
          <cell r="BS2027">
            <v>-12009.035647279519</v>
          </cell>
          <cell r="BT2027">
            <v>-16166.258911819854</v>
          </cell>
          <cell r="BU2027">
            <v>-7723.4821763601904</v>
          </cell>
          <cell r="BV2027">
            <v>719.29455909947319</v>
          </cell>
        </row>
        <row r="2028">
          <cell r="A2028" t="str">
            <v>Total GPA volumes</v>
          </cell>
          <cell r="D2028"/>
          <cell r="Z2028">
            <v>0</v>
          </cell>
          <cell r="AA2028">
            <v>1250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210</v>
          </cell>
          <cell r="AI2028">
            <v>105</v>
          </cell>
          <cell r="AJ2028">
            <v>376</v>
          </cell>
          <cell r="AK2028">
            <v>605</v>
          </cell>
          <cell r="AL2028">
            <v>422</v>
          </cell>
          <cell r="AM2028">
            <v>1111</v>
          </cell>
          <cell r="AN2028">
            <v>2038</v>
          </cell>
          <cell r="AO2028">
            <v>2403</v>
          </cell>
          <cell r="AP2028">
            <v>2972</v>
          </cell>
          <cell r="AQ2028">
            <v>3447</v>
          </cell>
          <cell r="AR2028">
            <v>3431</v>
          </cell>
          <cell r="AS2028">
            <v>4215</v>
          </cell>
          <cell r="AT2028">
            <v>3922</v>
          </cell>
          <cell r="AU2028">
            <v>3922</v>
          </cell>
          <cell r="AV2028">
            <v>0</v>
          </cell>
          <cell r="AW2028">
            <v>43</v>
          </cell>
          <cell r="AX2028">
            <v>1050</v>
          </cell>
          <cell r="AY2028">
            <v>1020</v>
          </cell>
          <cell r="AZ2028">
            <v>6271</v>
          </cell>
          <cell r="BA2028">
            <v>6913</v>
          </cell>
          <cell r="BB2028">
            <v>36428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50726</v>
          </cell>
          <cell r="BH2028">
            <v>0</v>
          </cell>
          <cell r="BI2028">
            <v>0</v>
          </cell>
          <cell r="BJ2028">
            <v>0</v>
          </cell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</row>
        <row r="2029">
          <cell r="A2029" t="str">
            <v>Volvo GPA</v>
          </cell>
          <cell r="B2029" t="str">
            <v>FHR</v>
          </cell>
          <cell r="D2029" t="str">
            <v>Work days</v>
          </cell>
          <cell r="Z2029"/>
          <cell r="AA2029"/>
          <cell r="AB2029"/>
          <cell r="AC2029"/>
          <cell r="AD2029">
            <v>0</v>
          </cell>
          <cell r="AE2029">
            <v>0</v>
          </cell>
          <cell r="AF2029">
            <v>5</v>
          </cell>
          <cell r="AG2029">
            <v>5</v>
          </cell>
          <cell r="AH2029">
            <v>5</v>
          </cell>
          <cell r="AI2029">
            <v>5</v>
          </cell>
          <cell r="AJ2029">
            <v>5</v>
          </cell>
          <cell r="AK2029">
            <v>4</v>
          </cell>
          <cell r="AL2029">
            <v>4</v>
          </cell>
          <cell r="AM2029">
            <v>5</v>
          </cell>
          <cell r="AN2029">
            <v>4</v>
          </cell>
          <cell r="AO2029">
            <v>5</v>
          </cell>
          <cell r="AP2029">
            <v>5</v>
          </cell>
          <cell r="AQ2029">
            <v>5</v>
          </cell>
          <cell r="AR2029">
            <v>5</v>
          </cell>
          <cell r="AS2029">
            <v>5</v>
          </cell>
          <cell r="AT2029">
            <v>5</v>
          </cell>
          <cell r="AU2029">
            <v>5</v>
          </cell>
          <cell r="AV2029">
            <v>5</v>
          </cell>
          <cell r="AW2029">
            <v>5</v>
          </cell>
          <cell r="AX2029">
            <v>5</v>
          </cell>
          <cell r="AY2029">
            <v>5</v>
          </cell>
          <cell r="AZ2029">
            <v>0</v>
          </cell>
          <cell r="BA2029">
            <v>0</v>
          </cell>
          <cell r="BB2029">
            <v>5</v>
          </cell>
          <cell r="BC2029">
            <v>5</v>
          </cell>
          <cell r="BD2029">
            <v>5</v>
          </cell>
          <cell r="BE2029">
            <v>5</v>
          </cell>
          <cell r="BF2029">
            <v>5</v>
          </cell>
          <cell r="BG2029">
            <v>5</v>
          </cell>
          <cell r="BH2029">
            <v>5</v>
          </cell>
          <cell r="BI2029">
            <v>5</v>
          </cell>
          <cell r="BJ2029">
            <v>5</v>
          </cell>
          <cell r="BK2029">
            <v>5</v>
          </cell>
          <cell r="BL2029">
            <v>2</v>
          </cell>
          <cell r="BM2029">
            <v>2</v>
          </cell>
          <cell r="BN2029">
            <v>2</v>
          </cell>
          <cell r="BO2029">
            <v>2</v>
          </cell>
          <cell r="BP2029">
            <v>2</v>
          </cell>
          <cell r="BQ2029">
            <v>3</v>
          </cell>
          <cell r="BR2029">
            <v>3</v>
          </cell>
          <cell r="BS2029">
            <v>3</v>
          </cell>
          <cell r="BT2029">
            <v>3</v>
          </cell>
          <cell r="BU2029">
            <v>3</v>
          </cell>
          <cell r="BV2029">
            <v>3</v>
          </cell>
        </row>
        <row r="2030">
          <cell r="A2030" t="str">
            <v>Volvo GPA</v>
          </cell>
          <cell r="B2030" t="str">
            <v>FHR</v>
          </cell>
          <cell r="D2030" t="str">
            <v>SHIFT A HC - operators</v>
          </cell>
          <cell r="Z2030"/>
          <cell r="AA2030"/>
          <cell r="AB2030"/>
          <cell r="AC2030"/>
          <cell r="AD2030">
            <v>2</v>
          </cell>
          <cell r="AE2030">
            <v>2</v>
          </cell>
          <cell r="AF2030">
            <v>2</v>
          </cell>
          <cell r="AG2030">
            <v>2</v>
          </cell>
          <cell r="AH2030">
            <v>2</v>
          </cell>
          <cell r="AI2030">
            <v>3</v>
          </cell>
          <cell r="AJ2030">
            <v>3</v>
          </cell>
          <cell r="AK2030">
            <v>3</v>
          </cell>
          <cell r="AL2030">
            <v>3</v>
          </cell>
          <cell r="AM2030">
            <v>3</v>
          </cell>
          <cell r="AN2030">
            <v>3</v>
          </cell>
          <cell r="AO2030">
            <v>3</v>
          </cell>
          <cell r="AP2030">
            <v>4</v>
          </cell>
          <cell r="AQ2030">
            <v>4</v>
          </cell>
          <cell r="AR2030">
            <v>4</v>
          </cell>
          <cell r="AS2030">
            <v>4</v>
          </cell>
          <cell r="AT2030">
            <v>7</v>
          </cell>
          <cell r="AU2030">
            <v>7</v>
          </cell>
          <cell r="AV2030">
            <v>7</v>
          </cell>
          <cell r="AW2030">
            <v>7</v>
          </cell>
          <cell r="AX2030">
            <v>7</v>
          </cell>
          <cell r="AY2030">
            <v>7</v>
          </cell>
          <cell r="AZ2030">
            <v>10</v>
          </cell>
          <cell r="BA2030">
            <v>10</v>
          </cell>
          <cell r="BB2030">
            <v>10</v>
          </cell>
          <cell r="BC2030">
            <v>10</v>
          </cell>
          <cell r="BD2030">
            <v>10</v>
          </cell>
          <cell r="BE2030">
            <v>10</v>
          </cell>
          <cell r="BF2030">
            <v>10</v>
          </cell>
          <cell r="BG2030">
            <v>10</v>
          </cell>
          <cell r="BH2030">
            <v>10</v>
          </cell>
          <cell r="BI2030">
            <v>10</v>
          </cell>
          <cell r="BJ2030">
            <v>10</v>
          </cell>
          <cell r="BK2030">
            <v>2</v>
          </cell>
          <cell r="BL2030">
            <v>2</v>
          </cell>
          <cell r="BM2030">
            <v>2</v>
          </cell>
          <cell r="BN2030">
            <v>2</v>
          </cell>
          <cell r="BO2030">
            <v>2</v>
          </cell>
          <cell r="BP2030">
            <v>2</v>
          </cell>
          <cell r="BQ2030">
            <v>3</v>
          </cell>
          <cell r="BR2030">
            <v>3</v>
          </cell>
          <cell r="BS2030">
            <v>3</v>
          </cell>
          <cell r="BT2030">
            <v>3</v>
          </cell>
          <cell r="BU2030">
            <v>3</v>
          </cell>
          <cell r="BV2030">
            <v>3</v>
          </cell>
        </row>
        <row r="2031">
          <cell r="A2031" t="str">
            <v>Volvo GPA</v>
          </cell>
          <cell r="B2031" t="str">
            <v>FHR</v>
          </cell>
          <cell r="D2031" t="str">
            <v>SHIFT B HC  - operators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0</v>
          </cell>
          <cell r="AJ2031">
            <v>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  <cell r="BK2031">
            <v>0</v>
          </cell>
          <cell r="BL2031">
            <v>0</v>
          </cell>
          <cell r="BM2031">
            <v>0</v>
          </cell>
          <cell r="BN2031">
            <v>0</v>
          </cell>
          <cell r="BO2031">
            <v>0</v>
          </cell>
          <cell r="BP2031">
            <v>0</v>
          </cell>
          <cell r="BQ2031">
            <v>0</v>
          </cell>
          <cell r="BR2031">
            <v>0</v>
          </cell>
          <cell r="BS2031">
            <v>0</v>
          </cell>
          <cell r="BT2031">
            <v>0</v>
          </cell>
          <cell r="BU2031">
            <v>0</v>
          </cell>
          <cell r="BV2031">
            <v>0</v>
          </cell>
        </row>
        <row r="2032">
          <cell r="A2032" t="str">
            <v>Volvo GPA</v>
          </cell>
          <cell r="B2032" t="str">
            <v>FHR</v>
          </cell>
          <cell r="D2032" t="str">
            <v>SHIFT C HC  - operators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0</v>
          </cell>
          <cell r="AJ2032">
            <v>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  <cell r="BK2032">
            <v>0</v>
          </cell>
          <cell r="BL2032">
            <v>0</v>
          </cell>
          <cell r="BM2032">
            <v>0</v>
          </cell>
          <cell r="BN2032">
            <v>0</v>
          </cell>
          <cell r="BO2032">
            <v>0</v>
          </cell>
          <cell r="BP2032">
            <v>0</v>
          </cell>
          <cell r="BQ2032">
            <v>0</v>
          </cell>
          <cell r="BR2032">
            <v>0</v>
          </cell>
          <cell r="BS2032">
            <v>0</v>
          </cell>
          <cell r="BT2032">
            <v>0</v>
          </cell>
          <cell r="BU2032">
            <v>0</v>
          </cell>
          <cell r="BV2032">
            <v>0</v>
          </cell>
        </row>
        <row r="2033">
          <cell r="A2033" t="str">
            <v>Volvo GPA</v>
          </cell>
          <cell r="B2033" t="str">
            <v>FHR</v>
          </cell>
          <cell r="D2033" t="str">
            <v>Total HC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</v>
          </cell>
          <cell r="AE2033">
            <v>2</v>
          </cell>
          <cell r="AF2033">
            <v>2</v>
          </cell>
          <cell r="AG2033">
            <v>2</v>
          </cell>
          <cell r="AH2033">
            <v>2</v>
          </cell>
          <cell r="AI2033">
            <v>3</v>
          </cell>
          <cell r="AJ2033">
            <v>3</v>
          </cell>
          <cell r="AK2033">
            <v>3</v>
          </cell>
          <cell r="AL2033">
            <v>3</v>
          </cell>
          <cell r="AM2033">
            <v>3</v>
          </cell>
          <cell r="AN2033">
            <v>3</v>
          </cell>
          <cell r="AO2033">
            <v>3</v>
          </cell>
          <cell r="AP2033">
            <v>4</v>
          </cell>
          <cell r="AQ2033">
            <v>4</v>
          </cell>
          <cell r="AR2033">
            <v>4</v>
          </cell>
          <cell r="AS2033">
            <v>4</v>
          </cell>
          <cell r="AT2033">
            <v>7</v>
          </cell>
          <cell r="AU2033">
            <v>7</v>
          </cell>
          <cell r="AV2033">
            <v>7</v>
          </cell>
          <cell r="AW2033">
            <v>7</v>
          </cell>
          <cell r="AX2033">
            <v>7</v>
          </cell>
          <cell r="AY2033">
            <v>7</v>
          </cell>
          <cell r="AZ2033">
            <v>10</v>
          </cell>
          <cell r="BA2033">
            <v>10</v>
          </cell>
          <cell r="BB2033">
            <v>10</v>
          </cell>
          <cell r="BC2033">
            <v>10</v>
          </cell>
          <cell r="BD2033">
            <v>10</v>
          </cell>
          <cell r="BE2033">
            <v>10</v>
          </cell>
          <cell r="BF2033">
            <v>10</v>
          </cell>
          <cell r="BG2033">
            <v>10</v>
          </cell>
          <cell r="BH2033">
            <v>10</v>
          </cell>
          <cell r="BI2033">
            <v>10</v>
          </cell>
          <cell r="BJ2033">
            <v>10</v>
          </cell>
          <cell r="BK2033">
            <v>2</v>
          </cell>
          <cell r="BL2033">
            <v>2</v>
          </cell>
          <cell r="BM2033">
            <v>2</v>
          </cell>
          <cell r="BN2033">
            <v>2</v>
          </cell>
          <cell r="BO2033">
            <v>2</v>
          </cell>
          <cell r="BP2033">
            <v>2</v>
          </cell>
          <cell r="BQ2033">
            <v>3</v>
          </cell>
          <cell r="BR2033">
            <v>3</v>
          </cell>
          <cell r="BS2033">
            <v>3</v>
          </cell>
          <cell r="BT2033">
            <v>3</v>
          </cell>
          <cell r="BU2033">
            <v>3</v>
          </cell>
          <cell r="BV2033">
            <v>3</v>
          </cell>
        </row>
        <row r="2034">
          <cell r="A2034" t="str">
            <v>Volvo GPA</v>
          </cell>
          <cell r="B2034" t="str">
            <v>FHR</v>
          </cell>
          <cell r="D2034" t="str">
            <v>SHIFT A HC  - efficiency</v>
          </cell>
          <cell r="Z2034"/>
          <cell r="AA2034"/>
          <cell r="AB2034"/>
          <cell r="AC2034"/>
          <cell r="AD2034">
            <v>0</v>
          </cell>
          <cell r="AE2034">
            <v>0</v>
          </cell>
          <cell r="AF2034">
            <v>0.5</v>
          </cell>
          <cell r="AG2034">
            <v>0.55000000000000004</v>
          </cell>
          <cell r="AH2034">
            <v>0.60000000000000009</v>
          </cell>
          <cell r="AI2034">
            <v>0.65000000000000013</v>
          </cell>
          <cell r="AJ2034">
            <v>0.70000000000000018</v>
          </cell>
          <cell r="AK2034">
            <v>0.75000000000000022</v>
          </cell>
          <cell r="AL2034">
            <v>0.80000000000000027</v>
          </cell>
          <cell r="AM2034">
            <v>0.85000000000000031</v>
          </cell>
          <cell r="AN2034">
            <v>0.90000000000000036</v>
          </cell>
          <cell r="AO2034">
            <v>0.9500000000000004</v>
          </cell>
          <cell r="AP2034">
            <v>1.0000000000000004</v>
          </cell>
          <cell r="AQ2034">
            <v>1.0500000000000005</v>
          </cell>
          <cell r="AR2034">
            <v>1</v>
          </cell>
          <cell r="AS2034">
            <v>1</v>
          </cell>
          <cell r="AT2034">
            <v>1</v>
          </cell>
          <cell r="AU2034">
            <v>1</v>
          </cell>
          <cell r="AV2034">
            <v>1</v>
          </cell>
          <cell r="AW2034">
            <v>1</v>
          </cell>
          <cell r="AX2034">
            <v>1</v>
          </cell>
          <cell r="AY2034">
            <v>1</v>
          </cell>
          <cell r="AZ2034">
            <v>1</v>
          </cell>
          <cell r="BA2034">
            <v>1</v>
          </cell>
          <cell r="BB2034">
            <v>1</v>
          </cell>
          <cell r="BC2034">
            <v>1</v>
          </cell>
          <cell r="BD2034">
            <v>1</v>
          </cell>
          <cell r="BE2034">
            <v>1</v>
          </cell>
          <cell r="BF2034">
            <v>1</v>
          </cell>
          <cell r="BG2034">
            <v>1</v>
          </cell>
          <cell r="BH2034">
            <v>1</v>
          </cell>
          <cell r="BI2034">
            <v>1</v>
          </cell>
          <cell r="BJ2034">
            <v>1</v>
          </cell>
          <cell r="BK2034">
            <v>1.2</v>
          </cell>
          <cell r="BL2034">
            <v>1.2</v>
          </cell>
          <cell r="BM2034">
            <v>1.2</v>
          </cell>
          <cell r="BN2034">
            <v>1.2</v>
          </cell>
          <cell r="BO2034">
            <v>1.2</v>
          </cell>
          <cell r="BP2034">
            <v>1.2</v>
          </cell>
          <cell r="BQ2034">
            <v>1.2</v>
          </cell>
          <cell r="BR2034">
            <v>1.2</v>
          </cell>
          <cell r="BS2034">
            <v>1.2</v>
          </cell>
          <cell r="BT2034">
            <v>1.2</v>
          </cell>
          <cell r="BU2034">
            <v>1.2</v>
          </cell>
          <cell r="BV2034">
            <v>1.2</v>
          </cell>
        </row>
        <row r="2035">
          <cell r="A2035" t="str">
            <v>Volvo GPA</v>
          </cell>
          <cell r="B2035" t="str">
            <v>FHR</v>
          </cell>
          <cell r="D2035" t="str">
            <v>SHIFT B HC  - efficiency</v>
          </cell>
          <cell r="Z2035"/>
          <cell r="AA2035"/>
          <cell r="AB2035"/>
          <cell r="AC2035"/>
          <cell r="AD2035">
            <v>1</v>
          </cell>
          <cell r="AE2035">
            <v>1</v>
          </cell>
          <cell r="AF2035">
            <v>1</v>
          </cell>
          <cell r="AG2035">
            <v>1</v>
          </cell>
          <cell r="AH2035">
            <v>1</v>
          </cell>
          <cell r="AI2035">
            <v>1</v>
          </cell>
          <cell r="AJ2035">
            <v>1</v>
          </cell>
          <cell r="AK2035">
            <v>1</v>
          </cell>
          <cell r="AL2035">
            <v>1</v>
          </cell>
          <cell r="AM2035">
            <v>1</v>
          </cell>
          <cell r="AN2035">
            <v>1</v>
          </cell>
          <cell r="AO2035">
            <v>1</v>
          </cell>
          <cell r="AP2035">
            <v>1</v>
          </cell>
          <cell r="AQ2035">
            <v>1</v>
          </cell>
          <cell r="AR2035">
            <v>1</v>
          </cell>
          <cell r="AS2035">
            <v>1</v>
          </cell>
          <cell r="AT2035">
            <v>1</v>
          </cell>
          <cell r="AU2035">
            <v>1</v>
          </cell>
          <cell r="AV2035">
            <v>1</v>
          </cell>
          <cell r="AW2035">
            <v>1</v>
          </cell>
          <cell r="AX2035">
            <v>1</v>
          </cell>
          <cell r="AY2035">
            <v>1</v>
          </cell>
          <cell r="AZ2035">
            <v>1</v>
          </cell>
          <cell r="BA2035">
            <v>1</v>
          </cell>
          <cell r="BB2035">
            <v>1</v>
          </cell>
          <cell r="BC2035">
            <v>1</v>
          </cell>
          <cell r="BD2035">
            <v>1</v>
          </cell>
          <cell r="BE2035">
            <v>1</v>
          </cell>
          <cell r="BF2035">
            <v>1</v>
          </cell>
          <cell r="BG2035">
            <v>1</v>
          </cell>
          <cell r="BH2035">
            <v>1</v>
          </cell>
          <cell r="BI2035">
            <v>1</v>
          </cell>
          <cell r="BJ2035">
            <v>1</v>
          </cell>
          <cell r="BK2035">
            <v>1</v>
          </cell>
          <cell r="BL2035">
            <v>1</v>
          </cell>
          <cell r="BM2035">
            <v>1</v>
          </cell>
          <cell r="BN2035">
            <v>1</v>
          </cell>
          <cell r="BO2035">
            <v>1</v>
          </cell>
          <cell r="BP2035">
            <v>1</v>
          </cell>
          <cell r="BQ2035">
            <v>1</v>
          </cell>
          <cell r="BR2035">
            <v>1</v>
          </cell>
          <cell r="BS2035">
            <v>1</v>
          </cell>
          <cell r="BT2035">
            <v>1</v>
          </cell>
          <cell r="BU2035">
            <v>1</v>
          </cell>
          <cell r="BV2035">
            <v>1</v>
          </cell>
        </row>
        <row r="2036">
          <cell r="A2036" t="str">
            <v>Volvo GPA</v>
          </cell>
          <cell r="B2036" t="str">
            <v>FHR</v>
          </cell>
          <cell r="D2036" t="str">
            <v>SHIFT C HC  - efficiency</v>
          </cell>
          <cell r="Z2036"/>
          <cell r="AA2036"/>
          <cell r="AB2036"/>
          <cell r="AC2036"/>
          <cell r="AD2036">
            <v>1</v>
          </cell>
          <cell r="AE2036">
            <v>1</v>
          </cell>
          <cell r="AF2036">
            <v>1</v>
          </cell>
          <cell r="AG2036">
            <v>1</v>
          </cell>
          <cell r="AH2036">
            <v>1</v>
          </cell>
          <cell r="AI2036">
            <v>1</v>
          </cell>
          <cell r="AJ2036">
            <v>1</v>
          </cell>
          <cell r="AK2036">
            <v>1</v>
          </cell>
          <cell r="AL2036">
            <v>1</v>
          </cell>
          <cell r="AM2036">
            <v>1</v>
          </cell>
          <cell r="AN2036">
            <v>1</v>
          </cell>
          <cell r="AO2036">
            <v>1</v>
          </cell>
          <cell r="AP2036">
            <v>1</v>
          </cell>
          <cell r="AQ2036">
            <v>1</v>
          </cell>
          <cell r="AR2036">
            <v>1</v>
          </cell>
          <cell r="AS2036">
            <v>1</v>
          </cell>
          <cell r="AT2036">
            <v>1</v>
          </cell>
          <cell r="AU2036">
            <v>1</v>
          </cell>
          <cell r="AV2036">
            <v>1</v>
          </cell>
          <cell r="AW2036">
            <v>1</v>
          </cell>
          <cell r="AX2036">
            <v>1</v>
          </cell>
          <cell r="AY2036">
            <v>1</v>
          </cell>
          <cell r="AZ2036">
            <v>1</v>
          </cell>
          <cell r="BA2036">
            <v>1</v>
          </cell>
          <cell r="BB2036">
            <v>1</v>
          </cell>
          <cell r="BC2036">
            <v>1</v>
          </cell>
          <cell r="BD2036">
            <v>1</v>
          </cell>
          <cell r="BE2036">
            <v>1</v>
          </cell>
          <cell r="BF2036">
            <v>1</v>
          </cell>
          <cell r="BG2036">
            <v>1</v>
          </cell>
          <cell r="BH2036">
            <v>1</v>
          </cell>
          <cell r="BI2036">
            <v>1</v>
          </cell>
          <cell r="BJ2036">
            <v>1</v>
          </cell>
          <cell r="BK2036">
            <v>1</v>
          </cell>
          <cell r="BL2036">
            <v>1</v>
          </cell>
          <cell r="BM2036">
            <v>1</v>
          </cell>
          <cell r="BN2036">
            <v>1</v>
          </cell>
          <cell r="BO2036">
            <v>1</v>
          </cell>
          <cell r="BP2036">
            <v>1</v>
          </cell>
          <cell r="BQ2036">
            <v>1</v>
          </cell>
          <cell r="BR2036">
            <v>1</v>
          </cell>
          <cell r="BS2036">
            <v>1</v>
          </cell>
          <cell r="BT2036">
            <v>1</v>
          </cell>
          <cell r="BU2036">
            <v>1</v>
          </cell>
          <cell r="BV2036">
            <v>1</v>
          </cell>
        </row>
        <row r="2037">
          <cell r="A2037" t="str">
            <v>Volvo GPA</v>
          </cell>
          <cell r="B2037" t="str">
            <v>FHR</v>
          </cell>
          <cell r="D2037" t="str">
            <v>Total efficiency</v>
          </cell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</row>
        <row r="2038">
          <cell r="A2038" t="str">
            <v>Volvo GPA</v>
          </cell>
          <cell r="B2038" t="str">
            <v>FHR</v>
          </cell>
          <cell r="D2038" t="str">
            <v>SHIFT A - output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55.060015416804312</v>
          </cell>
          <cell r="AG2038">
            <v>60.566016958484745</v>
          </cell>
          <cell r="AH2038">
            <v>66.072018500165186</v>
          </cell>
          <cell r="AI2038">
            <v>107.36703006276844</v>
          </cell>
          <cell r="AJ2038">
            <v>115.62603237528909</v>
          </cell>
          <cell r="AK2038">
            <v>123.88503468780975</v>
          </cell>
          <cell r="AL2038">
            <v>132.1440370003304</v>
          </cell>
          <cell r="AM2038">
            <v>140.40303931285106</v>
          </cell>
          <cell r="AN2038">
            <v>148.6620416253717</v>
          </cell>
          <cell r="AO2038">
            <v>156.92104393789236</v>
          </cell>
          <cell r="AP2038">
            <v>220.24006166721733</v>
          </cell>
          <cell r="AQ2038">
            <v>231.25206475057823</v>
          </cell>
          <cell r="AR2038">
            <v>220.24006166721725</v>
          </cell>
          <cell r="AS2038">
            <v>220.24006166721725</v>
          </cell>
          <cell r="AT2038">
            <v>385.42010791763016</v>
          </cell>
          <cell r="AU2038">
            <v>385.42010791763016</v>
          </cell>
          <cell r="AV2038">
            <v>385.42010791763016</v>
          </cell>
          <cell r="AW2038">
            <v>385.42010791763016</v>
          </cell>
          <cell r="AX2038">
            <v>385.42010791763016</v>
          </cell>
          <cell r="AY2038">
            <v>385.42010791763016</v>
          </cell>
          <cell r="AZ2038">
            <v>550.6001541680431</v>
          </cell>
          <cell r="BA2038">
            <v>550.6001541680431</v>
          </cell>
          <cell r="BB2038">
            <v>550.6001541680431</v>
          </cell>
          <cell r="BC2038">
            <v>550.6001541680431</v>
          </cell>
          <cell r="BD2038">
            <v>550.6001541680431</v>
          </cell>
          <cell r="BE2038">
            <v>550.6001541680431</v>
          </cell>
          <cell r="BF2038">
            <v>550.6001541680431</v>
          </cell>
          <cell r="BG2038">
            <v>550.6001541680431</v>
          </cell>
          <cell r="BH2038">
            <v>550.6001541680431</v>
          </cell>
          <cell r="BI2038">
            <v>550.6001541680431</v>
          </cell>
          <cell r="BJ2038">
            <v>550.6001541680431</v>
          </cell>
          <cell r="BK2038">
            <v>132.14403700033034</v>
          </cell>
          <cell r="BL2038">
            <v>132.14403700033034</v>
          </cell>
          <cell r="BM2038">
            <v>132.14403700033034</v>
          </cell>
          <cell r="BN2038">
            <v>132.14403700033034</v>
          </cell>
          <cell r="BO2038">
            <v>132.14403700033034</v>
          </cell>
          <cell r="BP2038">
            <v>132.14403700033034</v>
          </cell>
          <cell r="BQ2038">
            <v>198.21605550049551</v>
          </cell>
          <cell r="BR2038">
            <v>198.21605550049551</v>
          </cell>
          <cell r="BS2038">
            <v>198.21605550049551</v>
          </cell>
          <cell r="BT2038">
            <v>198.21605550049551</v>
          </cell>
          <cell r="BU2038">
            <v>198.21605550049551</v>
          </cell>
          <cell r="BV2038">
            <v>198.21605550049551</v>
          </cell>
        </row>
        <row r="2039">
          <cell r="A2039" t="str">
            <v>Volvo GPA</v>
          </cell>
          <cell r="B2039" t="str">
            <v>FHR</v>
          </cell>
          <cell r="D2039" t="str">
            <v>SHIFT B  - output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  <cell r="BK2039">
            <v>0</v>
          </cell>
          <cell r="BL2039">
            <v>0</v>
          </cell>
          <cell r="BM2039">
            <v>0</v>
          </cell>
          <cell r="BN2039">
            <v>0</v>
          </cell>
          <cell r="BO2039">
            <v>0</v>
          </cell>
          <cell r="BP2039">
            <v>0</v>
          </cell>
          <cell r="BQ2039">
            <v>0</v>
          </cell>
          <cell r="BR2039">
            <v>0</v>
          </cell>
          <cell r="BS2039">
            <v>0</v>
          </cell>
          <cell r="BT2039">
            <v>0</v>
          </cell>
          <cell r="BU2039">
            <v>0</v>
          </cell>
          <cell r="BV2039">
            <v>0</v>
          </cell>
        </row>
        <row r="2040">
          <cell r="A2040" t="str">
            <v>Volvo GPA</v>
          </cell>
          <cell r="B2040" t="str">
            <v>FHR</v>
          </cell>
          <cell r="D2040" t="str">
            <v>SHIFT C  - output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0</v>
          </cell>
          <cell r="AI2040">
            <v>0</v>
          </cell>
          <cell r="AJ2040">
            <v>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  <cell r="BK2040">
            <v>0</v>
          </cell>
          <cell r="BL2040">
            <v>0</v>
          </cell>
          <cell r="BM2040">
            <v>0</v>
          </cell>
          <cell r="BN2040">
            <v>0</v>
          </cell>
          <cell r="BO2040">
            <v>0</v>
          </cell>
          <cell r="BP2040">
            <v>0</v>
          </cell>
          <cell r="BQ2040">
            <v>0</v>
          </cell>
          <cell r="BR2040">
            <v>0</v>
          </cell>
          <cell r="BS2040">
            <v>0</v>
          </cell>
          <cell r="BT2040">
            <v>0</v>
          </cell>
          <cell r="BU2040">
            <v>0</v>
          </cell>
          <cell r="BV2040">
            <v>0</v>
          </cell>
        </row>
        <row r="2041">
          <cell r="A2041" t="str">
            <v>Volvo GPA</v>
          </cell>
          <cell r="B2041" t="str">
            <v>FHR</v>
          </cell>
          <cell r="D2041" t="str">
            <v>Est. Output (Pcs day)</v>
          </cell>
          <cell r="E2041">
            <v>8.1729000000000003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55.060015416804312</v>
          </cell>
          <cell r="AG2041">
            <v>60.566016958484745</v>
          </cell>
          <cell r="AH2041">
            <v>66.072018500165186</v>
          </cell>
          <cell r="AI2041">
            <v>107.36703006276844</v>
          </cell>
          <cell r="AJ2041">
            <v>115.62603237528909</v>
          </cell>
          <cell r="AK2041">
            <v>123.88503468780975</v>
          </cell>
          <cell r="AL2041">
            <v>132.1440370003304</v>
          </cell>
          <cell r="AM2041">
            <v>140.40303931285106</v>
          </cell>
          <cell r="AN2041">
            <v>148.6620416253717</v>
          </cell>
          <cell r="AO2041">
            <v>156.92104393789236</v>
          </cell>
          <cell r="AP2041">
            <v>220.24006166721733</v>
          </cell>
          <cell r="AQ2041">
            <v>231.25206475057823</v>
          </cell>
          <cell r="AR2041">
            <v>220.24006166721725</v>
          </cell>
          <cell r="AS2041">
            <v>220.24006166721725</v>
          </cell>
          <cell r="AT2041">
            <v>385.42010791763016</v>
          </cell>
          <cell r="AU2041">
            <v>385.42010791763016</v>
          </cell>
          <cell r="AV2041">
            <v>385.42010791763016</v>
          </cell>
          <cell r="AW2041">
            <v>385.42010791763016</v>
          </cell>
          <cell r="AX2041">
            <v>385.42010791763016</v>
          </cell>
          <cell r="AY2041">
            <v>385.42010791763016</v>
          </cell>
          <cell r="AZ2041">
            <v>550.6001541680431</v>
          </cell>
          <cell r="BA2041">
            <v>550.6001541680431</v>
          </cell>
          <cell r="BB2041">
            <v>550.6001541680431</v>
          </cell>
          <cell r="BC2041">
            <v>550.6001541680431</v>
          </cell>
          <cell r="BD2041">
            <v>550.6001541680431</v>
          </cell>
          <cell r="BE2041">
            <v>550.6001541680431</v>
          </cell>
          <cell r="BF2041">
            <v>550.6001541680431</v>
          </cell>
          <cell r="BG2041">
            <v>550.6001541680431</v>
          </cell>
          <cell r="BH2041">
            <v>550.6001541680431</v>
          </cell>
          <cell r="BI2041">
            <v>550.6001541680431</v>
          </cell>
          <cell r="BJ2041">
            <v>550.6001541680431</v>
          </cell>
          <cell r="BK2041">
            <v>132.14403700033034</v>
          </cell>
          <cell r="BL2041">
            <v>132.14403700033034</v>
          </cell>
          <cell r="BM2041">
            <v>132.14403700033034</v>
          </cell>
          <cell r="BN2041">
            <v>132.14403700033034</v>
          </cell>
          <cell r="BO2041">
            <v>132.14403700033034</v>
          </cell>
          <cell r="BP2041">
            <v>132.14403700033034</v>
          </cell>
          <cell r="BQ2041">
            <v>198.21605550049551</v>
          </cell>
          <cell r="BR2041">
            <v>198.21605550049551</v>
          </cell>
          <cell r="BS2041">
            <v>198.21605550049551</v>
          </cell>
          <cell r="BT2041">
            <v>198.21605550049551</v>
          </cell>
          <cell r="BU2041">
            <v>198.21605550049551</v>
          </cell>
          <cell r="BV2041">
            <v>198.21605550049551</v>
          </cell>
        </row>
        <row r="2042">
          <cell r="A2042" t="str">
            <v>Volvo GPA</v>
          </cell>
          <cell r="B2042" t="str">
            <v>FHR</v>
          </cell>
          <cell r="D2042" t="str">
            <v>Weekly Output PLAN</v>
          </cell>
          <cell r="E2042" t="str">
            <v>SEW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275.30007708402155</v>
          </cell>
          <cell r="AG2042">
            <v>302.83008479242375</v>
          </cell>
          <cell r="AH2042">
            <v>330.36009250082594</v>
          </cell>
          <cell r="AI2042">
            <v>536.83515031384218</v>
          </cell>
          <cell r="AJ2042">
            <v>578.13016187644541</v>
          </cell>
          <cell r="AK2042">
            <v>495.540138751239</v>
          </cell>
          <cell r="AL2042">
            <v>528.5761480013216</v>
          </cell>
          <cell r="AM2042">
            <v>702.01519656425535</v>
          </cell>
          <cell r="AN2042">
            <v>594.6481665014868</v>
          </cell>
          <cell r="AO2042">
            <v>784.60521968946182</v>
          </cell>
          <cell r="AP2042">
            <v>1101.2003083360867</v>
          </cell>
          <cell r="AQ2042">
            <v>1156.2603237528911</v>
          </cell>
          <cell r="AR2042">
            <v>1101.2003083360862</v>
          </cell>
          <cell r="AS2042">
            <v>1101.2003083360862</v>
          </cell>
          <cell r="AT2042">
            <v>1927.1005395881507</v>
          </cell>
          <cell r="AU2042">
            <v>1927.1005395881507</v>
          </cell>
          <cell r="AV2042">
            <v>1927.1005395881507</v>
          </cell>
          <cell r="AW2042">
            <v>1927.1005395881507</v>
          </cell>
          <cell r="AX2042">
            <v>1927.1005395881507</v>
          </cell>
          <cell r="AY2042">
            <v>1927.1005395881507</v>
          </cell>
          <cell r="AZ2042">
            <v>0</v>
          </cell>
          <cell r="BA2042">
            <v>0</v>
          </cell>
          <cell r="BB2042">
            <v>2753.0007708402154</v>
          </cell>
          <cell r="BC2042">
            <v>2753.0007708402154</v>
          </cell>
          <cell r="BD2042">
            <v>2753.0007708402154</v>
          </cell>
          <cell r="BE2042">
            <v>2753.0007708402154</v>
          </cell>
          <cell r="BF2042">
            <v>2753.0007708402154</v>
          </cell>
          <cell r="BG2042">
            <v>2753.0007708402154</v>
          </cell>
          <cell r="BH2042">
            <v>2753.0007708402154</v>
          </cell>
          <cell r="BI2042">
            <v>2753.0007708402154</v>
          </cell>
          <cell r="BJ2042">
            <v>2753.0007708402154</v>
          </cell>
          <cell r="BK2042">
            <v>660.72018500165177</v>
          </cell>
          <cell r="BL2042">
            <v>264.28807400066069</v>
          </cell>
          <cell r="BM2042">
            <v>264.28807400066069</v>
          </cell>
          <cell r="BN2042">
            <v>264.28807400066069</v>
          </cell>
          <cell r="BO2042">
            <v>264.28807400066069</v>
          </cell>
          <cell r="BP2042">
            <v>264.28807400066069</v>
          </cell>
          <cell r="BQ2042">
            <v>594.64816650148657</v>
          </cell>
          <cell r="BR2042">
            <v>594.64816650148657</v>
          </cell>
          <cell r="BS2042">
            <v>594.64816650148657</v>
          </cell>
          <cell r="BT2042">
            <v>594.64816650148657</v>
          </cell>
          <cell r="BU2042">
            <v>594.64816650148657</v>
          </cell>
          <cell r="BV2042">
            <v>594.64816650148657</v>
          </cell>
        </row>
        <row r="2043">
          <cell r="A2043" t="str">
            <v>Volvo GPA</v>
          </cell>
          <cell r="B2043" t="str">
            <v>FHR</v>
          </cell>
          <cell r="D2043" t="str">
            <v>FAB</v>
          </cell>
          <cell r="E2043">
            <v>7.2999000000000009</v>
          </cell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</row>
        <row r="2044">
          <cell r="A2044" t="str">
            <v>Volvo GPA</v>
          </cell>
          <cell r="B2044" t="str">
            <v>FHR</v>
          </cell>
          <cell r="D2044" t="str">
            <v>PVC</v>
          </cell>
          <cell r="E2044">
            <v>8.1729000000000003</v>
          </cell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</row>
        <row r="2045">
          <cell r="A2045" t="str">
            <v>Volvo GPA</v>
          </cell>
          <cell r="B2045" t="str">
            <v>FHR</v>
          </cell>
          <cell r="D2045" t="str">
            <v>LTH</v>
          </cell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</row>
        <row r="2046">
          <cell r="A2046" t="str">
            <v>Volvo GPA</v>
          </cell>
          <cell r="B2046" t="str">
            <v>FHR</v>
          </cell>
          <cell r="D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</row>
        <row r="2047">
          <cell r="A2047" t="str">
            <v>Volvo GPA</v>
          </cell>
          <cell r="B2047" t="str">
            <v>FHR</v>
          </cell>
          <cell r="D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</row>
        <row r="2048">
          <cell r="A2048" t="str">
            <v>Volvo GPA</v>
          </cell>
          <cell r="B2048" t="str">
            <v>FHR</v>
          </cell>
          <cell r="D2048" t="str">
            <v>Weekly Output PLAN - SUM of models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  <cell r="BK2048">
            <v>0</v>
          </cell>
          <cell r="BL2048">
            <v>0</v>
          </cell>
          <cell r="BM2048">
            <v>0</v>
          </cell>
          <cell r="BN2048">
            <v>0</v>
          </cell>
          <cell r="BO2048">
            <v>0</v>
          </cell>
          <cell r="BP2048">
            <v>0</v>
          </cell>
          <cell r="BQ2048">
            <v>0</v>
          </cell>
          <cell r="BR2048">
            <v>0</v>
          </cell>
          <cell r="BS2048">
            <v>0</v>
          </cell>
          <cell r="BT2048">
            <v>0</v>
          </cell>
          <cell r="BU2048">
            <v>0</v>
          </cell>
          <cell r="BV2048">
            <v>0</v>
          </cell>
        </row>
        <row r="2049">
          <cell r="A2049" t="str">
            <v>Volvo GPA</v>
          </cell>
          <cell r="B2049" t="str">
            <v>FHR</v>
          </cell>
          <cell r="D2049" t="str">
            <v>Weekly Output CHECK with TO time multiple</v>
          </cell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</row>
        <row r="2050">
          <cell r="A2050" t="str">
            <v>Volvo GPA</v>
          </cell>
          <cell r="B2050" t="str">
            <v>FHR</v>
          </cell>
          <cell r="D2050" t="str">
            <v>Weekly Output ACT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275.30007708402155</v>
          </cell>
          <cell r="AG2050">
            <v>302.83008479242375</v>
          </cell>
          <cell r="AH2050">
            <v>330.36009250082594</v>
          </cell>
          <cell r="AI2050">
            <v>536.83515031384218</v>
          </cell>
          <cell r="AJ2050">
            <v>578.13016187644541</v>
          </cell>
          <cell r="AK2050">
            <v>495.540138751239</v>
          </cell>
          <cell r="AL2050">
            <v>528.5761480013216</v>
          </cell>
          <cell r="AM2050">
            <v>702.01519656425535</v>
          </cell>
          <cell r="AN2050">
            <v>594.6481665014868</v>
          </cell>
          <cell r="AO2050">
            <v>784.60521968946182</v>
          </cell>
          <cell r="AP2050">
            <v>1101.2003083360867</v>
          </cell>
          <cell r="AQ2050">
            <v>1156.2603237528911</v>
          </cell>
          <cell r="AR2050">
            <v>1101.2003083360862</v>
          </cell>
          <cell r="AS2050">
            <v>1101.2003083360862</v>
          </cell>
          <cell r="AT2050">
            <v>1927.1005395881507</v>
          </cell>
          <cell r="AU2050">
            <v>1927.1005395881507</v>
          </cell>
          <cell r="AV2050">
            <v>1927.1005395881507</v>
          </cell>
          <cell r="AW2050">
            <v>1927.1005395881507</v>
          </cell>
          <cell r="AX2050">
            <v>1927.1005395881507</v>
          </cell>
          <cell r="AY2050">
            <v>1927.1005395881507</v>
          </cell>
          <cell r="AZ2050">
            <v>0</v>
          </cell>
          <cell r="BA2050">
            <v>0</v>
          </cell>
          <cell r="BB2050">
            <v>2753.0007708402154</v>
          </cell>
          <cell r="BC2050">
            <v>2753.0007708402154</v>
          </cell>
          <cell r="BD2050">
            <v>2753.0007708402154</v>
          </cell>
          <cell r="BE2050">
            <v>2753.0007708402154</v>
          </cell>
          <cell r="BF2050">
            <v>2753.0007708402154</v>
          </cell>
          <cell r="BG2050">
            <v>2753.0007708402154</v>
          </cell>
          <cell r="BH2050">
            <v>2753.0007708402154</v>
          </cell>
          <cell r="BI2050">
            <v>2753.0007708402154</v>
          </cell>
          <cell r="BJ2050">
            <v>2753.0007708402154</v>
          </cell>
          <cell r="BK2050">
            <v>660.72018500165177</v>
          </cell>
          <cell r="BL2050">
            <v>264.28807400066069</v>
          </cell>
          <cell r="BM2050">
            <v>264.28807400066069</v>
          </cell>
          <cell r="BN2050">
            <v>264.28807400066069</v>
          </cell>
          <cell r="BO2050">
            <v>264.28807400066069</v>
          </cell>
          <cell r="BP2050">
            <v>264.28807400066069</v>
          </cell>
          <cell r="BQ2050">
            <v>594.64816650148657</v>
          </cell>
          <cell r="BR2050">
            <v>594.64816650148657</v>
          </cell>
          <cell r="BS2050">
            <v>594.64816650148657</v>
          </cell>
          <cell r="BT2050">
            <v>594.64816650148657</v>
          </cell>
          <cell r="BU2050">
            <v>594.64816650148657</v>
          </cell>
          <cell r="BV2050">
            <v>594.64816650148657</v>
          </cell>
        </row>
        <row r="2051">
          <cell r="A2051" t="str">
            <v>Volvo GPA</v>
          </cell>
          <cell r="B2051" t="str">
            <v>FHR</v>
          </cell>
          <cell r="D2051" t="str">
            <v>FAB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135.08442776735461</v>
          </cell>
          <cell r="AK2051">
            <v>270.16885553470922</v>
          </cell>
          <cell r="AL2051">
            <v>540.33771106941845</v>
          </cell>
          <cell r="AM2051">
            <v>337.7110694183865</v>
          </cell>
          <cell r="AN2051">
            <v>540.33771106941845</v>
          </cell>
          <cell r="AO2051">
            <v>1013.1332082551596</v>
          </cell>
          <cell r="AP2051">
            <v>1013.1332082551596</v>
          </cell>
          <cell r="AQ2051">
            <v>1013.1332082551596</v>
          </cell>
          <cell r="AR2051">
            <v>1013.1332082551596</v>
          </cell>
          <cell r="AS2051">
            <v>1013.1332082551596</v>
          </cell>
          <cell r="AT2051">
            <v>1013.1332082551596</v>
          </cell>
          <cell r="AU2051">
            <v>1013.1332082551596</v>
          </cell>
          <cell r="AV2051">
            <v>1013.1332082551596</v>
          </cell>
          <cell r="AW2051">
            <v>1013.1332082551596</v>
          </cell>
          <cell r="AX2051">
            <v>1266.4165103189493</v>
          </cell>
          <cell r="AY2051">
            <v>3377.1106941838652</v>
          </cell>
          <cell r="AZ2051">
            <v>0</v>
          </cell>
          <cell r="BA2051">
            <v>0</v>
          </cell>
          <cell r="BB2051">
            <v>3377.1106941838652</v>
          </cell>
          <cell r="BC2051">
            <v>3377.1106941838652</v>
          </cell>
          <cell r="BD2051">
            <v>3377.1106941838652</v>
          </cell>
          <cell r="BE2051">
            <v>3377.1106941838652</v>
          </cell>
          <cell r="BF2051">
            <v>3377.1106941838652</v>
          </cell>
          <cell r="BG2051">
            <v>3377.1106941838652</v>
          </cell>
          <cell r="BH2051">
            <v>3377.1106941838652</v>
          </cell>
          <cell r="BI2051">
            <v>3377.1106941838652</v>
          </cell>
          <cell r="BJ2051">
            <v>3377.1106941838652</v>
          </cell>
          <cell r="BK2051">
            <v>4221.3883677298318</v>
          </cell>
          <cell r="BL2051">
            <v>8442.7767354596635</v>
          </cell>
          <cell r="BM2051">
            <v>8442.7767354596635</v>
          </cell>
          <cell r="BN2051">
            <v>8442.7767354596635</v>
          </cell>
          <cell r="BO2051">
            <v>8442.7767354596635</v>
          </cell>
          <cell r="BP2051">
            <v>8442.7767354596635</v>
          </cell>
          <cell r="BQ2051">
            <v>8442.7767354596635</v>
          </cell>
          <cell r="BR2051">
            <v>8442.7767354596635</v>
          </cell>
          <cell r="BS2051">
            <v>8442.7767354596635</v>
          </cell>
          <cell r="BT2051">
            <v>8442.7767354596635</v>
          </cell>
          <cell r="BU2051">
            <v>8442.7767354596635</v>
          </cell>
          <cell r="BV2051">
            <v>8442.7767354596635</v>
          </cell>
        </row>
        <row r="2052">
          <cell r="A2052" t="str">
            <v>Volvo GPA</v>
          </cell>
          <cell r="B2052" t="str">
            <v>FHR</v>
          </cell>
          <cell r="D2052" t="str">
            <v>PVC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  <cell r="BK2052">
            <v>0</v>
          </cell>
          <cell r="BL2052">
            <v>0</v>
          </cell>
          <cell r="BM2052">
            <v>0</v>
          </cell>
          <cell r="BN2052">
            <v>0</v>
          </cell>
          <cell r="BO2052">
            <v>0</v>
          </cell>
          <cell r="BP2052">
            <v>0</v>
          </cell>
          <cell r="BQ2052">
            <v>0</v>
          </cell>
          <cell r="BR2052">
            <v>0</v>
          </cell>
          <cell r="BS2052">
            <v>0</v>
          </cell>
          <cell r="BT2052">
            <v>0</v>
          </cell>
          <cell r="BU2052">
            <v>0</v>
          </cell>
          <cell r="BV2052">
            <v>0</v>
          </cell>
        </row>
        <row r="2053">
          <cell r="A2053" t="str">
            <v>Volvo GPA</v>
          </cell>
          <cell r="B2053" t="str">
            <v>FHR</v>
          </cell>
          <cell r="D2053" t="str">
            <v>LTH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0</v>
          </cell>
          <cell r="AJ2053">
            <v>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  <cell r="BK2053">
            <v>0</v>
          </cell>
          <cell r="BL2053">
            <v>0</v>
          </cell>
          <cell r="BM2053">
            <v>0</v>
          </cell>
          <cell r="BN2053">
            <v>0</v>
          </cell>
          <cell r="BO2053">
            <v>0</v>
          </cell>
          <cell r="BP2053">
            <v>0</v>
          </cell>
          <cell r="BQ2053">
            <v>0</v>
          </cell>
          <cell r="BR2053">
            <v>0</v>
          </cell>
          <cell r="BS2053">
            <v>0</v>
          </cell>
          <cell r="BT2053">
            <v>0</v>
          </cell>
          <cell r="BU2053">
            <v>0</v>
          </cell>
          <cell r="BV2053">
            <v>0</v>
          </cell>
        </row>
        <row r="2054">
          <cell r="A2054" t="str">
            <v>Volvo GPA</v>
          </cell>
          <cell r="B2054" t="str">
            <v>FHR</v>
          </cell>
          <cell r="D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0</v>
          </cell>
          <cell r="AJ2054">
            <v>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  <cell r="BK2054">
            <v>0</v>
          </cell>
          <cell r="BL2054">
            <v>0</v>
          </cell>
          <cell r="BM2054">
            <v>0</v>
          </cell>
          <cell r="BN2054">
            <v>0</v>
          </cell>
          <cell r="BO2054">
            <v>0</v>
          </cell>
          <cell r="BP2054">
            <v>0</v>
          </cell>
          <cell r="BQ2054">
            <v>0</v>
          </cell>
          <cell r="BR2054">
            <v>0</v>
          </cell>
          <cell r="BS2054">
            <v>0</v>
          </cell>
          <cell r="BT2054">
            <v>0</v>
          </cell>
          <cell r="BU2054">
            <v>0</v>
          </cell>
          <cell r="BV2054">
            <v>0</v>
          </cell>
        </row>
        <row r="2055">
          <cell r="A2055" t="str">
            <v>Volvo GPA</v>
          </cell>
          <cell r="B2055" t="str">
            <v>FHR</v>
          </cell>
          <cell r="D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0</v>
          </cell>
          <cell r="AI2055">
            <v>0</v>
          </cell>
          <cell r="AJ2055">
            <v>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  <cell r="BK2055">
            <v>0</v>
          </cell>
          <cell r="BL2055">
            <v>0</v>
          </cell>
          <cell r="BM2055">
            <v>0</v>
          </cell>
          <cell r="BN2055">
            <v>0</v>
          </cell>
          <cell r="BO2055">
            <v>0</v>
          </cell>
          <cell r="BP2055">
            <v>0</v>
          </cell>
          <cell r="BQ2055">
            <v>0</v>
          </cell>
          <cell r="BR2055">
            <v>0</v>
          </cell>
          <cell r="BS2055">
            <v>0</v>
          </cell>
          <cell r="BT2055">
            <v>0</v>
          </cell>
          <cell r="BU2055">
            <v>0</v>
          </cell>
          <cell r="BV2055">
            <v>0</v>
          </cell>
        </row>
        <row r="2056">
          <cell r="A2056" t="str">
            <v>Volvo GPA</v>
          </cell>
          <cell r="B2056" t="str">
            <v>FHR</v>
          </cell>
          <cell r="D2056" t="str">
            <v>Weekly demand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135.08442776735461</v>
          </cell>
          <cell r="AK2056">
            <v>270.16885553470922</v>
          </cell>
          <cell r="AL2056">
            <v>540.33771106941845</v>
          </cell>
          <cell r="AM2056">
            <v>337.7110694183865</v>
          </cell>
          <cell r="AN2056">
            <v>540.33771106941845</v>
          </cell>
          <cell r="AO2056">
            <v>1013.1332082551596</v>
          </cell>
          <cell r="AP2056">
            <v>1013.1332082551596</v>
          </cell>
          <cell r="AQ2056">
            <v>1013.1332082551596</v>
          </cell>
          <cell r="AR2056">
            <v>1013.1332082551596</v>
          </cell>
          <cell r="AS2056">
            <v>1013.1332082551596</v>
          </cell>
          <cell r="AT2056">
            <v>1013.1332082551596</v>
          </cell>
          <cell r="AU2056">
            <v>1013.1332082551596</v>
          </cell>
          <cell r="AV2056">
            <v>1013.1332082551596</v>
          </cell>
          <cell r="AW2056">
            <v>1013.1332082551596</v>
          </cell>
          <cell r="AX2056">
            <v>1266.4165103189493</v>
          </cell>
          <cell r="AY2056">
            <v>3377.1106941838652</v>
          </cell>
          <cell r="AZ2056">
            <v>0</v>
          </cell>
          <cell r="BA2056">
            <v>0</v>
          </cell>
          <cell r="BB2056">
            <v>3377.1106941838652</v>
          </cell>
          <cell r="BC2056">
            <v>3377.1106941838652</v>
          </cell>
          <cell r="BD2056">
            <v>3377.1106941838652</v>
          </cell>
          <cell r="BE2056">
            <v>3377.1106941838652</v>
          </cell>
          <cell r="BF2056">
            <v>3377.1106941838652</v>
          </cell>
          <cell r="BG2056">
            <v>3377.1106941838652</v>
          </cell>
          <cell r="BH2056">
            <v>3377.1106941838652</v>
          </cell>
          <cell r="BI2056">
            <v>3377.1106941838652</v>
          </cell>
          <cell r="BJ2056">
            <v>3377.1106941838652</v>
          </cell>
          <cell r="BK2056">
            <v>4221.3883677298318</v>
          </cell>
          <cell r="BL2056">
            <v>8442.7767354596635</v>
          </cell>
          <cell r="BM2056">
            <v>8442.7767354596635</v>
          </cell>
          <cell r="BN2056">
            <v>8442.7767354596635</v>
          </cell>
          <cell r="BO2056">
            <v>8442.7767354596635</v>
          </cell>
          <cell r="BP2056">
            <v>8442.7767354596635</v>
          </cell>
          <cell r="BQ2056">
            <v>8442.7767354596635</v>
          </cell>
          <cell r="BR2056">
            <v>8442.7767354596635</v>
          </cell>
          <cell r="BS2056">
            <v>8442.7767354596635</v>
          </cell>
          <cell r="BT2056">
            <v>8442.7767354596635</v>
          </cell>
          <cell r="BU2056">
            <v>8442.7767354596635</v>
          </cell>
          <cell r="BV2056">
            <v>8442.7767354596635</v>
          </cell>
        </row>
        <row r="2057">
          <cell r="A2057" t="str">
            <v>Volvo GPA</v>
          </cell>
          <cell r="B2057" t="str">
            <v>FHR</v>
          </cell>
          <cell r="D2057" t="str">
            <v>Stock Target</v>
          </cell>
          <cell r="Z2057"/>
          <cell r="AA2057"/>
          <cell r="AB2057"/>
          <cell r="AC2057"/>
          <cell r="AD2057"/>
          <cell r="AE2057"/>
          <cell r="AF2057"/>
          <cell r="AG2057">
            <v>2547</v>
          </cell>
          <cell r="AH2057">
            <v>2548</v>
          </cell>
          <cell r="AI2057">
            <v>2549</v>
          </cell>
          <cell r="AJ2057">
            <v>2550</v>
          </cell>
          <cell r="AK2057">
            <v>2551</v>
          </cell>
          <cell r="AL2057">
            <v>2552</v>
          </cell>
          <cell r="AM2057">
            <v>2552</v>
          </cell>
          <cell r="AN2057">
            <v>2552</v>
          </cell>
          <cell r="AO2057">
            <v>2552</v>
          </cell>
          <cell r="AP2057">
            <v>2552</v>
          </cell>
          <cell r="AQ2057">
            <v>2552</v>
          </cell>
          <cell r="AR2057">
            <v>2552</v>
          </cell>
          <cell r="AS2057">
            <v>2552</v>
          </cell>
          <cell r="AT2057">
            <v>2552</v>
          </cell>
          <cell r="AU2057">
            <v>2552</v>
          </cell>
          <cell r="AV2057">
            <v>2552</v>
          </cell>
          <cell r="AW2057">
            <v>2552</v>
          </cell>
          <cell r="AX2057">
            <v>2552</v>
          </cell>
          <cell r="AY2057">
            <v>2552</v>
          </cell>
          <cell r="AZ2057">
            <v>2552</v>
          </cell>
          <cell r="BA2057">
            <v>2552</v>
          </cell>
          <cell r="BB2057">
            <v>2552</v>
          </cell>
          <cell r="BC2057">
            <v>2552</v>
          </cell>
          <cell r="BD2057">
            <v>2552</v>
          </cell>
          <cell r="BE2057">
            <v>2552</v>
          </cell>
          <cell r="BF2057">
            <v>2552</v>
          </cell>
          <cell r="BG2057">
            <v>2552</v>
          </cell>
          <cell r="BH2057">
            <v>2552</v>
          </cell>
          <cell r="BI2057">
            <v>2552</v>
          </cell>
          <cell r="BJ2057">
            <v>2552</v>
          </cell>
          <cell r="BK2057">
            <v>2552</v>
          </cell>
          <cell r="BL2057">
            <v>2552</v>
          </cell>
          <cell r="BM2057">
            <v>2552</v>
          </cell>
          <cell r="BN2057">
            <v>2553</v>
          </cell>
          <cell r="BO2057">
            <v>2554</v>
          </cell>
          <cell r="BP2057">
            <v>2555</v>
          </cell>
          <cell r="BQ2057">
            <v>2556</v>
          </cell>
          <cell r="BR2057">
            <v>2557</v>
          </cell>
          <cell r="BS2057">
            <v>2558</v>
          </cell>
          <cell r="BT2057">
            <v>2559</v>
          </cell>
          <cell r="BU2057">
            <v>2560</v>
          </cell>
          <cell r="BV2057">
            <v>2561</v>
          </cell>
        </row>
        <row r="2058">
          <cell r="A2058" t="str">
            <v>Volvo GPA</v>
          </cell>
          <cell r="B2058" t="str">
            <v>FHR</v>
          </cell>
          <cell r="D2058" t="str">
            <v>FAB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0</v>
          </cell>
          <cell r="AI2058">
            <v>0</v>
          </cell>
          <cell r="AJ2058">
            <v>-135.08442776735461</v>
          </cell>
          <cell r="AK2058">
            <v>-405.25328330206383</v>
          </cell>
          <cell r="AL2058">
            <v>-945.59099437148234</v>
          </cell>
          <cell r="AM2058">
            <v>-1283.302063789869</v>
          </cell>
          <cell r="AN2058">
            <v>-1485.9287054409008</v>
          </cell>
          <cell r="AO2058">
            <v>-2296.4352720450288</v>
          </cell>
          <cell r="AP2058">
            <v>-2499.0619136960604</v>
          </cell>
          <cell r="AQ2058">
            <v>-3309.5684803001886</v>
          </cell>
          <cell r="AR2058">
            <v>-3512.1951219512202</v>
          </cell>
          <cell r="AS2058">
            <v>-4322.7016885553485</v>
          </cell>
          <cell r="AT2058">
            <v>-4525.3283302063801</v>
          </cell>
          <cell r="AU2058">
            <v>-5335.8348968105083</v>
          </cell>
          <cell r="AV2058">
            <v>-5538.4615384615399</v>
          </cell>
          <cell r="AW2058">
            <v>-6348.9681050656682</v>
          </cell>
          <cell r="AX2058">
            <v>-6804.8780487804888</v>
          </cell>
          <cell r="AY2058">
            <v>-9726.0787992495334</v>
          </cell>
          <cell r="AZ2058">
            <v>-6804.8780487804888</v>
          </cell>
          <cell r="BA2058">
            <v>-9726.0787992495334</v>
          </cell>
          <cell r="BB2058">
            <v>-10181.988742964353</v>
          </cell>
          <cell r="BC2058">
            <v>-13103.189493433398</v>
          </cell>
          <cell r="BD2058">
            <v>-13559.099437148219</v>
          </cell>
          <cell r="BE2058">
            <v>-16480.300187617264</v>
          </cell>
          <cell r="BF2058">
            <v>-16936.210131332085</v>
          </cell>
          <cell r="BG2058">
            <v>-19857.41088180113</v>
          </cell>
          <cell r="BH2058">
            <v>-20313.320825515952</v>
          </cell>
          <cell r="BI2058">
            <v>-23234.521575984996</v>
          </cell>
          <cell r="BJ2058">
            <v>-23690.431519699818</v>
          </cell>
          <cell r="BK2058">
            <v>-27455.909943714829</v>
          </cell>
          <cell r="BL2058">
            <v>-32133.208255159479</v>
          </cell>
          <cell r="BM2058">
            <v>-35898.686679174491</v>
          </cell>
          <cell r="BN2058">
            <v>-40575.984990619145</v>
          </cell>
          <cell r="BO2058">
            <v>-44341.463414634156</v>
          </cell>
          <cell r="BP2058">
            <v>-49018.76172607881</v>
          </cell>
          <cell r="BQ2058">
            <v>-52784.240150093821</v>
          </cell>
          <cell r="BR2058">
            <v>-57461.538461538476</v>
          </cell>
          <cell r="BS2058">
            <v>-61227.016885553487</v>
          </cell>
          <cell r="BT2058">
            <v>-65904.315196998141</v>
          </cell>
          <cell r="BU2058">
            <v>-69669.793621013145</v>
          </cell>
          <cell r="BV2058">
            <v>-74347.091932457799</v>
          </cell>
        </row>
        <row r="2059">
          <cell r="A2059" t="str">
            <v>Volvo GPA</v>
          </cell>
          <cell r="B2059" t="str">
            <v>FHR</v>
          </cell>
          <cell r="D2059" t="str">
            <v>PVC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  <cell r="BK2059">
            <v>0</v>
          </cell>
          <cell r="BL2059">
            <v>0</v>
          </cell>
          <cell r="BM2059">
            <v>0</v>
          </cell>
          <cell r="BN2059">
            <v>0</v>
          </cell>
          <cell r="BO2059">
            <v>0</v>
          </cell>
          <cell r="BP2059">
            <v>0</v>
          </cell>
          <cell r="BQ2059">
            <v>0</v>
          </cell>
          <cell r="BR2059">
            <v>0</v>
          </cell>
          <cell r="BS2059">
            <v>0</v>
          </cell>
          <cell r="BT2059">
            <v>0</v>
          </cell>
          <cell r="BU2059">
            <v>0</v>
          </cell>
          <cell r="BV2059">
            <v>0</v>
          </cell>
        </row>
        <row r="2060">
          <cell r="A2060" t="str">
            <v>Volvo GPA</v>
          </cell>
          <cell r="B2060" t="str">
            <v>FHR</v>
          </cell>
          <cell r="D2060" t="str">
            <v>LTH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  <cell r="BK2060">
            <v>0</v>
          </cell>
          <cell r="BL2060">
            <v>0</v>
          </cell>
          <cell r="BM2060">
            <v>0</v>
          </cell>
          <cell r="BN2060">
            <v>0</v>
          </cell>
          <cell r="BO2060">
            <v>0</v>
          </cell>
          <cell r="BP2060">
            <v>0</v>
          </cell>
          <cell r="BQ2060">
            <v>0</v>
          </cell>
          <cell r="BR2060">
            <v>0</v>
          </cell>
          <cell r="BS2060">
            <v>0</v>
          </cell>
          <cell r="BT2060">
            <v>0</v>
          </cell>
          <cell r="BU2060">
            <v>0</v>
          </cell>
          <cell r="BV2060">
            <v>0</v>
          </cell>
        </row>
        <row r="2061">
          <cell r="A2061" t="str">
            <v>Volvo GPA</v>
          </cell>
          <cell r="B2061" t="str">
            <v>FHR</v>
          </cell>
          <cell r="D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0</v>
          </cell>
          <cell r="AJ2061">
            <v>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  <cell r="BK2061">
            <v>0</v>
          </cell>
          <cell r="BL2061">
            <v>0</v>
          </cell>
          <cell r="BM2061">
            <v>0</v>
          </cell>
          <cell r="BN2061">
            <v>0</v>
          </cell>
          <cell r="BO2061">
            <v>0</v>
          </cell>
          <cell r="BP2061">
            <v>0</v>
          </cell>
          <cell r="BQ2061">
            <v>0</v>
          </cell>
          <cell r="BR2061">
            <v>0</v>
          </cell>
          <cell r="BS2061">
            <v>0</v>
          </cell>
          <cell r="BT2061">
            <v>0</v>
          </cell>
          <cell r="BU2061">
            <v>0</v>
          </cell>
          <cell r="BV2061">
            <v>0</v>
          </cell>
        </row>
        <row r="2062">
          <cell r="A2062" t="str">
            <v>Volvo GPA</v>
          </cell>
          <cell r="B2062" t="str">
            <v>FHR</v>
          </cell>
          <cell r="D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  <cell r="BK2062">
            <v>0</v>
          </cell>
          <cell r="BL2062">
            <v>0</v>
          </cell>
          <cell r="BM2062">
            <v>0</v>
          </cell>
          <cell r="BN2062">
            <v>0</v>
          </cell>
          <cell r="BO2062">
            <v>0</v>
          </cell>
          <cell r="BP2062">
            <v>0</v>
          </cell>
          <cell r="BQ2062">
            <v>0</v>
          </cell>
          <cell r="BR2062">
            <v>0</v>
          </cell>
          <cell r="BS2062">
            <v>0</v>
          </cell>
          <cell r="BT2062">
            <v>0</v>
          </cell>
          <cell r="BU2062">
            <v>0</v>
          </cell>
          <cell r="BV2062">
            <v>0</v>
          </cell>
        </row>
        <row r="2063">
          <cell r="A2063" t="str">
            <v>Volvo GPA</v>
          </cell>
          <cell r="B2063" t="str">
            <v>FHR</v>
          </cell>
          <cell r="D2063" t="str">
            <v>STOCK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275.30007708402155</v>
          </cell>
          <cell r="AG2063">
            <v>578.1301618764453</v>
          </cell>
          <cell r="AH2063">
            <v>908.49025437727119</v>
          </cell>
          <cell r="AI2063">
            <v>1445.3254046911134</v>
          </cell>
          <cell r="AJ2063">
            <v>1888.3711388002043</v>
          </cell>
          <cell r="AK2063">
            <v>2113.7424220167341</v>
          </cell>
          <cell r="AL2063">
            <v>2101.9808589486374</v>
          </cell>
          <cell r="AM2063">
            <v>2466.2849860945062</v>
          </cell>
          <cell r="AN2063">
            <v>2520.5954415265746</v>
          </cell>
          <cell r="AO2063">
            <v>2292.0674529608768</v>
          </cell>
          <cell r="AP2063">
            <v>2380.1345530418039</v>
          </cell>
          <cell r="AQ2063">
            <v>2523.2616685395351</v>
          </cell>
          <cell r="AR2063">
            <v>2611.3287686204617</v>
          </cell>
          <cell r="AS2063">
            <v>2699.3958687013883</v>
          </cell>
          <cell r="AT2063">
            <v>3613.3632000343796</v>
          </cell>
          <cell r="AU2063">
            <v>4527.33053136737</v>
          </cell>
          <cell r="AV2063">
            <v>5441.2978627003613</v>
          </cell>
          <cell r="AW2063">
            <v>6355.2651940333526</v>
          </cell>
          <cell r="AX2063">
            <v>7015.9492233025539</v>
          </cell>
          <cell r="AY2063">
            <v>5565.939068706839</v>
          </cell>
          <cell r="AZ2063">
            <v>5565.939068706839</v>
          </cell>
          <cell r="BA2063">
            <v>5565.939068706839</v>
          </cell>
          <cell r="BB2063">
            <v>4941.8291453631891</v>
          </cell>
          <cell r="BC2063">
            <v>4317.7192220195393</v>
          </cell>
          <cell r="BD2063">
            <v>3693.6092986758895</v>
          </cell>
          <cell r="BE2063">
            <v>3069.4993753322397</v>
          </cell>
          <cell r="BF2063">
            <v>2445.3894519885898</v>
          </cell>
          <cell r="BG2063">
            <v>1821.27952864494</v>
          </cell>
          <cell r="BH2063">
            <v>1197.1696053012902</v>
          </cell>
          <cell r="BI2063">
            <v>573.05968195764035</v>
          </cell>
          <cell r="BJ2063">
            <v>-51.050241386009475</v>
          </cell>
          <cell r="BK2063">
            <v>-3611.7184241141895</v>
          </cell>
          <cell r="BL2063">
            <v>-11790.207085573193</v>
          </cell>
          <cell r="BM2063">
            <v>-19968.695747032194</v>
          </cell>
          <cell r="BN2063">
            <v>-28147.184408491197</v>
          </cell>
          <cell r="BO2063">
            <v>-36325.6730699502</v>
          </cell>
          <cell r="BP2063">
            <v>-44504.161731409207</v>
          </cell>
          <cell r="BQ2063">
            <v>-52352.290300367385</v>
          </cell>
          <cell r="BR2063">
            <v>-60200.418869325564</v>
          </cell>
          <cell r="BS2063">
            <v>-68048.547438283742</v>
          </cell>
          <cell r="BT2063">
            <v>-75896.676007241913</v>
          </cell>
          <cell r="BU2063">
            <v>-83744.804576200084</v>
          </cell>
          <cell r="BV2063">
            <v>-91592.933145158255</v>
          </cell>
        </row>
        <row r="2064">
          <cell r="A2064" t="str">
            <v>Blank</v>
          </cell>
          <cell r="B2064" t="str">
            <v>Blank</v>
          </cell>
          <cell r="D2064" t="str">
            <v>Blank</v>
          </cell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</row>
        <row r="2065">
          <cell r="A2065" t="str">
            <v>Volvo GPA</v>
          </cell>
          <cell r="B2065" t="str">
            <v>ARM</v>
          </cell>
          <cell r="D2065" t="str">
            <v>Work days</v>
          </cell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>
            <v>0</v>
          </cell>
          <cell r="AJ2065">
            <v>0</v>
          </cell>
          <cell r="AK2065">
            <v>4</v>
          </cell>
          <cell r="AL2065">
            <v>4</v>
          </cell>
          <cell r="AM2065">
            <v>3</v>
          </cell>
          <cell r="AN2065">
            <v>4</v>
          </cell>
          <cell r="AO2065">
            <v>3</v>
          </cell>
          <cell r="AP2065">
            <v>3</v>
          </cell>
          <cell r="AQ2065">
            <v>3</v>
          </cell>
          <cell r="AR2065">
            <v>3</v>
          </cell>
          <cell r="AS2065">
            <v>3</v>
          </cell>
          <cell r="AT2065">
            <v>3</v>
          </cell>
          <cell r="AU2065">
            <v>5</v>
          </cell>
          <cell r="AV2065">
            <v>5</v>
          </cell>
          <cell r="AW2065">
            <v>5</v>
          </cell>
          <cell r="AX2065">
            <v>5</v>
          </cell>
          <cell r="AY2065">
            <v>5</v>
          </cell>
          <cell r="AZ2065">
            <v>0</v>
          </cell>
          <cell r="BA2065">
            <v>0</v>
          </cell>
          <cell r="BB2065">
            <v>5</v>
          </cell>
          <cell r="BC2065">
            <v>5</v>
          </cell>
          <cell r="BD2065">
            <v>5</v>
          </cell>
          <cell r="BE2065">
            <v>5</v>
          </cell>
          <cell r="BF2065">
            <v>5</v>
          </cell>
          <cell r="BG2065">
            <v>5</v>
          </cell>
          <cell r="BH2065">
            <v>5</v>
          </cell>
          <cell r="BI2065">
            <v>5</v>
          </cell>
          <cell r="BJ2065">
            <v>5</v>
          </cell>
          <cell r="BK2065">
            <v>5</v>
          </cell>
          <cell r="BL2065">
            <v>3</v>
          </cell>
          <cell r="BM2065">
            <v>3</v>
          </cell>
          <cell r="BN2065">
            <v>3</v>
          </cell>
          <cell r="BO2065">
            <v>3</v>
          </cell>
          <cell r="BP2065">
            <v>3</v>
          </cell>
          <cell r="BQ2065">
            <v>3</v>
          </cell>
          <cell r="BR2065">
            <v>3</v>
          </cell>
          <cell r="BS2065">
            <v>3</v>
          </cell>
          <cell r="BT2065">
            <v>3</v>
          </cell>
          <cell r="BU2065">
            <v>3</v>
          </cell>
          <cell r="BV2065">
            <v>3</v>
          </cell>
        </row>
        <row r="2066">
          <cell r="A2066" t="str">
            <v>Volvo GPA</v>
          </cell>
          <cell r="B2066" t="str">
            <v>ARM</v>
          </cell>
          <cell r="D2066" t="str">
            <v>SHIFT A HC - operators</v>
          </cell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>
            <v>1</v>
          </cell>
          <cell r="AJ2066">
            <v>1</v>
          </cell>
          <cell r="AK2066">
            <v>1</v>
          </cell>
          <cell r="AL2066">
            <v>1</v>
          </cell>
          <cell r="AM2066">
            <v>1</v>
          </cell>
          <cell r="AN2066">
            <v>1</v>
          </cell>
          <cell r="AO2066">
            <v>1</v>
          </cell>
          <cell r="AP2066">
            <v>1</v>
          </cell>
          <cell r="AQ2066">
            <v>2</v>
          </cell>
          <cell r="AR2066">
            <v>2</v>
          </cell>
          <cell r="AS2066">
            <v>2</v>
          </cell>
          <cell r="AT2066">
            <v>2</v>
          </cell>
          <cell r="AU2066">
            <v>2</v>
          </cell>
          <cell r="AV2066">
            <v>2</v>
          </cell>
          <cell r="AW2066">
            <v>3</v>
          </cell>
          <cell r="AX2066">
            <v>3</v>
          </cell>
          <cell r="AY2066">
            <v>3</v>
          </cell>
          <cell r="AZ2066">
            <v>3</v>
          </cell>
          <cell r="BA2066">
            <v>3</v>
          </cell>
          <cell r="BB2066">
            <v>4</v>
          </cell>
          <cell r="BC2066">
            <v>4</v>
          </cell>
          <cell r="BD2066">
            <v>4</v>
          </cell>
          <cell r="BE2066">
            <v>4</v>
          </cell>
          <cell r="BF2066">
            <v>4</v>
          </cell>
          <cell r="BG2066">
            <v>4</v>
          </cell>
          <cell r="BH2066">
            <v>4</v>
          </cell>
          <cell r="BI2066">
            <v>4</v>
          </cell>
          <cell r="BJ2066">
            <v>4</v>
          </cell>
          <cell r="BK2066">
            <v>4</v>
          </cell>
          <cell r="BL2066">
            <v>3</v>
          </cell>
          <cell r="BM2066">
            <v>3</v>
          </cell>
          <cell r="BN2066">
            <v>3</v>
          </cell>
          <cell r="BO2066">
            <v>3</v>
          </cell>
          <cell r="BP2066">
            <v>3</v>
          </cell>
          <cell r="BQ2066">
            <v>3</v>
          </cell>
          <cell r="BR2066">
            <v>3</v>
          </cell>
          <cell r="BS2066">
            <v>3</v>
          </cell>
          <cell r="BT2066">
            <v>3</v>
          </cell>
          <cell r="BU2066">
            <v>3</v>
          </cell>
          <cell r="BV2066">
            <v>3</v>
          </cell>
        </row>
        <row r="2067">
          <cell r="A2067" t="str">
            <v>Volvo GPA</v>
          </cell>
          <cell r="B2067" t="str">
            <v>ARM</v>
          </cell>
          <cell r="D2067" t="str">
            <v>SHIFT B HC  - operators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  <cell r="BK2067">
            <v>0</v>
          </cell>
          <cell r="BL2067">
            <v>0</v>
          </cell>
          <cell r="BM2067">
            <v>0</v>
          </cell>
          <cell r="BN2067">
            <v>0</v>
          </cell>
          <cell r="BO2067">
            <v>0</v>
          </cell>
          <cell r="BP2067">
            <v>0</v>
          </cell>
          <cell r="BQ2067">
            <v>0</v>
          </cell>
          <cell r="BR2067">
            <v>0</v>
          </cell>
          <cell r="BS2067">
            <v>0</v>
          </cell>
          <cell r="BT2067">
            <v>0</v>
          </cell>
          <cell r="BU2067">
            <v>0</v>
          </cell>
          <cell r="BV2067">
            <v>0</v>
          </cell>
        </row>
        <row r="2068">
          <cell r="A2068" t="str">
            <v>Volvo GPA</v>
          </cell>
          <cell r="B2068" t="str">
            <v>ARM</v>
          </cell>
          <cell r="D2068" t="str">
            <v>SHIFT C HC  - operators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  <cell r="BK2068">
            <v>0</v>
          </cell>
          <cell r="BL2068">
            <v>0</v>
          </cell>
          <cell r="BM2068">
            <v>0</v>
          </cell>
          <cell r="BN2068">
            <v>0</v>
          </cell>
          <cell r="BO2068">
            <v>0</v>
          </cell>
          <cell r="BP2068">
            <v>0</v>
          </cell>
          <cell r="BQ2068">
            <v>0</v>
          </cell>
          <cell r="BR2068">
            <v>0</v>
          </cell>
          <cell r="BS2068">
            <v>0</v>
          </cell>
          <cell r="BT2068">
            <v>0</v>
          </cell>
          <cell r="BU2068">
            <v>0</v>
          </cell>
          <cell r="BV2068">
            <v>0</v>
          </cell>
        </row>
        <row r="2069">
          <cell r="A2069" t="str">
            <v>Volvo GPA</v>
          </cell>
          <cell r="B2069" t="str">
            <v>ARM</v>
          </cell>
          <cell r="D2069" t="str">
            <v>Total HC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1</v>
          </cell>
          <cell r="AJ2069">
            <v>1</v>
          </cell>
          <cell r="AK2069">
            <v>1</v>
          </cell>
          <cell r="AL2069">
            <v>1</v>
          </cell>
          <cell r="AM2069">
            <v>1</v>
          </cell>
          <cell r="AN2069">
            <v>1</v>
          </cell>
          <cell r="AO2069">
            <v>1</v>
          </cell>
          <cell r="AP2069">
            <v>1</v>
          </cell>
          <cell r="AQ2069">
            <v>2</v>
          </cell>
          <cell r="AR2069">
            <v>2</v>
          </cell>
          <cell r="AS2069">
            <v>2</v>
          </cell>
          <cell r="AT2069">
            <v>2</v>
          </cell>
          <cell r="AU2069">
            <v>2</v>
          </cell>
          <cell r="AV2069">
            <v>2</v>
          </cell>
          <cell r="AW2069">
            <v>3</v>
          </cell>
          <cell r="AX2069">
            <v>3</v>
          </cell>
          <cell r="AY2069">
            <v>3</v>
          </cell>
          <cell r="AZ2069">
            <v>3</v>
          </cell>
          <cell r="BA2069">
            <v>3</v>
          </cell>
          <cell r="BB2069">
            <v>4</v>
          </cell>
          <cell r="BC2069">
            <v>4</v>
          </cell>
          <cell r="BD2069">
            <v>4</v>
          </cell>
          <cell r="BE2069">
            <v>4</v>
          </cell>
          <cell r="BF2069">
            <v>4</v>
          </cell>
          <cell r="BG2069">
            <v>4</v>
          </cell>
          <cell r="BH2069">
            <v>4</v>
          </cell>
          <cell r="BI2069">
            <v>4</v>
          </cell>
          <cell r="BJ2069">
            <v>4</v>
          </cell>
          <cell r="BK2069">
            <v>4</v>
          </cell>
          <cell r="BL2069">
            <v>3</v>
          </cell>
          <cell r="BM2069">
            <v>3</v>
          </cell>
          <cell r="BN2069">
            <v>3</v>
          </cell>
          <cell r="BO2069">
            <v>3</v>
          </cell>
          <cell r="BP2069">
            <v>3</v>
          </cell>
          <cell r="BQ2069">
            <v>3</v>
          </cell>
          <cell r="BR2069">
            <v>3</v>
          </cell>
          <cell r="BS2069">
            <v>3</v>
          </cell>
          <cell r="BT2069">
            <v>3</v>
          </cell>
          <cell r="BU2069">
            <v>3</v>
          </cell>
          <cell r="BV2069">
            <v>3</v>
          </cell>
        </row>
        <row r="2070">
          <cell r="A2070" t="str">
            <v>Volvo GPA</v>
          </cell>
          <cell r="B2070" t="str">
            <v>ARM</v>
          </cell>
          <cell r="D2070" t="str">
            <v>SHIFT A HC  - efficiency</v>
          </cell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>
            <v>0.85</v>
          </cell>
          <cell r="AJ2070">
            <v>0.85</v>
          </cell>
          <cell r="AK2070">
            <v>0.85</v>
          </cell>
          <cell r="AL2070">
            <v>0.85</v>
          </cell>
          <cell r="AM2070">
            <v>0.85</v>
          </cell>
          <cell r="AN2070">
            <v>0.85</v>
          </cell>
          <cell r="AO2070">
            <v>1</v>
          </cell>
          <cell r="AP2070">
            <v>1</v>
          </cell>
          <cell r="AQ2070">
            <v>1</v>
          </cell>
          <cell r="AR2070">
            <v>1</v>
          </cell>
          <cell r="AS2070">
            <v>1</v>
          </cell>
          <cell r="AT2070">
            <v>1</v>
          </cell>
          <cell r="AU2070">
            <v>1</v>
          </cell>
          <cell r="AV2070">
            <v>1</v>
          </cell>
          <cell r="AW2070">
            <v>1</v>
          </cell>
          <cell r="AX2070">
            <v>1</v>
          </cell>
          <cell r="AY2070">
            <v>1</v>
          </cell>
          <cell r="AZ2070">
            <v>1</v>
          </cell>
          <cell r="BA2070">
            <v>1</v>
          </cell>
          <cell r="BB2070">
            <v>1</v>
          </cell>
          <cell r="BC2070">
            <v>1</v>
          </cell>
          <cell r="BD2070">
            <v>1</v>
          </cell>
          <cell r="BE2070">
            <v>1</v>
          </cell>
          <cell r="BF2070">
            <v>1</v>
          </cell>
          <cell r="BG2070">
            <v>1</v>
          </cell>
          <cell r="BH2070">
            <v>1</v>
          </cell>
          <cell r="BI2070">
            <v>1</v>
          </cell>
          <cell r="BJ2070">
            <v>1</v>
          </cell>
          <cell r="BK2070">
            <v>1.2</v>
          </cell>
          <cell r="BL2070">
            <v>1.2</v>
          </cell>
          <cell r="BM2070">
            <v>1.2</v>
          </cell>
          <cell r="BN2070">
            <v>1.2</v>
          </cell>
          <cell r="BO2070">
            <v>1.2</v>
          </cell>
          <cell r="BP2070">
            <v>1.2</v>
          </cell>
          <cell r="BQ2070">
            <v>1.2</v>
          </cell>
          <cell r="BR2070">
            <v>1.2</v>
          </cell>
          <cell r="BS2070">
            <v>1.2</v>
          </cell>
          <cell r="BT2070">
            <v>1.2</v>
          </cell>
          <cell r="BU2070">
            <v>1.2</v>
          </cell>
          <cell r="BV2070">
            <v>1.2</v>
          </cell>
        </row>
        <row r="2071">
          <cell r="A2071" t="str">
            <v>Volvo GPA</v>
          </cell>
          <cell r="B2071" t="str">
            <v>ARM</v>
          </cell>
          <cell r="D2071" t="str">
            <v>SHIFT B HC  - efficiency</v>
          </cell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>
            <v>0.85</v>
          </cell>
          <cell r="AJ2071">
            <v>0.85</v>
          </cell>
          <cell r="AK2071">
            <v>0.85</v>
          </cell>
          <cell r="AL2071">
            <v>0.85</v>
          </cell>
          <cell r="AM2071">
            <v>0.85</v>
          </cell>
          <cell r="AN2071">
            <v>0.85</v>
          </cell>
          <cell r="AO2071">
            <v>1</v>
          </cell>
          <cell r="AP2071">
            <v>1</v>
          </cell>
          <cell r="AQ2071">
            <v>1</v>
          </cell>
          <cell r="AR2071">
            <v>1</v>
          </cell>
          <cell r="AS2071">
            <v>1</v>
          </cell>
          <cell r="AT2071">
            <v>1</v>
          </cell>
          <cell r="AU2071">
            <v>1</v>
          </cell>
          <cell r="AV2071">
            <v>1</v>
          </cell>
          <cell r="AW2071">
            <v>1</v>
          </cell>
          <cell r="AX2071">
            <v>1</v>
          </cell>
          <cell r="AY2071">
            <v>1</v>
          </cell>
          <cell r="AZ2071">
            <v>1</v>
          </cell>
          <cell r="BA2071">
            <v>1</v>
          </cell>
          <cell r="BB2071">
            <v>1</v>
          </cell>
          <cell r="BC2071">
            <v>1</v>
          </cell>
          <cell r="BD2071">
            <v>1</v>
          </cell>
          <cell r="BE2071">
            <v>1</v>
          </cell>
          <cell r="BF2071">
            <v>1</v>
          </cell>
          <cell r="BG2071">
            <v>1</v>
          </cell>
          <cell r="BH2071">
            <v>1</v>
          </cell>
          <cell r="BI2071">
            <v>1</v>
          </cell>
          <cell r="BJ2071">
            <v>1</v>
          </cell>
          <cell r="BK2071">
            <v>1</v>
          </cell>
          <cell r="BL2071">
            <v>1</v>
          </cell>
          <cell r="BM2071">
            <v>1</v>
          </cell>
          <cell r="BN2071">
            <v>1</v>
          </cell>
          <cell r="BO2071">
            <v>1</v>
          </cell>
          <cell r="BP2071">
            <v>1</v>
          </cell>
          <cell r="BQ2071">
            <v>1</v>
          </cell>
          <cell r="BR2071">
            <v>1</v>
          </cell>
          <cell r="BS2071">
            <v>1</v>
          </cell>
          <cell r="BT2071">
            <v>1</v>
          </cell>
          <cell r="BU2071">
            <v>1</v>
          </cell>
          <cell r="BV2071">
            <v>1</v>
          </cell>
        </row>
        <row r="2072">
          <cell r="A2072" t="str">
            <v>Volvo GPA</v>
          </cell>
          <cell r="B2072" t="str">
            <v>ARM</v>
          </cell>
          <cell r="D2072" t="str">
            <v>SHIFT C HC  - efficiency</v>
          </cell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>
            <v>0.85</v>
          </cell>
          <cell r="AJ2072">
            <v>0.85</v>
          </cell>
          <cell r="AK2072">
            <v>0.85</v>
          </cell>
          <cell r="AL2072">
            <v>0.85</v>
          </cell>
          <cell r="AM2072">
            <v>0.85</v>
          </cell>
          <cell r="AN2072">
            <v>0.85</v>
          </cell>
          <cell r="AO2072">
            <v>1</v>
          </cell>
          <cell r="AP2072">
            <v>1</v>
          </cell>
          <cell r="AQ2072">
            <v>1</v>
          </cell>
          <cell r="AR2072">
            <v>1</v>
          </cell>
          <cell r="AS2072">
            <v>1</v>
          </cell>
          <cell r="AT2072">
            <v>1</v>
          </cell>
          <cell r="AU2072">
            <v>1</v>
          </cell>
          <cell r="AV2072">
            <v>1</v>
          </cell>
          <cell r="AW2072">
            <v>1</v>
          </cell>
          <cell r="AX2072">
            <v>1</v>
          </cell>
          <cell r="AY2072">
            <v>1</v>
          </cell>
          <cell r="AZ2072">
            <v>1</v>
          </cell>
          <cell r="BA2072">
            <v>1</v>
          </cell>
          <cell r="BB2072">
            <v>1</v>
          </cell>
          <cell r="BC2072">
            <v>1</v>
          </cell>
          <cell r="BD2072">
            <v>1</v>
          </cell>
          <cell r="BE2072">
            <v>1</v>
          </cell>
          <cell r="BF2072">
            <v>1</v>
          </cell>
          <cell r="BG2072">
            <v>1</v>
          </cell>
          <cell r="BH2072">
            <v>1</v>
          </cell>
          <cell r="BI2072">
            <v>1</v>
          </cell>
          <cell r="BJ2072">
            <v>1</v>
          </cell>
          <cell r="BK2072">
            <v>1</v>
          </cell>
          <cell r="BL2072">
            <v>1</v>
          </cell>
          <cell r="BM2072">
            <v>1</v>
          </cell>
          <cell r="BN2072">
            <v>1</v>
          </cell>
          <cell r="BO2072">
            <v>1</v>
          </cell>
          <cell r="BP2072">
            <v>1</v>
          </cell>
          <cell r="BQ2072">
            <v>1</v>
          </cell>
          <cell r="BR2072">
            <v>1</v>
          </cell>
          <cell r="BS2072">
            <v>1</v>
          </cell>
          <cell r="BT2072">
            <v>1</v>
          </cell>
          <cell r="BU2072">
            <v>1</v>
          </cell>
          <cell r="BV2072">
            <v>1</v>
          </cell>
        </row>
        <row r="2073">
          <cell r="A2073" t="str">
            <v>Volvo GPA</v>
          </cell>
          <cell r="B2073" t="str">
            <v>ARM</v>
          </cell>
          <cell r="D2073" t="str">
            <v>Total efficiency</v>
          </cell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</row>
        <row r="2074">
          <cell r="A2074" t="str">
            <v>Volvo GPA</v>
          </cell>
          <cell r="B2074" t="str">
            <v>ARM</v>
          </cell>
          <cell r="D2074" t="str">
            <v>SHIFT A - output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71.763602251407136</v>
          </cell>
          <cell r="AJ2074">
            <v>71.763602251407136</v>
          </cell>
          <cell r="AK2074">
            <v>71.763602251407136</v>
          </cell>
          <cell r="AL2074">
            <v>71.763602251407136</v>
          </cell>
          <cell r="AM2074">
            <v>71.763602251407136</v>
          </cell>
          <cell r="AN2074">
            <v>71.763602251407136</v>
          </cell>
          <cell r="AO2074">
            <v>84.427767354596625</v>
          </cell>
          <cell r="AP2074">
            <v>84.427767354596625</v>
          </cell>
          <cell r="AQ2074">
            <v>168.85553470919325</v>
          </cell>
          <cell r="AR2074">
            <v>168.85553470919325</v>
          </cell>
          <cell r="AS2074">
            <v>168.85553470919325</v>
          </cell>
          <cell r="AT2074">
            <v>168.85553470919325</v>
          </cell>
          <cell r="AU2074">
            <v>168.85553470919325</v>
          </cell>
          <cell r="AV2074">
            <v>168.85553470919325</v>
          </cell>
          <cell r="AW2074">
            <v>253.28330206378988</v>
          </cell>
          <cell r="AX2074">
            <v>253.28330206378988</v>
          </cell>
          <cell r="AY2074">
            <v>253.28330206378988</v>
          </cell>
          <cell r="AZ2074">
            <v>253.28330206378988</v>
          </cell>
          <cell r="BA2074">
            <v>253.28330206378988</v>
          </cell>
          <cell r="BB2074">
            <v>337.7110694183865</v>
          </cell>
          <cell r="BC2074">
            <v>337.7110694183865</v>
          </cell>
          <cell r="BD2074">
            <v>337.7110694183865</v>
          </cell>
          <cell r="BE2074">
            <v>337.7110694183865</v>
          </cell>
          <cell r="BF2074">
            <v>337.7110694183865</v>
          </cell>
          <cell r="BG2074">
            <v>337.7110694183865</v>
          </cell>
          <cell r="BH2074">
            <v>337.7110694183865</v>
          </cell>
          <cell r="BI2074">
            <v>337.7110694183865</v>
          </cell>
          <cell r="BJ2074">
            <v>337.7110694183865</v>
          </cell>
          <cell r="BK2074">
            <v>405.25328330206378</v>
          </cell>
          <cell r="BL2074">
            <v>303.93996247654786</v>
          </cell>
          <cell r="BM2074">
            <v>303.93996247654786</v>
          </cell>
          <cell r="BN2074">
            <v>303.93996247654786</v>
          </cell>
          <cell r="BO2074">
            <v>303.93996247654786</v>
          </cell>
          <cell r="BP2074">
            <v>303.93996247654786</v>
          </cell>
          <cell r="BQ2074">
            <v>303.93996247654786</v>
          </cell>
          <cell r="BR2074">
            <v>303.93996247654786</v>
          </cell>
          <cell r="BS2074">
            <v>303.93996247654786</v>
          </cell>
          <cell r="BT2074">
            <v>303.93996247654786</v>
          </cell>
          <cell r="BU2074">
            <v>303.93996247654786</v>
          </cell>
          <cell r="BV2074">
            <v>303.93996247654786</v>
          </cell>
        </row>
        <row r="2075">
          <cell r="A2075" t="str">
            <v>Volvo GPA</v>
          </cell>
          <cell r="B2075" t="str">
            <v>ARM</v>
          </cell>
          <cell r="D2075" t="str">
            <v>SHIFT B  - output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  <cell r="BK2075">
            <v>0</v>
          </cell>
          <cell r="BL2075">
            <v>0</v>
          </cell>
          <cell r="BM2075">
            <v>0</v>
          </cell>
          <cell r="BN2075">
            <v>0</v>
          </cell>
          <cell r="BO2075">
            <v>0</v>
          </cell>
          <cell r="BP2075">
            <v>0</v>
          </cell>
          <cell r="BQ2075">
            <v>0</v>
          </cell>
          <cell r="BR2075">
            <v>0</v>
          </cell>
          <cell r="BS2075">
            <v>0</v>
          </cell>
          <cell r="BT2075">
            <v>0</v>
          </cell>
          <cell r="BU2075">
            <v>0</v>
          </cell>
          <cell r="BV2075">
            <v>0</v>
          </cell>
        </row>
        <row r="2076">
          <cell r="A2076" t="str">
            <v>Volvo GPA</v>
          </cell>
          <cell r="B2076" t="str">
            <v>ARM</v>
          </cell>
          <cell r="D2076" t="str">
            <v>SHIFT C  - output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  <cell r="BK2076">
            <v>0</v>
          </cell>
          <cell r="BL2076">
            <v>0</v>
          </cell>
          <cell r="BM2076">
            <v>0</v>
          </cell>
          <cell r="BN2076">
            <v>0</v>
          </cell>
          <cell r="BO2076">
            <v>0</v>
          </cell>
          <cell r="BP2076">
            <v>0</v>
          </cell>
          <cell r="BQ2076">
            <v>0</v>
          </cell>
          <cell r="BR2076">
            <v>0</v>
          </cell>
          <cell r="BS2076">
            <v>0</v>
          </cell>
          <cell r="BT2076">
            <v>0</v>
          </cell>
          <cell r="BU2076">
            <v>0</v>
          </cell>
          <cell r="BV2076">
            <v>0</v>
          </cell>
        </row>
        <row r="2077">
          <cell r="A2077" t="str">
            <v>Volvo GPA</v>
          </cell>
          <cell r="B2077" t="str">
            <v>ARM</v>
          </cell>
          <cell r="D2077" t="str">
            <v>Est. Output (Pcs day)</v>
          </cell>
          <cell r="E2077">
            <v>5.33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71.763602251407136</v>
          </cell>
          <cell r="AJ2077">
            <v>71.763602251407136</v>
          </cell>
          <cell r="AK2077">
            <v>71.763602251407136</v>
          </cell>
          <cell r="AL2077">
            <v>71.763602251407136</v>
          </cell>
          <cell r="AM2077">
            <v>71.763602251407136</v>
          </cell>
          <cell r="AN2077">
            <v>71.763602251407136</v>
          </cell>
          <cell r="AO2077">
            <v>84.427767354596625</v>
          </cell>
          <cell r="AP2077">
            <v>84.427767354596625</v>
          </cell>
          <cell r="AQ2077">
            <v>168.85553470919325</v>
          </cell>
          <cell r="AR2077">
            <v>168.85553470919325</v>
          </cell>
          <cell r="AS2077">
            <v>168.85553470919325</v>
          </cell>
          <cell r="AT2077">
            <v>168.85553470919325</v>
          </cell>
          <cell r="AU2077">
            <v>168.85553470919325</v>
          </cell>
          <cell r="AV2077">
            <v>168.85553470919325</v>
          </cell>
          <cell r="AW2077">
            <v>253.28330206378988</v>
          </cell>
          <cell r="AX2077">
            <v>253.28330206378988</v>
          </cell>
          <cell r="AY2077">
            <v>253.28330206378988</v>
          </cell>
          <cell r="AZ2077">
            <v>253.28330206378988</v>
          </cell>
          <cell r="BA2077">
            <v>253.28330206378988</v>
          </cell>
          <cell r="BB2077">
            <v>337.7110694183865</v>
          </cell>
          <cell r="BC2077">
            <v>337.7110694183865</v>
          </cell>
          <cell r="BD2077">
            <v>337.7110694183865</v>
          </cell>
          <cell r="BE2077">
            <v>337.7110694183865</v>
          </cell>
          <cell r="BF2077">
            <v>337.7110694183865</v>
          </cell>
          <cell r="BG2077">
            <v>337.7110694183865</v>
          </cell>
          <cell r="BH2077">
            <v>337.7110694183865</v>
          </cell>
          <cell r="BI2077">
            <v>337.7110694183865</v>
          </cell>
          <cell r="BJ2077">
            <v>337.7110694183865</v>
          </cell>
          <cell r="BK2077">
            <v>405.25328330206378</v>
          </cell>
          <cell r="BL2077">
            <v>303.93996247654786</v>
          </cell>
          <cell r="BM2077">
            <v>303.93996247654786</v>
          </cell>
          <cell r="BN2077">
            <v>303.93996247654786</v>
          </cell>
          <cell r="BO2077">
            <v>303.93996247654786</v>
          </cell>
          <cell r="BP2077">
            <v>303.93996247654786</v>
          </cell>
          <cell r="BQ2077">
            <v>303.93996247654786</v>
          </cell>
          <cell r="BR2077">
            <v>303.93996247654786</v>
          </cell>
          <cell r="BS2077">
            <v>303.93996247654786</v>
          </cell>
          <cell r="BT2077">
            <v>303.93996247654786</v>
          </cell>
          <cell r="BU2077">
            <v>303.93996247654786</v>
          </cell>
          <cell r="BV2077">
            <v>303.93996247654786</v>
          </cell>
        </row>
        <row r="2078">
          <cell r="A2078" t="str">
            <v>Volvo GPA</v>
          </cell>
          <cell r="B2078" t="str">
            <v>ARM</v>
          </cell>
          <cell r="D2078" t="str">
            <v>Weekly Output PLAN</v>
          </cell>
          <cell r="E2078" t="str">
            <v>ASSY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287.05440900562854</v>
          </cell>
          <cell r="AL2078">
            <v>287.05440900562854</v>
          </cell>
          <cell r="AM2078">
            <v>215.29080675422142</v>
          </cell>
          <cell r="AN2078">
            <v>287.05440900562854</v>
          </cell>
          <cell r="AO2078">
            <v>253.28330206378988</v>
          </cell>
          <cell r="AP2078">
            <v>253.28330206378988</v>
          </cell>
          <cell r="AQ2078">
            <v>506.56660412757975</v>
          </cell>
          <cell r="AR2078">
            <v>506.56660412757975</v>
          </cell>
          <cell r="AS2078">
            <v>506.56660412757975</v>
          </cell>
          <cell r="AT2078">
            <v>506.56660412757975</v>
          </cell>
          <cell r="AU2078">
            <v>844.27767354596631</v>
          </cell>
          <cell r="AV2078">
            <v>844.27767354596631</v>
          </cell>
          <cell r="AW2078">
            <v>1266.4165103189493</v>
          </cell>
          <cell r="AX2078">
            <v>1266.4165103189493</v>
          </cell>
          <cell r="AY2078">
            <v>1266.4165103189493</v>
          </cell>
          <cell r="AZ2078">
            <v>0</v>
          </cell>
          <cell r="BA2078">
            <v>0</v>
          </cell>
          <cell r="BB2078">
            <v>1688.5553470919326</v>
          </cell>
          <cell r="BC2078">
            <v>1688.5553470919326</v>
          </cell>
          <cell r="BD2078">
            <v>1688.5553470919326</v>
          </cell>
          <cell r="BE2078">
            <v>1688.5553470919326</v>
          </cell>
          <cell r="BF2078">
            <v>1688.5553470919326</v>
          </cell>
          <cell r="BG2078">
            <v>1688.5553470919326</v>
          </cell>
          <cell r="BH2078">
            <v>1688.5553470919326</v>
          </cell>
          <cell r="BI2078">
            <v>1688.5553470919326</v>
          </cell>
          <cell r="BJ2078">
            <v>1688.5553470919326</v>
          </cell>
          <cell r="BK2078">
            <v>2026.2664165103188</v>
          </cell>
          <cell r="BL2078">
            <v>911.81988742964359</v>
          </cell>
          <cell r="BM2078">
            <v>911.81988742964359</v>
          </cell>
          <cell r="BN2078">
            <v>911.81988742964359</v>
          </cell>
          <cell r="BO2078">
            <v>911.81988742964359</v>
          </cell>
          <cell r="BP2078">
            <v>911.81988742964359</v>
          </cell>
          <cell r="BQ2078">
            <v>911.81988742964359</v>
          </cell>
          <cell r="BR2078">
            <v>911.81988742964359</v>
          </cell>
          <cell r="BS2078">
            <v>911.81988742964359</v>
          </cell>
          <cell r="BT2078">
            <v>911.81988742964359</v>
          </cell>
          <cell r="BU2078">
            <v>911.81988742964359</v>
          </cell>
          <cell r="BV2078">
            <v>911.81988742964359</v>
          </cell>
        </row>
        <row r="2079">
          <cell r="A2079" t="str">
            <v>Volvo GPA</v>
          </cell>
          <cell r="B2079" t="str">
            <v>ARM</v>
          </cell>
          <cell r="D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</row>
        <row r="2080">
          <cell r="A2080" t="str">
            <v>Volvo GPA</v>
          </cell>
          <cell r="B2080" t="str">
            <v>ARM</v>
          </cell>
          <cell r="D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</row>
        <row r="2081">
          <cell r="A2081" t="str">
            <v>Volvo GPA</v>
          </cell>
          <cell r="B2081" t="str">
            <v>ARM</v>
          </cell>
          <cell r="D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</row>
        <row r="2082">
          <cell r="A2082" t="str">
            <v>Volvo GPA</v>
          </cell>
          <cell r="B2082" t="str">
            <v>ARM</v>
          </cell>
          <cell r="D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</row>
        <row r="2083">
          <cell r="A2083" t="str">
            <v>Volvo GPA</v>
          </cell>
          <cell r="B2083" t="str">
            <v>ARM</v>
          </cell>
          <cell r="D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</row>
        <row r="2084">
          <cell r="A2084" t="str">
            <v>Volvo GPA</v>
          </cell>
          <cell r="B2084" t="str">
            <v>ARM</v>
          </cell>
          <cell r="D2084" t="str">
            <v>Weekly Output PLAN - SUM of models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  <cell r="BK2084">
            <v>0</v>
          </cell>
          <cell r="BL2084">
            <v>0</v>
          </cell>
          <cell r="BM2084">
            <v>0</v>
          </cell>
          <cell r="BN2084">
            <v>0</v>
          </cell>
          <cell r="BO2084">
            <v>0</v>
          </cell>
          <cell r="BP2084">
            <v>0</v>
          </cell>
          <cell r="BQ2084">
            <v>0</v>
          </cell>
          <cell r="BR2084">
            <v>0</v>
          </cell>
          <cell r="BS2084">
            <v>0</v>
          </cell>
          <cell r="BT2084">
            <v>0</v>
          </cell>
          <cell r="BU2084">
            <v>0</v>
          </cell>
          <cell r="BV2084">
            <v>0</v>
          </cell>
        </row>
        <row r="2085">
          <cell r="A2085" t="str">
            <v>Volvo GPA</v>
          </cell>
          <cell r="B2085" t="str">
            <v>ARM</v>
          </cell>
          <cell r="D2085" t="str">
            <v>Weekly Output CHECK with TO time multiple</v>
          </cell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</row>
        <row r="2086">
          <cell r="A2086" t="str">
            <v>Volvo GPA</v>
          </cell>
          <cell r="B2086" t="str">
            <v>ARM</v>
          </cell>
          <cell r="D2086" t="str">
            <v>Weekly Output ACT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287.05440900562854</v>
          </cell>
          <cell r="AL2086">
            <v>287.05440900562854</v>
          </cell>
          <cell r="AM2086">
            <v>215.29080675422142</v>
          </cell>
          <cell r="AN2086">
            <v>287.05440900562854</v>
          </cell>
          <cell r="AO2086">
            <v>253.28330206378988</v>
          </cell>
          <cell r="AP2086">
            <v>253.28330206378988</v>
          </cell>
          <cell r="AQ2086">
            <v>506.56660412757975</v>
          </cell>
          <cell r="AR2086">
            <v>506.56660412757975</v>
          </cell>
          <cell r="AS2086">
            <v>506.56660412757975</v>
          </cell>
          <cell r="AT2086">
            <v>506.56660412757975</v>
          </cell>
          <cell r="AU2086">
            <v>844.27767354596631</v>
          </cell>
          <cell r="AV2086">
            <v>844.27767354596631</v>
          </cell>
          <cell r="AW2086">
            <v>1266.4165103189493</v>
          </cell>
          <cell r="AX2086">
            <v>1266.4165103189493</v>
          </cell>
          <cell r="AY2086">
            <v>1266.4165103189493</v>
          </cell>
          <cell r="AZ2086">
            <v>0</v>
          </cell>
          <cell r="BA2086">
            <v>0</v>
          </cell>
          <cell r="BB2086">
            <v>1688.5553470919326</v>
          </cell>
          <cell r="BC2086">
            <v>1688.5553470919326</v>
          </cell>
          <cell r="BD2086">
            <v>1688.5553470919326</v>
          </cell>
          <cell r="BE2086">
            <v>1688.5553470919326</v>
          </cell>
          <cell r="BF2086">
            <v>1688.5553470919326</v>
          </cell>
          <cell r="BG2086">
            <v>1688.5553470919326</v>
          </cell>
          <cell r="BH2086">
            <v>1688.5553470919326</v>
          </cell>
          <cell r="BI2086">
            <v>1688.5553470919326</v>
          </cell>
          <cell r="BJ2086">
            <v>1688.5553470919326</v>
          </cell>
          <cell r="BK2086">
            <v>2026.2664165103188</v>
          </cell>
          <cell r="BL2086">
            <v>911.81988742964359</v>
          </cell>
          <cell r="BM2086">
            <v>911.81988742964359</v>
          </cell>
          <cell r="BN2086">
            <v>911.81988742964359</v>
          </cell>
          <cell r="BO2086">
            <v>911.81988742964359</v>
          </cell>
          <cell r="BP2086">
            <v>911.81988742964359</v>
          </cell>
          <cell r="BQ2086">
            <v>911.81988742964359</v>
          </cell>
          <cell r="BR2086">
            <v>911.81988742964359</v>
          </cell>
          <cell r="BS2086">
            <v>911.81988742964359</v>
          </cell>
          <cell r="BT2086">
            <v>911.81988742964359</v>
          </cell>
          <cell r="BU2086">
            <v>911.81988742964359</v>
          </cell>
          <cell r="BV2086">
            <v>911.81988742964359</v>
          </cell>
        </row>
        <row r="2087">
          <cell r="A2087" t="str">
            <v>Volvo GPA</v>
          </cell>
          <cell r="B2087" t="str">
            <v>ARM</v>
          </cell>
          <cell r="D2087">
            <v>0</v>
          </cell>
          <cell r="Z2087">
            <v>0</v>
          </cell>
          <cell r="AA2087">
            <v>240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40</v>
          </cell>
          <cell r="AK2087">
            <v>84</v>
          </cell>
          <cell r="AL2087">
            <v>2</v>
          </cell>
          <cell r="AM2087">
            <v>114</v>
          </cell>
          <cell r="AN2087">
            <v>254</v>
          </cell>
          <cell r="AO2087">
            <v>308</v>
          </cell>
          <cell r="AP2087">
            <v>477</v>
          </cell>
          <cell r="AQ2087">
            <v>460</v>
          </cell>
          <cell r="AR2087">
            <v>401</v>
          </cell>
          <cell r="AS2087">
            <v>629</v>
          </cell>
          <cell r="AT2087">
            <v>770</v>
          </cell>
          <cell r="AU2087">
            <v>770</v>
          </cell>
          <cell r="AV2087">
            <v>0</v>
          </cell>
          <cell r="AW2087">
            <v>43</v>
          </cell>
          <cell r="AX2087">
            <v>0</v>
          </cell>
          <cell r="AY2087">
            <v>43</v>
          </cell>
          <cell r="AZ2087">
            <v>939</v>
          </cell>
          <cell r="BA2087">
            <v>1148</v>
          </cell>
          <cell r="BB2087">
            <v>5924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8192</v>
          </cell>
          <cell r="BH2087">
            <v>0</v>
          </cell>
          <cell r="BI2087">
            <v>0</v>
          </cell>
          <cell r="BJ2087">
            <v>0</v>
          </cell>
          <cell r="BK2087">
            <v>12289</v>
          </cell>
          <cell r="BL2087">
            <v>0</v>
          </cell>
          <cell r="BM2087">
            <v>0</v>
          </cell>
          <cell r="BN2087">
            <v>0</v>
          </cell>
          <cell r="BO2087">
            <v>10967</v>
          </cell>
          <cell r="BP2087">
            <v>0</v>
          </cell>
          <cell r="BQ2087">
            <v>0</v>
          </cell>
          <cell r="BR2087">
            <v>0</v>
          </cell>
          <cell r="BS2087">
            <v>0</v>
          </cell>
          <cell r="BT2087">
            <v>6330</v>
          </cell>
          <cell r="BU2087">
            <v>0</v>
          </cell>
          <cell r="BV2087">
            <v>0</v>
          </cell>
        </row>
        <row r="2088">
          <cell r="A2088" t="str">
            <v>Volvo GPA</v>
          </cell>
          <cell r="B2088" t="str">
            <v>ARM</v>
          </cell>
          <cell r="D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  <cell r="BK2088">
            <v>0</v>
          </cell>
          <cell r="BL2088">
            <v>0</v>
          </cell>
          <cell r="BM2088">
            <v>0</v>
          </cell>
          <cell r="BN2088">
            <v>0</v>
          </cell>
          <cell r="BO2088">
            <v>0</v>
          </cell>
          <cell r="BP2088">
            <v>0</v>
          </cell>
          <cell r="BQ2088">
            <v>0</v>
          </cell>
          <cell r="BR2088">
            <v>0</v>
          </cell>
          <cell r="BS2088">
            <v>0</v>
          </cell>
          <cell r="BT2088">
            <v>0</v>
          </cell>
          <cell r="BU2088">
            <v>0</v>
          </cell>
          <cell r="BV2088">
            <v>0</v>
          </cell>
        </row>
        <row r="2089">
          <cell r="A2089" t="str">
            <v>Volvo GPA</v>
          </cell>
          <cell r="B2089" t="str">
            <v>ARM</v>
          </cell>
          <cell r="D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  <cell r="BK2089">
            <v>0</v>
          </cell>
          <cell r="BL2089">
            <v>0</v>
          </cell>
          <cell r="BM2089">
            <v>0</v>
          </cell>
          <cell r="BN2089">
            <v>0</v>
          </cell>
          <cell r="BO2089">
            <v>0</v>
          </cell>
          <cell r="BP2089">
            <v>0</v>
          </cell>
          <cell r="BQ2089">
            <v>0</v>
          </cell>
          <cell r="BR2089">
            <v>0</v>
          </cell>
          <cell r="BS2089">
            <v>0</v>
          </cell>
          <cell r="BT2089">
            <v>0</v>
          </cell>
          <cell r="BU2089">
            <v>0</v>
          </cell>
          <cell r="BV2089">
            <v>0</v>
          </cell>
        </row>
        <row r="2090">
          <cell r="A2090" t="str">
            <v>Volvo GPA</v>
          </cell>
          <cell r="B2090" t="str">
            <v>ARM</v>
          </cell>
          <cell r="D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  <cell r="BK2090">
            <v>0</v>
          </cell>
          <cell r="BL2090">
            <v>0</v>
          </cell>
          <cell r="BM2090">
            <v>0</v>
          </cell>
          <cell r="BN2090">
            <v>0</v>
          </cell>
          <cell r="BO2090">
            <v>0</v>
          </cell>
          <cell r="BP2090">
            <v>0</v>
          </cell>
          <cell r="BQ2090">
            <v>0</v>
          </cell>
          <cell r="BR2090">
            <v>0</v>
          </cell>
          <cell r="BS2090">
            <v>0</v>
          </cell>
          <cell r="BT2090">
            <v>0</v>
          </cell>
          <cell r="BU2090">
            <v>0</v>
          </cell>
          <cell r="BV2090">
            <v>0</v>
          </cell>
        </row>
        <row r="2091">
          <cell r="A2091" t="str">
            <v>Volvo GPA</v>
          </cell>
          <cell r="B2091" t="str">
            <v>ARM</v>
          </cell>
          <cell r="D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  <cell r="BK2091">
            <v>0</v>
          </cell>
          <cell r="BL2091">
            <v>0</v>
          </cell>
          <cell r="BM2091">
            <v>0</v>
          </cell>
          <cell r="BN2091">
            <v>0</v>
          </cell>
          <cell r="BO2091">
            <v>0</v>
          </cell>
          <cell r="BP2091">
            <v>0</v>
          </cell>
          <cell r="BQ2091">
            <v>0</v>
          </cell>
          <cell r="BR2091">
            <v>0</v>
          </cell>
          <cell r="BS2091">
            <v>0</v>
          </cell>
          <cell r="BT2091">
            <v>0</v>
          </cell>
          <cell r="BU2091">
            <v>0</v>
          </cell>
          <cell r="BV2091">
            <v>0</v>
          </cell>
        </row>
        <row r="2092">
          <cell r="A2092" t="str">
            <v>Volvo GPA</v>
          </cell>
          <cell r="B2092" t="str">
            <v>ARM</v>
          </cell>
          <cell r="D2092" t="str">
            <v>Weekly demand</v>
          </cell>
          <cell r="Z2092">
            <v>0</v>
          </cell>
          <cell r="AA2092">
            <v>240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40</v>
          </cell>
          <cell r="AK2092">
            <v>84</v>
          </cell>
          <cell r="AL2092">
            <v>2</v>
          </cell>
          <cell r="AM2092">
            <v>114</v>
          </cell>
          <cell r="AN2092">
            <v>254</v>
          </cell>
          <cell r="AO2092">
            <v>308</v>
          </cell>
          <cell r="AP2092">
            <v>477</v>
          </cell>
          <cell r="AQ2092">
            <v>460</v>
          </cell>
          <cell r="AR2092">
            <v>401</v>
          </cell>
          <cell r="AS2092">
            <v>629</v>
          </cell>
          <cell r="AT2092">
            <v>770</v>
          </cell>
          <cell r="AU2092">
            <v>770</v>
          </cell>
          <cell r="AV2092">
            <v>0</v>
          </cell>
          <cell r="AW2092">
            <v>43</v>
          </cell>
          <cell r="AX2092">
            <v>0</v>
          </cell>
          <cell r="AY2092">
            <v>43</v>
          </cell>
          <cell r="AZ2092">
            <v>939</v>
          </cell>
          <cell r="BA2092">
            <v>1148</v>
          </cell>
          <cell r="BB2092">
            <v>5924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8192</v>
          </cell>
          <cell r="BH2092">
            <v>0</v>
          </cell>
          <cell r="BI2092">
            <v>0</v>
          </cell>
          <cell r="BJ2092">
            <v>0</v>
          </cell>
          <cell r="BK2092">
            <v>12289</v>
          </cell>
          <cell r="BL2092">
            <v>20838</v>
          </cell>
          <cell r="BM2092">
            <v>0</v>
          </cell>
          <cell r="BN2092">
            <v>0</v>
          </cell>
          <cell r="BO2092">
            <v>10967</v>
          </cell>
          <cell r="BP2092">
            <v>0</v>
          </cell>
          <cell r="BQ2092">
            <v>0</v>
          </cell>
          <cell r="BR2092">
            <v>0</v>
          </cell>
          <cell r="BS2092">
            <v>0</v>
          </cell>
          <cell r="BT2092">
            <v>6330</v>
          </cell>
          <cell r="BU2092">
            <v>0</v>
          </cell>
          <cell r="BV2092">
            <v>0</v>
          </cell>
        </row>
        <row r="2093">
          <cell r="A2093" t="str">
            <v>Volvo GPA</v>
          </cell>
          <cell r="B2093" t="str">
            <v>ARM</v>
          </cell>
          <cell r="D2093" t="str">
            <v>Stock Target</v>
          </cell>
          <cell r="Z2093"/>
          <cell r="AA2093"/>
          <cell r="AB2093"/>
          <cell r="AC2093"/>
          <cell r="AD2093"/>
          <cell r="AE2093"/>
          <cell r="AF2093"/>
          <cell r="AG2093">
            <v>2547</v>
          </cell>
          <cell r="AH2093">
            <v>2548</v>
          </cell>
          <cell r="AI2093">
            <v>2549</v>
          </cell>
          <cell r="AJ2093">
            <v>2550</v>
          </cell>
          <cell r="AK2093">
            <v>2551</v>
          </cell>
          <cell r="AL2093">
            <v>2552</v>
          </cell>
          <cell r="AM2093">
            <v>2552</v>
          </cell>
          <cell r="AN2093">
            <v>2552</v>
          </cell>
          <cell r="AO2093">
            <v>2552</v>
          </cell>
          <cell r="AP2093">
            <v>2552</v>
          </cell>
          <cell r="AQ2093">
            <v>2552</v>
          </cell>
          <cell r="AR2093">
            <v>2552</v>
          </cell>
          <cell r="AS2093">
            <v>2552</v>
          </cell>
          <cell r="AT2093">
            <v>2552</v>
          </cell>
          <cell r="AU2093">
            <v>2552</v>
          </cell>
          <cell r="AV2093">
            <v>2552</v>
          </cell>
          <cell r="AW2093">
            <v>2552</v>
          </cell>
          <cell r="AX2093">
            <v>2552</v>
          </cell>
          <cell r="AY2093">
            <v>2552</v>
          </cell>
          <cell r="AZ2093">
            <v>2552</v>
          </cell>
          <cell r="BA2093">
            <v>2552</v>
          </cell>
          <cell r="BB2093">
            <v>2552</v>
          </cell>
          <cell r="BC2093">
            <v>2552</v>
          </cell>
          <cell r="BD2093">
            <v>2552</v>
          </cell>
          <cell r="BE2093">
            <v>2552</v>
          </cell>
          <cell r="BF2093">
            <v>2552</v>
          </cell>
          <cell r="BG2093">
            <v>2552</v>
          </cell>
          <cell r="BH2093">
            <v>2552</v>
          </cell>
          <cell r="BI2093">
            <v>2552</v>
          </cell>
          <cell r="BJ2093">
            <v>2552</v>
          </cell>
          <cell r="BK2093">
            <v>2552</v>
          </cell>
          <cell r="BL2093">
            <v>2552</v>
          </cell>
          <cell r="BM2093">
            <v>2552</v>
          </cell>
          <cell r="BN2093">
            <v>2553</v>
          </cell>
          <cell r="BO2093">
            <v>2554</v>
          </cell>
          <cell r="BP2093">
            <v>2555</v>
          </cell>
          <cell r="BQ2093">
            <v>2556</v>
          </cell>
          <cell r="BR2093">
            <v>2557</v>
          </cell>
          <cell r="BS2093">
            <v>2558</v>
          </cell>
          <cell r="BT2093">
            <v>2559</v>
          </cell>
          <cell r="BU2093">
            <v>2560</v>
          </cell>
          <cell r="BV2093">
            <v>2561</v>
          </cell>
        </row>
        <row r="2094">
          <cell r="A2094" t="str">
            <v>Volvo GPA</v>
          </cell>
          <cell r="B2094" t="str">
            <v>ARM</v>
          </cell>
          <cell r="D2094">
            <v>0</v>
          </cell>
          <cell r="Z2094">
            <v>-69</v>
          </cell>
          <cell r="AA2094">
            <v>-309</v>
          </cell>
          <cell r="AB2094">
            <v>-309</v>
          </cell>
          <cell r="AC2094">
            <v>-309</v>
          </cell>
          <cell r="AD2094">
            <v>-309</v>
          </cell>
          <cell r="AE2094">
            <v>-309</v>
          </cell>
          <cell r="AF2094">
            <v>-309</v>
          </cell>
          <cell r="AG2094">
            <v>-309</v>
          </cell>
          <cell r="AH2094">
            <v>-309</v>
          </cell>
          <cell r="AI2094">
            <v>-309</v>
          </cell>
          <cell r="AJ2094">
            <v>-349</v>
          </cell>
          <cell r="AK2094">
            <v>-433</v>
          </cell>
          <cell r="AL2094">
            <v>-435</v>
          </cell>
          <cell r="AM2094">
            <v>-549</v>
          </cell>
          <cell r="AN2094">
            <v>-689</v>
          </cell>
          <cell r="AO2094">
            <v>-857</v>
          </cell>
          <cell r="AP2094">
            <v>-1166</v>
          </cell>
          <cell r="AQ2094">
            <v>-1317</v>
          </cell>
          <cell r="AR2094">
            <v>-1567</v>
          </cell>
          <cell r="AS2094">
            <v>-1946</v>
          </cell>
          <cell r="AT2094">
            <v>-2337</v>
          </cell>
          <cell r="AU2094">
            <v>-2716</v>
          </cell>
          <cell r="AV2094">
            <v>-2337</v>
          </cell>
          <cell r="AW2094">
            <v>-2759</v>
          </cell>
          <cell r="AX2094">
            <v>-2337</v>
          </cell>
          <cell r="AY2094">
            <v>-2802</v>
          </cell>
          <cell r="AZ2094">
            <v>-3276</v>
          </cell>
          <cell r="BA2094">
            <v>-3950</v>
          </cell>
          <cell r="BB2094">
            <v>-9200</v>
          </cell>
          <cell r="BC2094">
            <v>-3950</v>
          </cell>
          <cell r="BD2094">
            <v>-9200</v>
          </cell>
          <cell r="BE2094">
            <v>-3950</v>
          </cell>
          <cell r="BF2094">
            <v>-9200</v>
          </cell>
          <cell r="BG2094">
            <v>-12142</v>
          </cell>
          <cell r="BH2094">
            <v>-9200</v>
          </cell>
          <cell r="BI2094">
            <v>-12142</v>
          </cell>
          <cell r="BJ2094">
            <v>-9200</v>
          </cell>
          <cell r="BK2094">
            <v>-24431</v>
          </cell>
          <cell r="BL2094">
            <v>-9200</v>
          </cell>
          <cell r="BM2094">
            <v>-24431</v>
          </cell>
          <cell r="BN2094">
            <v>-9200</v>
          </cell>
          <cell r="BO2094">
            <v>-35398</v>
          </cell>
          <cell r="BP2094">
            <v>-9200</v>
          </cell>
          <cell r="BQ2094">
            <v>-35398</v>
          </cell>
          <cell r="BR2094">
            <v>-9200</v>
          </cell>
          <cell r="BS2094">
            <v>-35398</v>
          </cell>
          <cell r="BT2094">
            <v>-15530</v>
          </cell>
          <cell r="BU2094">
            <v>-35398</v>
          </cell>
          <cell r="BV2094">
            <v>-15530</v>
          </cell>
        </row>
        <row r="2095">
          <cell r="A2095" t="str">
            <v>Volvo GPA</v>
          </cell>
          <cell r="B2095" t="str">
            <v>ARM</v>
          </cell>
          <cell r="D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  <cell r="BK2095">
            <v>0</v>
          </cell>
          <cell r="BL2095">
            <v>0</v>
          </cell>
          <cell r="BM2095">
            <v>0</v>
          </cell>
          <cell r="BN2095">
            <v>0</v>
          </cell>
          <cell r="BO2095">
            <v>0</v>
          </cell>
          <cell r="BP2095">
            <v>0</v>
          </cell>
          <cell r="BQ2095">
            <v>0</v>
          </cell>
          <cell r="BR2095">
            <v>0</v>
          </cell>
          <cell r="BS2095">
            <v>0</v>
          </cell>
          <cell r="BT2095">
            <v>0</v>
          </cell>
          <cell r="BU2095">
            <v>0</v>
          </cell>
          <cell r="BV2095">
            <v>0</v>
          </cell>
        </row>
        <row r="2096">
          <cell r="A2096" t="str">
            <v>Volvo GPA</v>
          </cell>
          <cell r="B2096" t="str">
            <v>ARM</v>
          </cell>
          <cell r="D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  <cell r="BK2096">
            <v>0</v>
          </cell>
          <cell r="BL2096">
            <v>0</v>
          </cell>
          <cell r="BM2096">
            <v>0</v>
          </cell>
          <cell r="BN2096">
            <v>0</v>
          </cell>
          <cell r="BO2096">
            <v>0</v>
          </cell>
          <cell r="BP2096">
            <v>0</v>
          </cell>
          <cell r="BQ2096">
            <v>0</v>
          </cell>
          <cell r="BR2096">
            <v>0</v>
          </cell>
          <cell r="BS2096">
            <v>0</v>
          </cell>
          <cell r="BT2096">
            <v>0</v>
          </cell>
          <cell r="BU2096">
            <v>0</v>
          </cell>
          <cell r="BV2096">
            <v>0</v>
          </cell>
        </row>
        <row r="2097">
          <cell r="A2097" t="str">
            <v>Volvo GPA</v>
          </cell>
          <cell r="B2097" t="str">
            <v>ARM</v>
          </cell>
          <cell r="D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  <cell r="BK2097">
            <v>0</v>
          </cell>
          <cell r="BL2097">
            <v>0</v>
          </cell>
          <cell r="BM2097">
            <v>0</v>
          </cell>
          <cell r="BN2097">
            <v>0</v>
          </cell>
          <cell r="BO2097">
            <v>0</v>
          </cell>
          <cell r="BP2097">
            <v>0</v>
          </cell>
          <cell r="BQ2097">
            <v>0</v>
          </cell>
          <cell r="BR2097">
            <v>0</v>
          </cell>
          <cell r="BS2097">
            <v>0</v>
          </cell>
          <cell r="BT2097">
            <v>0</v>
          </cell>
          <cell r="BU2097">
            <v>0</v>
          </cell>
          <cell r="BV2097">
            <v>0</v>
          </cell>
        </row>
        <row r="2098">
          <cell r="A2098" t="str">
            <v>Volvo GPA</v>
          </cell>
          <cell r="B2098" t="str">
            <v>ARM</v>
          </cell>
          <cell r="D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  <cell r="BK2098">
            <v>0</v>
          </cell>
          <cell r="BL2098">
            <v>0</v>
          </cell>
          <cell r="BM2098">
            <v>0</v>
          </cell>
          <cell r="BN2098">
            <v>0</v>
          </cell>
          <cell r="BO2098">
            <v>0</v>
          </cell>
          <cell r="BP2098">
            <v>0</v>
          </cell>
          <cell r="BQ2098">
            <v>0</v>
          </cell>
          <cell r="BR2098">
            <v>0</v>
          </cell>
          <cell r="BS2098">
            <v>0</v>
          </cell>
          <cell r="BT2098">
            <v>0</v>
          </cell>
          <cell r="BU2098">
            <v>0</v>
          </cell>
          <cell r="BV2098">
            <v>0</v>
          </cell>
        </row>
        <row r="2099">
          <cell r="A2099" t="str">
            <v>Volvo GPA</v>
          </cell>
          <cell r="B2099" t="str">
            <v>ARM</v>
          </cell>
          <cell r="D2099" t="str">
            <v>STOCK</v>
          </cell>
          <cell r="Z2099">
            <v>0</v>
          </cell>
          <cell r="AA2099">
            <v>-240</v>
          </cell>
          <cell r="AB2099">
            <v>-240</v>
          </cell>
          <cell r="AC2099">
            <v>-240</v>
          </cell>
          <cell r="AD2099">
            <v>-240</v>
          </cell>
          <cell r="AE2099">
            <v>-240</v>
          </cell>
          <cell r="AF2099">
            <v>-240</v>
          </cell>
          <cell r="AG2099">
            <v>-240</v>
          </cell>
          <cell r="AH2099">
            <v>-240</v>
          </cell>
          <cell r="AI2099">
            <v>-240</v>
          </cell>
          <cell r="AJ2099">
            <v>-280</v>
          </cell>
          <cell r="AK2099">
            <v>-76.945590994371457</v>
          </cell>
          <cell r="AL2099">
            <v>208.10881801125709</v>
          </cell>
          <cell r="AM2099">
            <v>309.39962476547851</v>
          </cell>
          <cell r="AN2099">
            <v>342.45403377110705</v>
          </cell>
          <cell r="AO2099">
            <v>287.73733583489695</v>
          </cell>
          <cell r="AP2099">
            <v>64.020637898686829</v>
          </cell>
          <cell r="AQ2099">
            <v>110.58724202626655</v>
          </cell>
          <cell r="AR2099">
            <v>216.1538461538463</v>
          </cell>
          <cell r="AS2099">
            <v>93.720450281426054</v>
          </cell>
          <cell r="AT2099">
            <v>-169.71294559099414</v>
          </cell>
          <cell r="AU2099">
            <v>-95.435272045027887</v>
          </cell>
          <cell r="AV2099">
            <v>748.84240150093842</v>
          </cell>
          <cell r="AW2099">
            <v>1972.2589118198878</v>
          </cell>
          <cell r="AX2099">
            <v>3238.6754221388373</v>
          </cell>
          <cell r="AY2099">
            <v>4462.0919324577862</v>
          </cell>
          <cell r="AZ2099">
            <v>3523.0919324577862</v>
          </cell>
          <cell r="BA2099">
            <v>2375.0919324577862</v>
          </cell>
          <cell r="BB2099">
            <v>-1860.3527204502811</v>
          </cell>
          <cell r="BC2099">
            <v>-171.79737335834852</v>
          </cell>
          <cell r="BD2099">
            <v>1516.7579737335841</v>
          </cell>
          <cell r="BE2099">
            <v>3205.3133208255167</v>
          </cell>
          <cell r="BF2099">
            <v>4893.8686679174498</v>
          </cell>
          <cell r="BG2099">
            <v>-1609.5759849906176</v>
          </cell>
          <cell r="BH2099">
            <v>78.979362101315019</v>
          </cell>
          <cell r="BI2099">
            <v>1767.5347091932476</v>
          </cell>
          <cell r="BJ2099">
            <v>3456.0900562851803</v>
          </cell>
          <cell r="BK2099">
            <v>-6806.643527204501</v>
          </cell>
          <cell r="BL2099">
            <v>-26732.823639774859</v>
          </cell>
          <cell r="BM2099">
            <v>-25821.003752345216</v>
          </cell>
          <cell r="BN2099">
            <v>-24909.183864915572</v>
          </cell>
          <cell r="BO2099">
            <v>-34964.363977485926</v>
          </cell>
          <cell r="BP2099">
            <v>-34052.544090056283</v>
          </cell>
          <cell r="BQ2099">
            <v>-33140.724202626639</v>
          </cell>
          <cell r="BR2099">
            <v>-32228.904315196996</v>
          </cell>
          <cell r="BS2099">
            <v>-31317.084427767353</v>
          </cell>
          <cell r="BT2099">
            <v>-36735.26454033771</v>
          </cell>
          <cell r="BU2099">
            <v>-35823.444652908067</v>
          </cell>
          <cell r="BV2099">
            <v>-34911.624765478424</v>
          </cell>
        </row>
        <row r="2100">
          <cell r="A2100" t="str">
            <v>Blank</v>
          </cell>
          <cell r="B2100" t="str">
            <v>Blank</v>
          </cell>
          <cell r="D2100" t="str">
            <v>Blank</v>
          </cell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</row>
        <row r="2101">
          <cell r="A2101" t="str">
            <v>Volvo GPA</v>
          </cell>
          <cell r="B2101" t="str">
            <v>ARM</v>
          </cell>
          <cell r="D2101" t="str">
            <v>Work days</v>
          </cell>
          <cell r="Z2101"/>
          <cell r="AA2101"/>
          <cell r="AB2101"/>
          <cell r="AC2101"/>
          <cell r="AD2101">
            <v>5</v>
          </cell>
          <cell r="AE2101">
            <v>5</v>
          </cell>
          <cell r="AF2101">
            <v>5</v>
          </cell>
          <cell r="AG2101">
            <v>5</v>
          </cell>
          <cell r="AH2101">
            <v>5</v>
          </cell>
          <cell r="AI2101">
            <v>5</v>
          </cell>
          <cell r="AJ2101">
            <v>5</v>
          </cell>
          <cell r="AK2101">
            <v>4</v>
          </cell>
          <cell r="AL2101">
            <v>4</v>
          </cell>
          <cell r="AM2101">
            <v>5</v>
          </cell>
          <cell r="AN2101">
            <v>4</v>
          </cell>
          <cell r="AO2101">
            <v>5</v>
          </cell>
          <cell r="AP2101">
            <v>5</v>
          </cell>
          <cell r="AQ2101">
            <v>5</v>
          </cell>
          <cell r="AR2101">
            <v>5</v>
          </cell>
          <cell r="AS2101">
            <v>5</v>
          </cell>
          <cell r="AT2101">
            <v>5</v>
          </cell>
          <cell r="AU2101">
            <v>5</v>
          </cell>
          <cell r="AV2101">
            <v>5</v>
          </cell>
          <cell r="AW2101">
            <v>5</v>
          </cell>
          <cell r="AX2101">
            <v>5</v>
          </cell>
          <cell r="AY2101">
            <v>5</v>
          </cell>
          <cell r="AZ2101">
            <v>5</v>
          </cell>
          <cell r="BA2101">
            <v>0</v>
          </cell>
          <cell r="BB2101">
            <v>0</v>
          </cell>
          <cell r="BC2101">
            <v>5</v>
          </cell>
          <cell r="BD2101">
            <v>5</v>
          </cell>
          <cell r="BE2101">
            <v>5</v>
          </cell>
          <cell r="BF2101">
            <v>5</v>
          </cell>
          <cell r="BG2101">
            <v>5</v>
          </cell>
          <cell r="BH2101">
            <v>5</v>
          </cell>
          <cell r="BI2101">
            <v>5</v>
          </cell>
          <cell r="BJ2101">
            <v>5</v>
          </cell>
          <cell r="BK2101">
            <v>5</v>
          </cell>
          <cell r="BL2101">
            <v>3</v>
          </cell>
          <cell r="BM2101">
            <v>3</v>
          </cell>
          <cell r="BN2101">
            <v>3</v>
          </cell>
          <cell r="BO2101">
            <v>3</v>
          </cell>
          <cell r="BP2101">
            <v>3</v>
          </cell>
          <cell r="BQ2101">
            <v>3</v>
          </cell>
          <cell r="BR2101">
            <v>3</v>
          </cell>
          <cell r="BS2101">
            <v>3</v>
          </cell>
          <cell r="BT2101">
            <v>3</v>
          </cell>
          <cell r="BU2101">
            <v>3</v>
          </cell>
          <cell r="BV2101">
            <v>3</v>
          </cell>
        </row>
        <row r="2102">
          <cell r="A2102" t="str">
            <v>Volvo GPA</v>
          </cell>
          <cell r="B2102" t="str">
            <v>ARM</v>
          </cell>
          <cell r="D2102" t="str">
            <v>SHIFT A HC - operators</v>
          </cell>
          <cell r="Z2102"/>
          <cell r="AA2102"/>
          <cell r="AB2102"/>
          <cell r="AC2102"/>
          <cell r="AD2102">
            <v>2</v>
          </cell>
          <cell r="AE2102">
            <v>2</v>
          </cell>
          <cell r="AF2102">
            <v>2</v>
          </cell>
          <cell r="AG2102">
            <v>2</v>
          </cell>
          <cell r="AH2102">
            <v>2</v>
          </cell>
          <cell r="AI2102">
            <v>2</v>
          </cell>
          <cell r="AJ2102">
            <v>2</v>
          </cell>
          <cell r="AK2102">
            <v>2</v>
          </cell>
          <cell r="AL2102">
            <v>2</v>
          </cell>
          <cell r="AM2102">
            <v>2</v>
          </cell>
          <cell r="AN2102">
            <v>2</v>
          </cell>
          <cell r="AO2102">
            <v>2</v>
          </cell>
          <cell r="AP2102">
            <v>2</v>
          </cell>
          <cell r="AQ2102">
            <v>2</v>
          </cell>
          <cell r="AR2102">
            <v>2</v>
          </cell>
          <cell r="AS2102">
            <v>2</v>
          </cell>
          <cell r="AT2102">
            <v>2</v>
          </cell>
          <cell r="AU2102">
            <v>3</v>
          </cell>
          <cell r="AV2102">
            <v>3</v>
          </cell>
          <cell r="AW2102">
            <v>3</v>
          </cell>
          <cell r="AX2102">
            <v>3</v>
          </cell>
          <cell r="AY2102">
            <v>4</v>
          </cell>
          <cell r="AZ2102">
            <v>4</v>
          </cell>
          <cell r="BA2102">
            <v>4</v>
          </cell>
          <cell r="BB2102">
            <v>4</v>
          </cell>
          <cell r="BC2102">
            <v>5</v>
          </cell>
          <cell r="BD2102">
            <v>5</v>
          </cell>
          <cell r="BE2102">
            <v>5</v>
          </cell>
          <cell r="BF2102">
            <v>5</v>
          </cell>
          <cell r="BG2102">
            <v>5</v>
          </cell>
          <cell r="BH2102">
            <v>5</v>
          </cell>
          <cell r="BI2102">
            <v>5</v>
          </cell>
          <cell r="BJ2102">
            <v>5</v>
          </cell>
          <cell r="BK2102">
            <v>3</v>
          </cell>
          <cell r="BL2102">
            <v>3</v>
          </cell>
          <cell r="BM2102">
            <v>3</v>
          </cell>
          <cell r="BN2102">
            <v>3</v>
          </cell>
          <cell r="BO2102">
            <v>3</v>
          </cell>
          <cell r="BP2102">
            <v>3</v>
          </cell>
          <cell r="BQ2102">
            <v>3</v>
          </cell>
          <cell r="BR2102">
            <v>3</v>
          </cell>
          <cell r="BS2102">
            <v>3</v>
          </cell>
          <cell r="BT2102">
            <v>3</v>
          </cell>
          <cell r="BU2102">
            <v>3</v>
          </cell>
          <cell r="BV2102">
            <v>3</v>
          </cell>
        </row>
        <row r="2103">
          <cell r="A2103" t="str">
            <v>Volvo GPA</v>
          </cell>
          <cell r="B2103" t="str">
            <v>ARM</v>
          </cell>
          <cell r="D2103" t="str">
            <v>SHIFT B HC  - operators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  <cell r="BK2103">
            <v>0</v>
          </cell>
          <cell r="BL2103">
            <v>0</v>
          </cell>
          <cell r="BM2103">
            <v>0</v>
          </cell>
          <cell r="BN2103">
            <v>0</v>
          </cell>
          <cell r="BO2103">
            <v>0</v>
          </cell>
          <cell r="BP2103">
            <v>0</v>
          </cell>
          <cell r="BQ2103">
            <v>0</v>
          </cell>
          <cell r="BR2103">
            <v>0</v>
          </cell>
          <cell r="BS2103">
            <v>0</v>
          </cell>
          <cell r="BT2103">
            <v>0</v>
          </cell>
          <cell r="BU2103">
            <v>0</v>
          </cell>
          <cell r="BV2103">
            <v>0</v>
          </cell>
        </row>
        <row r="2104">
          <cell r="A2104" t="str">
            <v>Volvo GPA</v>
          </cell>
          <cell r="B2104" t="str">
            <v>ARM</v>
          </cell>
          <cell r="D2104" t="str">
            <v>SHIFT C HC  - operators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  <cell r="BK2104">
            <v>0</v>
          </cell>
          <cell r="BL2104">
            <v>0</v>
          </cell>
          <cell r="BM2104">
            <v>0</v>
          </cell>
          <cell r="BN2104">
            <v>0</v>
          </cell>
          <cell r="BO2104">
            <v>0</v>
          </cell>
          <cell r="BP2104">
            <v>0</v>
          </cell>
          <cell r="BQ2104">
            <v>0</v>
          </cell>
          <cell r="BR2104">
            <v>0</v>
          </cell>
          <cell r="BS2104">
            <v>0</v>
          </cell>
          <cell r="BT2104">
            <v>0</v>
          </cell>
          <cell r="BU2104">
            <v>0</v>
          </cell>
          <cell r="BV2104">
            <v>0</v>
          </cell>
        </row>
        <row r="2105">
          <cell r="A2105" t="str">
            <v>Volvo GPA</v>
          </cell>
          <cell r="B2105" t="str">
            <v>ARM</v>
          </cell>
          <cell r="D2105" t="str">
            <v>Total HC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2</v>
          </cell>
          <cell r="AE2105">
            <v>2</v>
          </cell>
          <cell r="AF2105">
            <v>2</v>
          </cell>
          <cell r="AG2105">
            <v>2</v>
          </cell>
          <cell r="AH2105">
            <v>2</v>
          </cell>
          <cell r="AI2105">
            <v>2</v>
          </cell>
          <cell r="AJ2105">
            <v>2</v>
          </cell>
          <cell r="AK2105">
            <v>2</v>
          </cell>
          <cell r="AL2105">
            <v>2</v>
          </cell>
          <cell r="AM2105">
            <v>2</v>
          </cell>
          <cell r="AN2105">
            <v>2</v>
          </cell>
          <cell r="AO2105">
            <v>2</v>
          </cell>
          <cell r="AP2105">
            <v>2</v>
          </cell>
          <cell r="AQ2105">
            <v>2</v>
          </cell>
          <cell r="AR2105">
            <v>2</v>
          </cell>
          <cell r="AS2105">
            <v>2</v>
          </cell>
          <cell r="AT2105">
            <v>2</v>
          </cell>
          <cell r="AU2105">
            <v>3</v>
          </cell>
          <cell r="AV2105">
            <v>3</v>
          </cell>
          <cell r="AW2105">
            <v>3</v>
          </cell>
          <cell r="AX2105">
            <v>3</v>
          </cell>
          <cell r="AY2105">
            <v>4</v>
          </cell>
          <cell r="AZ2105">
            <v>4</v>
          </cell>
          <cell r="BA2105">
            <v>4</v>
          </cell>
          <cell r="BB2105">
            <v>4</v>
          </cell>
          <cell r="BC2105">
            <v>5</v>
          </cell>
          <cell r="BD2105">
            <v>5</v>
          </cell>
          <cell r="BE2105">
            <v>5</v>
          </cell>
          <cell r="BF2105">
            <v>5</v>
          </cell>
          <cell r="BG2105">
            <v>5</v>
          </cell>
          <cell r="BH2105">
            <v>5</v>
          </cell>
          <cell r="BI2105">
            <v>5</v>
          </cell>
          <cell r="BJ2105">
            <v>5</v>
          </cell>
          <cell r="BK2105">
            <v>3</v>
          </cell>
          <cell r="BL2105">
            <v>3</v>
          </cell>
          <cell r="BM2105">
            <v>3</v>
          </cell>
          <cell r="BN2105">
            <v>3</v>
          </cell>
          <cell r="BO2105">
            <v>3</v>
          </cell>
          <cell r="BP2105">
            <v>3</v>
          </cell>
          <cell r="BQ2105">
            <v>3</v>
          </cell>
          <cell r="BR2105">
            <v>3</v>
          </cell>
          <cell r="BS2105">
            <v>3</v>
          </cell>
          <cell r="BT2105">
            <v>3</v>
          </cell>
          <cell r="BU2105">
            <v>3</v>
          </cell>
          <cell r="BV2105">
            <v>3</v>
          </cell>
        </row>
        <row r="2106">
          <cell r="A2106" t="str">
            <v>Volvo GPA</v>
          </cell>
          <cell r="B2106" t="str">
            <v>ARM</v>
          </cell>
          <cell r="D2106" t="str">
            <v>SHIFT A HC  - efficiency</v>
          </cell>
          <cell r="Z2106"/>
          <cell r="AA2106"/>
          <cell r="AB2106"/>
          <cell r="AC2106"/>
          <cell r="AD2106">
            <v>0</v>
          </cell>
          <cell r="AE2106">
            <v>0</v>
          </cell>
          <cell r="AF2106">
            <v>0.5</v>
          </cell>
          <cell r="AG2106">
            <v>0.55000000000000004</v>
          </cell>
          <cell r="AH2106">
            <v>0.60000000000000009</v>
          </cell>
          <cell r="AI2106">
            <v>0.65000000000000013</v>
          </cell>
          <cell r="AJ2106">
            <v>0.70000000000000018</v>
          </cell>
          <cell r="AK2106">
            <v>0.75000000000000022</v>
          </cell>
          <cell r="AL2106">
            <v>0.80000000000000027</v>
          </cell>
          <cell r="AM2106">
            <v>0.85000000000000031</v>
          </cell>
          <cell r="AN2106">
            <v>0.90000000000000036</v>
          </cell>
          <cell r="AO2106">
            <v>0.9500000000000004</v>
          </cell>
          <cell r="AP2106">
            <v>1.0000000000000004</v>
          </cell>
          <cell r="AQ2106">
            <v>1</v>
          </cell>
          <cell r="AR2106">
            <v>1</v>
          </cell>
          <cell r="AS2106">
            <v>1</v>
          </cell>
          <cell r="AT2106">
            <v>1</v>
          </cell>
          <cell r="AU2106">
            <v>1</v>
          </cell>
          <cell r="AV2106">
            <v>1</v>
          </cell>
          <cell r="AW2106">
            <v>1</v>
          </cell>
          <cell r="AX2106">
            <v>1</v>
          </cell>
          <cell r="AY2106">
            <v>1</v>
          </cell>
          <cell r="AZ2106">
            <v>1</v>
          </cell>
          <cell r="BA2106">
            <v>1</v>
          </cell>
          <cell r="BB2106">
            <v>1</v>
          </cell>
          <cell r="BC2106">
            <v>1</v>
          </cell>
          <cell r="BD2106">
            <v>1</v>
          </cell>
          <cell r="BE2106">
            <v>1</v>
          </cell>
          <cell r="BF2106">
            <v>1</v>
          </cell>
          <cell r="BG2106">
            <v>1</v>
          </cell>
          <cell r="BH2106">
            <v>1</v>
          </cell>
          <cell r="BI2106">
            <v>1</v>
          </cell>
          <cell r="BJ2106">
            <v>1</v>
          </cell>
          <cell r="BK2106">
            <v>1.2</v>
          </cell>
          <cell r="BL2106">
            <v>1.2</v>
          </cell>
          <cell r="BM2106">
            <v>1.2</v>
          </cell>
          <cell r="BN2106">
            <v>1.2</v>
          </cell>
          <cell r="BO2106">
            <v>1.2</v>
          </cell>
          <cell r="BP2106">
            <v>1.2</v>
          </cell>
          <cell r="BQ2106">
            <v>1.2</v>
          </cell>
          <cell r="BR2106">
            <v>1.2</v>
          </cell>
          <cell r="BS2106">
            <v>1.2</v>
          </cell>
          <cell r="BT2106">
            <v>1.2</v>
          </cell>
          <cell r="BU2106">
            <v>1.2</v>
          </cell>
          <cell r="BV2106">
            <v>1.2</v>
          </cell>
        </row>
        <row r="2107">
          <cell r="A2107" t="str">
            <v>Volvo GPA</v>
          </cell>
          <cell r="B2107" t="str">
            <v>ARM</v>
          </cell>
          <cell r="D2107" t="str">
            <v>SHIFT B HC  - efficiency</v>
          </cell>
          <cell r="Z2107"/>
          <cell r="AA2107"/>
          <cell r="AB2107"/>
          <cell r="AC2107"/>
          <cell r="AD2107">
            <v>1</v>
          </cell>
          <cell r="AE2107">
            <v>1</v>
          </cell>
          <cell r="AF2107">
            <v>1</v>
          </cell>
          <cell r="AG2107">
            <v>1</v>
          </cell>
          <cell r="AH2107">
            <v>1</v>
          </cell>
          <cell r="AI2107">
            <v>1</v>
          </cell>
          <cell r="AJ2107">
            <v>1</v>
          </cell>
          <cell r="AK2107">
            <v>1</v>
          </cell>
          <cell r="AL2107">
            <v>1</v>
          </cell>
          <cell r="AM2107">
            <v>1</v>
          </cell>
          <cell r="AN2107">
            <v>1</v>
          </cell>
          <cell r="AO2107">
            <v>1</v>
          </cell>
          <cell r="AP2107">
            <v>1</v>
          </cell>
          <cell r="AQ2107">
            <v>1</v>
          </cell>
          <cell r="AR2107">
            <v>1</v>
          </cell>
          <cell r="AS2107">
            <v>1</v>
          </cell>
          <cell r="AT2107">
            <v>1</v>
          </cell>
          <cell r="AU2107">
            <v>1</v>
          </cell>
          <cell r="AV2107">
            <v>1</v>
          </cell>
          <cell r="AW2107">
            <v>1</v>
          </cell>
          <cell r="AX2107">
            <v>1</v>
          </cell>
          <cell r="AY2107">
            <v>1</v>
          </cell>
          <cell r="AZ2107">
            <v>1</v>
          </cell>
          <cell r="BA2107">
            <v>1</v>
          </cell>
          <cell r="BB2107">
            <v>1</v>
          </cell>
          <cell r="BC2107">
            <v>1</v>
          </cell>
          <cell r="BD2107">
            <v>1</v>
          </cell>
          <cell r="BE2107">
            <v>1</v>
          </cell>
          <cell r="BF2107">
            <v>1</v>
          </cell>
          <cell r="BG2107">
            <v>1</v>
          </cell>
          <cell r="BH2107">
            <v>1</v>
          </cell>
          <cell r="BI2107">
            <v>1</v>
          </cell>
          <cell r="BJ2107">
            <v>1</v>
          </cell>
          <cell r="BK2107">
            <v>1</v>
          </cell>
          <cell r="BL2107">
            <v>1</v>
          </cell>
          <cell r="BM2107">
            <v>1</v>
          </cell>
          <cell r="BN2107">
            <v>1</v>
          </cell>
          <cell r="BO2107">
            <v>1</v>
          </cell>
          <cell r="BP2107">
            <v>1</v>
          </cell>
          <cell r="BQ2107">
            <v>1</v>
          </cell>
          <cell r="BR2107">
            <v>1</v>
          </cell>
          <cell r="BS2107">
            <v>1</v>
          </cell>
          <cell r="BT2107">
            <v>1</v>
          </cell>
          <cell r="BU2107">
            <v>1</v>
          </cell>
          <cell r="BV2107">
            <v>1</v>
          </cell>
        </row>
        <row r="2108">
          <cell r="A2108" t="str">
            <v>Volvo GPA</v>
          </cell>
          <cell r="B2108" t="str">
            <v>ARM</v>
          </cell>
          <cell r="D2108" t="str">
            <v>SHIFT C HC  - efficiency</v>
          </cell>
          <cell r="Z2108"/>
          <cell r="AA2108"/>
          <cell r="AB2108"/>
          <cell r="AC2108"/>
          <cell r="AD2108">
            <v>1</v>
          </cell>
          <cell r="AE2108">
            <v>1</v>
          </cell>
          <cell r="AF2108">
            <v>1</v>
          </cell>
          <cell r="AG2108">
            <v>1</v>
          </cell>
          <cell r="AH2108">
            <v>1</v>
          </cell>
          <cell r="AI2108">
            <v>1</v>
          </cell>
          <cell r="AJ2108">
            <v>1</v>
          </cell>
          <cell r="AK2108">
            <v>1</v>
          </cell>
          <cell r="AL2108">
            <v>1</v>
          </cell>
          <cell r="AM2108">
            <v>1</v>
          </cell>
          <cell r="AN2108">
            <v>1</v>
          </cell>
          <cell r="AO2108">
            <v>1</v>
          </cell>
          <cell r="AP2108">
            <v>1</v>
          </cell>
          <cell r="AQ2108">
            <v>1</v>
          </cell>
          <cell r="AR2108">
            <v>1</v>
          </cell>
          <cell r="AS2108">
            <v>1</v>
          </cell>
          <cell r="AT2108">
            <v>1</v>
          </cell>
          <cell r="AU2108">
            <v>1</v>
          </cell>
          <cell r="AV2108">
            <v>1</v>
          </cell>
          <cell r="AW2108">
            <v>1</v>
          </cell>
          <cell r="AX2108">
            <v>1</v>
          </cell>
          <cell r="AY2108">
            <v>1</v>
          </cell>
          <cell r="AZ2108">
            <v>1</v>
          </cell>
          <cell r="BA2108">
            <v>1</v>
          </cell>
          <cell r="BB2108">
            <v>1</v>
          </cell>
          <cell r="BC2108">
            <v>1</v>
          </cell>
          <cell r="BD2108">
            <v>1</v>
          </cell>
          <cell r="BE2108">
            <v>1</v>
          </cell>
          <cell r="BF2108">
            <v>1</v>
          </cell>
          <cell r="BG2108">
            <v>1</v>
          </cell>
          <cell r="BH2108">
            <v>1</v>
          </cell>
          <cell r="BI2108">
            <v>1</v>
          </cell>
          <cell r="BJ2108">
            <v>1</v>
          </cell>
          <cell r="BK2108">
            <v>1</v>
          </cell>
          <cell r="BL2108">
            <v>1</v>
          </cell>
          <cell r="BM2108">
            <v>1</v>
          </cell>
          <cell r="BN2108">
            <v>1</v>
          </cell>
          <cell r="BO2108">
            <v>1</v>
          </cell>
          <cell r="BP2108">
            <v>1</v>
          </cell>
          <cell r="BQ2108">
            <v>1</v>
          </cell>
          <cell r="BR2108">
            <v>1</v>
          </cell>
          <cell r="BS2108">
            <v>1</v>
          </cell>
          <cell r="BT2108">
            <v>1</v>
          </cell>
          <cell r="BU2108">
            <v>1</v>
          </cell>
          <cell r="BV2108">
            <v>1</v>
          </cell>
        </row>
        <row r="2109">
          <cell r="A2109" t="str">
            <v>Volvo GPA</v>
          </cell>
          <cell r="B2109" t="str">
            <v>ARM</v>
          </cell>
          <cell r="D2109" t="str">
            <v>Total efficiency</v>
          </cell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</row>
        <row r="2110">
          <cell r="A2110" t="str">
            <v>Volvo GPA</v>
          </cell>
          <cell r="B2110" t="str">
            <v>ARM</v>
          </cell>
          <cell r="D2110" t="str">
            <v>SHIFT A - output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78.260869565217391</v>
          </cell>
          <cell r="AG2110">
            <v>86.08695652173914</v>
          </cell>
          <cell r="AH2110">
            <v>93.913043478260889</v>
          </cell>
          <cell r="AI2110">
            <v>101.73913043478262</v>
          </cell>
          <cell r="AJ2110">
            <v>109.56521739130437</v>
          </cell>
          <cell r="AK2110">
            <v>117.39130434782612</v>
          </cell>
          <cell r="AL2110">
            <v>125.21739130434787</v>
          </cell>
          <cell r="AM2110">
            <v>133.04347826086962</v>
          </cell>
          <cell r="AN2110">
            <v>140.86956521739137</v>
          </cell>
          <cell r="AO2110">
            <v>148.69565217391312</v>
          </cell>
          <cell r="AP2110">
            <v>156.52173913043484</v>
          </cell>
          <cell r="AQ2110">
            <v>156.52173913043478</v>
          </cell>
          <cell r="AR2110">
            <v>156.52173913043478</v>
          </cell>
          <cell r="AS2110">
            <v>156.52173913043478</v>
          </cell>
          <cell r="AT2110">
            <v>156.52173913043478</v>
          </cell>
          <cell r="AU2110">
            <v>234.78260869565219</v>
          </cell>
          <cell r="AV2110">
            <v>234.78260869565219</v>
          </cell>
          <cell r="AW2110">
            <v>234.78260869565219</v>
          </cell>
          <cell r="AX2110">
            <v>234.78260869565219</v>
          </cell>
          <cell r="AY2110">
            <v>313.04347826086956</v>
          </cell>
          <cell r="AZ2110">
            <v>313.04347826086956</v>
          </cell>
          <cell r="BA2110">
            <v>313.04347826086956</v>
          </cell>
          <cell r="BB2110">
            <v>313.04347826086956</v>
          </cell>
          <cell r="BC2110">
            <v>391.30434782608694</v>
          </cell>
          <cell r="BD2110">
            <v>391.30434782608694</v>
          </cell>
          <cell r="BE2110">
            <v>391.30434782608694</v>
          </cell>
          <cell r="BF2110">
            <v>391.30434782608694</v>
          </cell>
          <cell r="BG2110">
            <v>391.30434782608694</v>
          </cell>
          <cell r="BH2110">
            <v>391.30434782608694</v>
          </cell>
          <cell r="BI2110">
            <v>391.30434782608694</v>
          </cell>
          <cell r="BJ2110">
            <v>391.30434782608694</v>
          </cell>
          <cell r="BK2110">
            <v>281.73913043478262</v>
          </cell>
          <cell r="BL2110">
            <v>281.73913043478262</v>
          </cell>
          <cell r="BM2110">
            <v>281.73913043478262</v>
          </cell>
          <cell r="BN2110">
            <v>281.73913043478262</v>
          </cell>
          <cell r="BO2110">
            <v>281.73913043478262</v>
          </cell>
          <cell r="BP2110">
            <v>281.73913043478262</v>
          </cell>
          <cell r="BQ2110">
            <v>281.73913043478262</v>
          </cell>
          <cell r="BR2110">
            <v>281.73913043478262</v>
          </cell>
          <cell r="BS2110">
            <v>281.73913043478262</v>
          </cell>
          <cell r="BT2110">
            <v>281.73913043478262</v>
          </cell>
          <cell r="BU2110">
            <v>281.73913043478262</v>
          </cell>
          <cell r="BV2110">
            <v>281.73913043478262</v>
          </cell>
        </row>
        <row r="2111">
          <cell r="A2111" t="str">
            <v>Volvo GPA</v>
          </cell>
          <cell r="B2111" t="str">
            <v>ARM</v>
          </cell>
          <cell r="D2111" t="str">
            <v>SHIFT B  - output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  <cell r="BK2111">
            <v>0</v>
          </cell>
          <cell r="BL2111">
            <v>0</v>
          </cell>
          <cell r="BM2111">
            <v>0</v>
          </cell>
          <cell r="BN2111">
            <v>0</v>
          </cell>
          <cell r="BO2111">
            <v>0</v>
          </cell>
          <cell r="BP2111">
            <v>0</v>
          </cell>
          <cell r="BQ2111">
            <v>0</v>
          </cell>
          <cell r="BR2111">
            <v>0</v>
          </cell>
          <cell r="BS2111">
            <v>0</v>
          </cell>
          <cell r="BT2111">
            <v>0</v>
          </cell>
          <cell r="BU2111">
            <v>0</v>
          </cell>
          <cell r="BV2111">
            <v>0</v>
          </cell>
        </row>
        <row r="2112">
          <cell r="A2112" t="str">
            <v>Volvo GPA</v>
          </cell>
          <cell r="B2112" t="str">
            <v>ARM</v>
          </cell>
          <cell r="D2112" t="str">
            <v>SHIFT C  - output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  <cell r="BK2112">
            <v>0</v>
          </cell>
          <cell r="BL2112">
            <v>0</v>
          </cell>
          <cell r="BM2112">
            <v>0</v>
          </cell>
          <cell r="BN2112">
            <v>0</v>
          </cell>
          <cell r="BO2112">
            <v>0</v>
          </cell>
          <cell r="BP2112">
            <v>0</v>
          </cell>
          <cell r="BQ2112">
            <v>0</v>
          </cell>
          <cell r="BR2112">
            <v>0</v>
          </cell>
          <cell r="BS2112">
            <v>0</v>
          </cell>
          <cell r="BT2112">
            <v>0</v>
          </cell>
          <cell r="BU2112">
            <v>0</v>
          </cell>
          <cell r="BV2112">
            <v>0</v>
          </cell>
        </row>
        <row r="2113">
          <cell r="A2113" t="str">
            <v>Volvo GPA</v>
          </cell>
          <cell r="B2113" t="str">
            <v>ARM</v>
          </cell>
          <cell r="D2113" t="str">
            <v>Est. Output (Pcs day)</v>
          </cell>
          <cell r="E2113">
            <v>7.02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64.102564102564102</v>
          </cell>
          <cell r="AG2113">
            <v>70.512820512820525</v>
          </cell>
          <cell r="AH2113">
            <v>76.923076923076934</v>
          </cell>
          <cell r="AI2113">
            <v>83.333333333333357</v>
          </cell>
          <cell r="AJ2113">
            <v>89.743589743589766</v>
          </cell>
          <cell r="AK2113">
            <v>96.153846153846189</v>
          </cell>
          <cell r="AL2113">
            <v>102.5641025641026</v>
          </cell>
          <cell r="AM2113">
            <v>108.97435897435902</v>
          </cell>
          <cell r="AN2113">
            <v>115.38461538461543</v>
          </cell>
          <cell r="AO2113">
            <v>121.79487179487185</v>
          </cell>
          <cell r="AP2113">
            <v>128.20512820512826</v>
          </cell>
          <cell r="AQ2113">
            <v>128.2051282051282</v>
          </cell>
          <cell r="AR2113">
            <v>128.2051282051282</v>
          </cell>
          <cell r="AS2113">
            <v>128.2051282051282</v>
          </cell>
          <cell r="AT2113">
            <v>128.2051282051282</v>
          </cell>
          <cell r="AU2113">
            <v>192.30769230769232</v>
          </cell>
          <cell r="AV2113">
            <v>192.30769230769232</v>
          </cell>
          <cell r="AW2113">
            <v>192.30769230769232</v>
          </cell>
          <cell r="AX2113">
            <v>192.30769230769232</v>
          </cell>
          <cell r="AY2113">
            <v>256.41025641025641</v>
          </cell>
          <cell r="AZ2113">
            <v>256.41025641025641</v>
          </cell>
          <cell r="BA2113">
            <v>256.41025641025641</v>
          </cell>
          <cell r="BB2113">
            <v>256.41025641025641</v>
          </cell>
          <cell r="BC2113">
            <v>320.5128205128205</v>
          </cell>
          <cell r="BD2113">
            <v>320.5128205128205</v>
          </cell>
          <cell r="BE2113">
            <v>320.5128205128205</v>
          </cell>
          <cell r="BF2113">
            <v>320.5128205128205</v>
          </cell>
          <cell r="BG2113">
            <v>320.5128205128205</v>
          </cell>
          <cell r="BH2113">
            <v>320.5128205128205</v>
          </cell>
          <cell r="BI2113">
            <v>320.5128205128205</v>
          </cell>
          <cell r="BJ2113">
            <v>320.5128205128205</v>
          </cell>
          <cell r="BK2113">
            <v>230.76923076923077</v>
          </cell>
          <cell r="BL2113">
            <v>230.76923076923077</v>
          </cell>
          <cell r="BM2113">
            <v>230.76923076923077</v>
          </cell>
          <cell r="BN2113">
            <v>230.76923076923077</v>
          </cell>
          <cell r="BO2113">
            <v>230.76923076923077</v>
          </cell>
          <cell r="BP2113">
            <v>230.76923076923077</v>
          </cell>
          <cell r="BQ2113">
            <v>230.76923076923077</v>
          </cell>
          <cell r="BR2113">
            <v>230.76923076923077</v>
          </cell>
          <cell r="BS2113">
            <v>230.76923076923077</v>
          </cell>
          <cell r="BT2113">
            <v>230.76923076923077</v>
          </cell>
          <cell r="BU2113">
            <v>230.76923076923077</v>
          </cell>
          <cell r="BV2113">
            <v>230.76923076923077</v>
          </cell>
        </row>
        <row r="2114">
          <cell r="A2114" t="str">
            <v>Volvo GPA</v>
          </cell>
          <cell r="B2114" t="str">
            <v>ARM</v>
          </cell>
          <cell r="D2114" t="str">
            <v>Weekly Output PLAN</v>
          </cell>
          <cell r="E2114" t="str">
            <v>SEW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320.5128205128205</v>
          </cell>
          <cell r="AG2114">
            <v>352.56410256410265</v>
          </cell>
          <cell r="AH2114">
            <v>384.61538461538464</v>
          </cell>
          <cell r="AI2114">
            <v>416.6666666666668</v>
          </cell>
          <cell r="AJ2114">
            <v>448.71794871794884</v>
          </cell>
          <cell r="AK2114">
            <v>384.61538461538476</v>
          </cell>
          <cell r="AL2114">
            <v>410.25641025641039</v>
          </cell>
          <cell r="AM2114">
            <v>544.87179487179515</v>
          </cell>
          <cell r="AN2114">
            <v>461.53846153846172</v>
          </cell>
          <cell r="AO2114">
            <v>608.97435897435923</v>
          </cell>
          <cell r="AP2114">
            <v>641.02564102564133</v>
          </cell>
          <cell r="AQ2114">
            <v>641.02564102564099</v>
          </cell>
          <cell r="AR2114">
            <v>641.02564102564099</v>
          </cell>
          <cell r="AS2114">
            <v>641.02564102564099</v>
          </cell>
          <cell r="AT2114">
            <v>641.02564102564099</v>
          </cell>
          <cell r="AU2114">
            <v>961.53846153846166</v>
          </cell>
          <cell r="AV2114">
            <v>961.53846153846166</v>
          </cell>
          <cell r="AW2114">
            <v>961.53846153846166</v>
          </cell>
          <cell r="AX2114">
            <v>961.53846153846166</v>
          </cell>
          <cell r="AY2114">
            <v>1282.051282051282</v>
          </cell>
          <cell r="AZ2114">
            <v>1282.051282051282</v>
          </cell>
          <cell r="BA2114">
            <v>0</v>
          </cell>
          <cell r="BB2114">
            <v>0</v>
          </cell>
          <cell r="BC2114">
            <v>1602.5641025641025</v>
          </cell>
          <cell r="BD2114">
            <v>1602.5641025641025</v>
          </cell>
          <cell r="BE2114">
            <v>1602.5641025641025</v>
          </cell>
          <cell r="BF2114">
            <v>1602.5641025641025</v>
          </cell>
          <cell r="BG2114">
            <v>1602.5641025641025</v>
          </cell>
          <cell r="BH2114">
            <v>1602.5641025641025</v>
          </cell>
          <cell r="BI2114">
            <v>1602.5641025641025</v>
          </cell>
          <cell r="BJ2114">
            <v>1602.5641025641025</v>
          </cell>
          <cell r="BK2114">
            <v>1153.8461538461538</v>
          </cell>
          <cell r="BL2114">
            <v>692.30769230769238</v>
          </cell>
          <cell r="BM2114">
            <v>692.30769230769238</v>
          </cell>
          <cell r="BN2114">
            <v>692.30769230769238</v>
          </cell>
          <cell r="BO2114">
            <v>692.30769230769238</v>
          </cell>
          <cell r="BP2114">
            <v>692.30769230769238</v>
          </cell>
          <cell r="BQ2114">
            <v>692.30769230769238</v>
          </cell>
          <cell r="BR2114">
            <v>692.30769230769238</v>
          </cell>
          <cell r="BS2114">
            <v>692.30769230769238</v>
          </cell>
          <cell r="BT2114">
            <v>692.30769230769238</v>
          </cell>
          <cell r="BU2114">
            <v>692.30769230769238</v>
          </cell>
          <cell r="BV2114">
            <v>692.30769230769238</v>
          </cell>
        </row>
        <row r="2115">
          <cell r="A2115" t="str">
            <v>Volvo GPA</v>
          </cell>
          <cell r="B2115" t="str">
            <v>ARM</v>
          </cell>
          <cell r="D2115" t="str">
            <v>FAB</v>
          </cell>
          <cell r="E2115">
            <v>6.8571</v>
          </cell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</row>
        <row r="2116">
          <cell r="A2116" t="str">
            <v>Volvo GPA</v>
          </cell>
          <cell r="B2116" t="str">
            <v>ARM</v>
          </cell>
          <cell r="D2116" t="str">
            <v>PVC</v>
          </cell>
          <cell r="E2116">
            <v>7.02</v>
          </cell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</row>
        <row r="2117">
          <cell r="A2117" t="str">
            <v>Volvo GPA</v>
          </cell>
          <cell r="B2117" t="str">
            <v>ARM</v>
          </cell>
          <cell r="D2117" t="str">
            <v>LTH</v>
          </cell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</row>
        <row r="2118">
          <cell r="A2118" t="str">
            <v>Volvo GPA</v>
          </cell>
          <cell r="B2118" t="str">
            <v>ARM</v>
          </cell>
          <cell r="D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</row>
        <row r="2119">
          <cell r="A2119" t="str">
            <v>Volvo GPA</v>
          </cell>
          <cell r="B2119" t="str">
            <v>ARM</v>
          </cell>
          <cell r="D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</row>
        <row r="2120">
          <cell r="A2120" t="str">
            <v>Volvo GPA</v>
          </cell>
          <cell r="B2120" t="str">
            <v>ARM</v>
          </cell>
          <cell r="D2120" t="str">
            <v>Weekly Output PLAN - SUM of models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  <cell r="BK2120">
            <v>0</v>
          </cell>
          <cell r="BL2120">
            <v>0</v>
          </cell>
          <cell r="BM2120">
            <v>0</v>
          </cell>
          <cell r="BN2120">
            <v>0</v>
          </cell>
          <cell r="BO2120">
            <v>0</v>
          </cell>
          <cell r="BP2120">
            <v>0</v>
          </cell>
          <cell r="BQ2120">
            <v>0</v>
          </cell>
          <cell r="BR2120">
            <v>0</v>
          </cell>
          <cell r="BS2120">
            <v>0</v>
          </cell>
          <cell r="BT2120">
            <v>0</v>
          </cell>
          <cell r="BU2120">
            <v>0</v>
          </cell>
          <cell r="BV2120">
            <v>0</v>
          </cell>
        </row>
        <row r="2121">
          <cell r="A2121" t="str">
            <v>Volvo GPA</v>
          </cell>
          <cell r="B2121" t="str">
            <v>ARM</v>
          </cell>
          <cell r="D2121" t="str">
            <v>Weekly Output CHECK with TO time multiple</v>
          </cell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</row>
        <row r="2122">
          <cell r="A2122" t="str">
            <v>Volvo GPA</v>
          </cell>
          <cell r="B2122" t="str">
            <v>ARM</v>
          </cell>
          <cell r="D2122" t="str">
            <v>Weekly Output ACT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320.5128205128205</v>
          </cell>
          <cell r="AG2122">
            <v>352.56410256410265</v>
          </cell>
          <cell r="AH2122">
            <v>384.61538461538464</v>
          </cell>
          <cell r="AI2122">
            <v>416.6666666666668</v>
          </cell>
          <cell r="AJ2122">
            <v>448.71794871794884</v>
          </cell>
          <cell r="AK2122">
            <v>384.61538461538476</v>
          </cell>
          <cell r="AL2122">
            <v>410.25641025641039</v>
          </cell>
          <cell r="AM2122">
            <v>544.87179487179515</v>
          </cell>
          <cell r="AN2122">
            <v>461.53846153846172</v>
          </cell>
          <cell r="AO2122">
            <v>608.97435897435923</v>
          </cell>
          <cell r="AP2122">
            <v>641.02564102564133</v>
          </cell>
          <cell r="AQ2122">
            <v>641.02564102564099</v>
          </cell>
          <cell r="AR2122">
            <v>641.02564102564099</v>
          </cell>
          <cell r="AS2122">
            <v>641.02564102564099</v>
          </cell>
          <cell r="AT2122">
            <v>641.02564102564099</v>
          </cell>
          <cell r="AU2122">
            <v>961.53846153846166</v>
          </cell>
          <cell r="AV2122">
            <v>961.53846153846166</v>
          </cell>
          <cell r="AW2122">
            <v>961.53846153846166</v>
          </cell>
          <cell r="AX2122">
            <v>961.53846153846166</v>
          </cell>
          <cell r="AY2122">
            <v>1282.051282051282</v>
          </cell>
          <cell r="AZ2122">
            <v>1282.051282051282</v>
          </cell>
          <cell r="BA2122">
            <v>0</v>
          </cell>
          <cell r="BB2122">
            <v>0</v>
          </cell>
          <cell r="BC2122">
            <v>1602.5641025641025</v>
          </cell>
          <cell r="BD2122">
            <v>1602.5641025641025</v>
          </cell>
          <cell r="BE2122">
            <v>1602.5641025641025</v>
          </cell>
          <cell r="BF2122">
            <v>1602.5641025641025</v>
          </cell>
          <cell r="BG2122">
            <v>1602.5641025641025</v>
          </cell>
          <cell r="BH2122">
            <v>1602.5641025641025</v>
          </cell>
          <cell r="BI2122">
            <v>1602.5641025641025</v>
          </cell>
          <cell r="BJ2122">
            <v>1602.5641025641025</v>
          </cell>
          <cell r="BK2122">
            <v>1153.8461538461538</v>
          </cell>
          <cell r="BL2122">
            <v>692.30769230769238</v>
          </cell>
          <cell r="BM2122">
            <v>692.30769230769238</v>
          </cell>
          <cell r="BN2122">
            <v>692.30769230769238</v>
          </cell>
          <cell r="BO2122">
            <v>692.30769230769238</v>
          </cell>
          <cell r="BP2122">
            <v>692.30769230769238</v>
          </cell>
          <cell r="BQ2122">
            <v>692.30769230769238</v>
          </cell>
          <cell r="BR2122">
            <v>692.30769230769238</v>
          </cell>
          <cell r="BS2122">
            <v>692.30769230769238</v>
          </cell>
          <cell r="BT2122">
            <v>692.30769230769238</v>
          </cell>
          <cell r="BU2122">
            <v>692.30769230769238</v>
          </cell>
          <cell r="BV2122">
            <v>692.30769230769238</v>
          </cell>
        </row>
        <row r="2123">
          <cell r="A2123" t="str">
            <v>Volvo GPA</v>
          </cell>
          <cell r="B2123" t="str">
            <v>ARM</v>
          </cell>
          <cell r="D2123" t="str">
            <v>FAB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287.05440900562854</v>
          </cell>
          <cell r="AL2123">
            <v>287.05440900562854</v>
          </cell>
          <cell r="AM2123">
            <v>215.29080675422142</v>
          </cell>
          <cell r="AN2123">
            <v>287.05440900562854</v>
          </cell>
          <cell r="AO2123">
            <v>253.28330206378988</v>
          </cell>
          <cell r="AP2123">
            <v>253.28330206378988</v>
          </cell>
          <cell r="AQ2123">
            <v>506.56660412757975</v>
          </cell>
          <cell r="AR2123">
            <v>506.56660412757975</v>
          </cell>
          <cell r="AS2123">
            <v>506.56660412757975</v>
          </cell>
          <cell r="AT2123">
            <v>506.56660412757975</v>
          </cell>
          <cell r="AU2123">
            <v>844.27767354596631</v>
          </cell>
          <cell r="AV2123">
            <v>844.27767354596631</v>
          </cell>
          <cell r="AW2123">
            <v>1266.4165103189493</v>
          </cell>
          <cell r="AX2123">
            <v>1266.4165103189493</v>
          </cell>
          <cell r="AY2123">
            <v>1266.4165103189493</v>
          </cell>
          <cell r="AZ2123">
            <v>0</v>
          </cell>
          <cell r="BA2123">
            <v>0</v>
          </cell>
          <cell r="BB2123">
            <v>1688.5553470919326</v>
          </cell>
          <cell r="BC2123">
            <v>1688.5553470919326</v>
          </cell>
          <cell r="BD2123">
            <v>1688.5553470919326</v>
          </cell>
          <cell r="BE2123">
            <v>1688.5553470919326</v>
          </cell>
          <cell r="BF2123">
            <v>1688.5553470919326</v>
          </cell>
          <cell r="BG2123">
            <v>1688.5553470919326</v>
          </cell>
          <cell r="BH2123">
            <v>1688.5553470919326</v>
          </cell>
          <cell r="BI2123">
            <v>1688.5553470919326</v>
          </cell>
          <cell r="BJ2123">
            <v>1688.5553470919326</v>
          </cell>
          <cell r="BK2123">
            <v>0</v>
          </cell>
          <cell r="BL2123">
            <v>0</v>
          </cell>
          <cell r="BM2123">
            <v>0</v>
          </cell>
          <cell r="BN2123">
            <v>0</v>
          </cell>
          <cell r="BO2123">
            <v>0</v>
          </cell>
          <cell r="BP2123">
            <v>0</v>
          </cell>
          <cell r="BQ2123">
            <v>0</v>
          </cell>
          <cell r="BR2123">
            <v>0</v>
          </cell>
          <cell r="BS2123">
            <v>0</v>
          </cell>
          <cell r="BT2123">
            <v>0</v>
          </cell>
          <cell r="BU2123">
            <v>0</v>
          </cell>
          <cell r="BV2123">
            <v>0</v>
          </cell>
        </row>
        <row r="2124">
          <cell r="A2124" t="str">
            <v>Volvo GPA</v>
          </cell>
          <cell r="B2124" t="str">
            <v>ARM</v>
          </cell>
          <cell r="D2124" t="str">
            <v>PVC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  <cell r="BK2124">
            <v>0</v>
          </cell>
          <cell r="BL2124">
            <v>0</v>
          </cell>
          <cell r="BM2124">
            <v>0</v>
          </cell>
          <cell r="BN2124">
            <v>0</v>
          </cell>
          <cell r="BO2124">
            <v>0</v>
          </cell>
          <cell r="BP2124">
            <v>0</v>
          </cell>
          <cell r="BQ2124">
            <v>0</v>
          </cell>
          <cell r="BR2124">
            <v>0</v>
          </cell>
          <cell r="BS2124">
            <v>0</v>
          </cell>
          <cell r="BT2124">
            <v>0</v>
          </cell>
          <cell r="BU2124">
            <v>0</v>
          </cell>
          <cell r="BV2124">
            <v>0</v>
          </cell>
        </row>
        <row r="2125">
          <cell r="A2125" t="str">
            <v>Volvo GPA</v>
          </cell>
          <cell r="B2125" t="str">
            <v>ARM</v>
          </cell>
          <cell r="D2125" t="str">
            <v>LTH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  <cell r="BK2125">
            <v>0</v>
          </cell>
          <cell r="BL2125">
            <v>0</v>
          </cell>
          <cell r="BM2125">
            <v>0</v>
          </cell>
          <cell r="BN2125">
            <v>0</v>
          </cell>
          <cell r="BO2125">
            <v>0</v>
          </cell>
          <cell r="BP2125">
            <v>0</v>
          </cell>
          <cell r="BQ2125">
            <v>0</v>
          </cell>
          <cell r="BR2125">
            <v>0</v>
          </cell>
          <cell r="BS2125">
            <v>0</v>
          </cell>
          <cell r="BT2125">
            <v>0</v>
          </cell>
          <cell r="BU2125">
            <v>0</v>
          </cell>
          <cell r="BV2125">
            <v>0</v>
          </cell>
        </row>
        <row r="2126">
          <cell r="A2126" t="str">
            <v>Volvo GPA</v>
          </cell>
          <cell r="B2126" t="str">
            <v>ARM</v>
          </cell>
          <cell r="D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  <cell r="BK2126">
            <v>0</v>
          </cell>
          <cell r="BL2126">
            <v>0</v>
          </cell>
          <cell r="BM2126">
            <v>0</v>
          </cell>
          <cell r="BN2126">
            <v>0</v>
          </cell>
          <cell r="BO2126">
            <v>0</v>
          </cell>
          <cell r="BP2126">
            <v>0</v>
          </cell>
          <cell r="BQ2126">
            <v>0</v>
          </cell>
          <cell r="BR2126">
            <v>0</v>
          </cell>
          <cell r="BS2126">
            <v>0</v>
          </cell>
          <cell r="BT2126">
            <v>0</v>
          </cell>
          <cell r="BU2126">
            <v>0</v>
          </cell>
          <cell r="BV2126">
            <v>0</v>
          </cell>
        </row>
        <row r="2127">
          <cell r="A2127" t="str">
            <v>Volvo GPA</v>
          </cell>
          <cell r="B2127" t="str">
            <v>ARM</v>
          </cell>
          <cell r="D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  <cell r="BK2127">
            <v>0</v>
          </cell>
          <cell r="BL2127">
            <v>0</v>
          </cell>
          <cell r="BM2127">
            <v>0</v>
          </cell>
          <cell r="BN2127">
            <v>0</v>
          </cell>
          <cell r="BO2127">
            <v>0</v>
          </cell>
          <cell r="BP2127">
            <v>0</v>
          </cell>
          <cell r="BQ2127">
            <v>0</v>
          </cell>
          <cell r="BR2127">
            <v>0</v>
          </cell>
          <cell r="BS2127">
            <v>0</v>
          </cell>
          <cell r="BT2127">
            <v>0</v>
          </cell>
          <cell r="BU2127">
            <v>0</v>
          </cell>
          <cell r="BV2127">
            <v>0</v>
          </cell>
        </row>
        <row r="2128">
          <cell r="A2128" t="str">
            <v>Volvo GPA</v>
          </cell>
          <cell r="B2128" t="str">
            <v>ARM</v>
          </cell>
          <cell r="D2128" t="str">
            <v>Weekly demand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287.05440900562854</v>
          </cell>
          <cell r="AL2128">
            <v>287.05440900562854</v>
          </cell>
          <cell r="AM2128">
            <v>215.29080675422142</v>
          </cell>
          <cell r="AN2128">
            <v>287.05440900562854</v>
          </cell>
          <cell r="AO2128">
            <v>253.28330206378988</v>
          </cell>
          <cell r="AP2128">
            <v>253.28330206378988</v>
          </cell>
          <cell r="AQ2128">
            <v>506.56660412757975</v>
          </cell>
          <cell r="AR2128">
            <v>506.56660412757975</v>
          </cell>
          <cell r="AS2128">
            <v>506.56660412757975</v>
          </cell>
          <cell r="AT2128">
            <v>506.56660412757975</v>
          </cell>
          <cell r="AU2128">
            <v>844.27767354596631</v>
          </cell>
          <cell r="AV2128">
            <v>844.27767354596631</v>
          </cell>
          <cell r="AW2128">
            <v>1266.4165103189493</v>
          </cell>
          <cell r="AX2128">
            <v>1266.4165103189493</v>
          </cell>
          <cell r="AY2128">
            <v>1266.4165103189493</v>
          </cell>
          <cell r="AZ2128">
            <v>0</v>
          </cell>
          <cell r="BA2128">
            <v>0</v>
          </cell>
          <cell r="BB2128">
            <v>1688.5553470919326</v>
          </cell>
          <cell r="BC2128">
            <v>1688.5553470919326</v>
          </cell>
          <cell r="BD2128">
            <v>1688.5553470919326</v>
          </cell>
          <cell r="BE2128">
            <v>1688.5553470919326</v>
          </cell>
          <cell r="BF2128">
            <v>1688.5553470919326</v>
          </cell>
          <cell r="BG2128">
            <v>1688.5553470919326</v>
          </cell>
          <cell r="BH2128">
            <v>1688.5553470919326</v>
          </cell>
          <cell r="BI2128">
            <v>1688.5553470919326</v>
          </cell>
          <cell r="BJ2128">
            <v>1688.5553470919326</v>
          </cell>
          <cell r="BK2128">
            <v>0</v>
          </cell>
          <cell r="BL2128">
            <v>0</v>
          </cell>
          <cell r="BM2128">
            <v>0</v>
          </cell>
          <cell r="BN2128">
            <v>0</v>
          </cell>
          <cell r="BO2128">
            <v>0</v>
          </cell>
          <cell r="BP2128">
            <v>0</v>
          </cell>
          <cell r="BQ2128">
            <v>0</v>
          </cell>
          <cell r="BR2128">
            <v>0</v>
          </cell>
          <cell r="BS2128">
            <v>0</v>
          </cell>
          <cell r="BT2128">
            <v>0</v>
          </cell>
          <cell r="BU2128">
            <v>0</v>
          </cell>
          <cell r="BV2128">
            <v>0</v>
          </cell>
        </row>
        <row r="2129">
          <cell r="A2129" t="str">
            <v>Volvo GPA</v>
          </cell>
          <cell r="B2129" t="str">
            <v>ARM</v>
          </cell>
          <cell r="D2129" t="str">
            <v>Stock Target</v>
          </cell>
          <cell r="Z2129"/>
          <cell r="AA2129"/>
          <cell r="AB2129"/>
          <cell r="AC2129"/>
          <cell r="AD2129"/>
          <cell r="AE2129"/>
          <cell r="AF2129"/>
          <cell r="AG2129">
            <v>2547</v>
          </cell>
          <cell r="AH2129">
            <v>2548</v>
          </cell>
          <cell r="AI2129">
            <v>2549</v>
          </cell>
          <cell r="AJ2129">
            <v>2550</v>
          </cell>
          <cell r="AK2129">
            <v>2551</v>
          </cell>
          <cell r="AL2129">
            <v>2552</v>
          </cell>
          <cell r="AM2129">
            <v>2552</v>
          </cell>
          <cell r="AN2129">
            <v>2552</v>
          </cell>
          <cell r="AO2129">
            <v>2552</v>
          </cell>
          <cell r="AP2129">
            <v>2552</v>
          </cell>
          <cell r="AQ2129">
            <v>2552</v>
          </cell>
          <cell r="AR2129">
            <v>2552</v>
          </cell>
          <cell r="AS2129">
            <v>2552</v>
          </cell>
          <cell r="AT2129">
            <v>2552</v>
          </cell>
          <cell r="AU2129">
            <v>2552</v>
          </cell>
          <cell r="AV2129">
            <v>2552</v>
          </cell>
          <cell r="AW2129">
            <v>2552</v>
          </cell>
          <cell r="AX2129">
            <v>2552</v>
          </cell>
          <cell r="AY2129">
            <v>2552</v>
          </cell>
          <cell r="AZ2129">
            <v>2552</v>
          </cell>
          <cell r="BA2129">
            <v>2552</v>
          </cell>
          <cell r="BB2129">
            <v>2552</v>
          </cell>
          <cell r="BC2129">
            <v>2552</v>
          </cell>
          <cell r="BD2129">
            <v>2552</v>
          </cell>
          <cell r="BE2129">
            <v>2552</v>
          </cell>
          <cell r="BF2129">
            <v>2552</v>
          </cell>
          <cell r="BG2129">
            <v>2552</v>
          </cell>
          <cell r="BH2129">
            <v>2552</v>
          </cell>
          <cell r="BI2129">
            <v>2552</v>
          </cell>
          <cell r="BJ2129">
            <v>2552</v>
          </cell>
          <cell r="BK2129">
            <v>2552</v>
          </cell>
          <cell r="BL2129">
            <v>2552</v>
          </cell>
          <cell r="BM2129">
            <v>2552</v>
          </cell>
          <cell r="BN2129">
            <v>2553</v>
          </cell>
          <cell r="BO2129">
            <v>2554</v>
          </cell>
          <cell r="BP2129">
            <v>2555</v>
          </cell>
          <cell r="BQ2129">
            <v>2556</v>
          </cell>
          <cell r="BR2129">
            <v>2557</v>
          </cell>
          <cell r="BS2129">
            <v>2558</v>
          </cell>
          <cell r="BT2129">
            <v>2559</v>
          </cell>
          <cell r="BU2129">
            <v>2560</v>
          </cell>
          <cell r="BV2129">
            <v>2561</v>
          </cell>
        </row>
        <row r="2130">
          <cell r="A2130" t="str">
            <v>Volvo GPA</v>
          </cell>
          <cell r="B2130" t="str">
            <v>ARM</v>
          </cell>
          <cell r="D2130" t="str">
            <v>FAB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-287.05440900562854</v>
          </cell>
          <cell r="AL2130">
            <v>-574.10881801125709</v>
          </cell>
          <cell r="AM2130">
            <v>-789.39962476547851</v>
          </cell>
          <cell r="AN2130">
            <v>-861.16322701688568</v>
          </cell>
          <cell r="AO2130">
            <v>-1042.6829268292684</v>
          </cell>
          <cell r="AP2130">
            <v>-1114.4465290806756</v>
          </cell>
          <cell r="AQ2130">
            <v>-1549.249530956848</v>
          </cell>
          <cell r="AR2130">
            <v>-1621.0131332082553</v>
          </cell>
          <cell r="AS2130">
            <v>-2055.816135084428</v>
          </cell>
          <cell r="AT2130">
            <v>-2127.579737335835</v>
          </cell>
          <cell r="AU2130">
            <v>-2900.0938086303941</v>
          </cell>
          <cell r="AV2130">
            <v>-2971.8574108818011</v>
          </cell>
          <cell r="AW2130">
            <v>-4166.5103189493439</v>
          </cell>
          <cell r="AX2130">
            <v>-4238.2739212007509</v>
          </cell>
          <cell r="AY2130">
            <v>-5432.9268292682937</v>
          </cell>
          <cell r="AZ2130">
            <v>-4238.2739212007509</v>
          </cell>
          <cell r="BA2130">
            <v>-5432.9268292682937</v>
          </cell>
          <cell r="BB2130">
            <v>-5926.829268292684</v>
          </cell>
          <cell r="BC2130">
            <v>-7121.4821763602267</v>
          </cell>
          <cell r="BD2130">
            <v>-7615.3846153846171</v>
          </cell>
          <cell r="BE2130">
            <v>-8810.0375234521598</v>
          </cell>
          <cell r="BF2130">
            <v>-9303.9399624765501</v>
          </cell>
          <cell r="BG2130">
            <v>-10498.592870544093</v>
          </cell>
          <cell r="BH2130">
            <v>-10992.495309568483</v>
          </cell>
          <cell r="BI2130">
            <v>-12187.148217636026</v>
          </cell>
          <cell r="BJ2130">
            <v>-12681.050656660416</v>
          </cell>
          <cell r="BK2130">
            <v>-12187.148217636026</v>
          </cell>
          <cell r="BL2130">
            <v>-12681.050656660416</v>
          </cell>
          <cell r="BM2130">
            <v>-12187.148217636026</v>
          </cell>
          <cell r="BN2130">
            <v>-12681.050656660416</v>
          </cell>
          <cell r="BO2130">
            <v>-12187.148217636026</v>
          </cell>
          <cell r="BP2130">
            <v>-12681.050656660416</v>
          </cell>
          <cell r="BQ2130">
            <v>-12187.148217636026</v>
          </cell>
          <cell r="BR2130">
            <v>-12681.050656660416</v>
          </cell>
          <cell r="BS2130">
            <v>-12187.148217636026</v>
          </cell>
          <cell r="BT2130">
            <v>-12681.050656660416</v>
          </cell>
          <cell r="BU2130">
            <v>-12187.148217636026</v>
          </cell>
          <cell r="BV2130">
            <v>-12681.050656660416</v>
          </cell>
        </row>
        <row r="2131">
          <cell r="A2131" t="str">
            <v>Volvo GPA</v>
          </cell>
          <cell r="B2131" t="str">
            <v>ARM</v>
          </cell>
          <cell r="D2131" t="str">
            <v>PVC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  <cell r="BK2131">
            <v>0</v>
          </cell>
          <cell r="BL2131">
            <v>0</v>
          </cell>
          <cell r="BM2131">
            <v>0</v>
          </cell>
          <cell r="BN2131">
            <v>0</v>
          </cell>
          <cell r="BO2131">
            <v>0</v>
          </cell>
          <cell r="BP2131">
            <v>0</v>
          </cell>
          <cell r="BQ2131">
            <v>0</v>
          </cell>
          <cell r="BR2131">
            <v>0</v>
          </cell>
          <cell r="BS2131">
            <v>0</v>
          </cell>
          <cell r="BT2131">
            <v>0</v>
          </cell>
          <cell r="BU2131">
            <v>0</v>
          </cell>
          <cell r="BV2131">
            <v>0</v>
          </cell>
        </row>
        <row r="2132">
          <cell r="A2132" t="str">
            <v>Volvo GPA</v>
          </cell>
          <cell r="B2132" t="str">
            <v>ARM</v>
          </cell>
          <cell r="D2132" t="str">
            <v>LTH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  <cell r="BK2132">
            <v>0</v>
          </cell>
          <cell r="BL2132">
            <v>0</v>
          </cell>
          <cell r="BM2132">
            <v>0</v>
          </cell>
          <cell r="BN2132">
            <v>0</v>
          </cell>
          <cell r="BO2132">
            <v>0</v>
          </cell>
          <cell r="BP2132">
            <v>0</v>
          </cell>
          <cell r="BQ2132">
            <v>0</v>
          </cell>
          <cell r="BR2132">
            <v>0</v>
          </cell>
          <cell r="BS2132">
            <v>0</v>
          </cell>
          <cell r="BT2132">
            <v>0</v>
          </cell>
          <cell r="BU2132">
            <v>0</v>
          </cell>
          <cell r="BV2132">
            <v>0</v>
          </cell>
        </row>
        <row r="2133">
          <cell r="A2133" t="str">
            <v>Volvo GPA</v>
          </cell>
          <cell r="B2133" t="str">
            <v>ARM</v>
          </cell>
          <cell r="D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  <cell r="BK2133">
            <v>0</v>
          </cell>
          <cell r="BL2133">
            <v>0</v>
          </cell>
          <cell r="BM2133">
            <v>0</v>
          </cell>
          <cell r="BN2133">
            <v>0</v>
          </cell>
          <cell r="BO2133">
            <v>0</v>
          </cell>
          <cell r="BP2133">
            <v>0</v>
          </cell>
          <cell r="BQ2133">
            <v>0</v>
          </cell>
          <cell r="BR2133">
            <v>0</v>
          </cell>
          <cell r="BS2133">
            <v>0</v>
          </cell>
          <cell r="BT2133">
            <v>0</v>
          </cell>
          <cell r="BU2133">
            <v>0</v>
          </cell>
          <cell r="BV2133">
            <v>0</v>
          </cell>
        </row>
        <row r="2134">
          <cell r="A2134" t="str">
            <v>Volvo GPA</v>
          </cell>
          <cell r="B2134" t="str">
            <v>ARM</v>
          </cell>
          <cell r="D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  <cell r="BK2134">
            <v>0</v>
          </cell>
          <cell r="BL2134">
            <v>0</v>
          </cell>
          <cell r="BM2134">
            <v>0</v>
          </cell>
          <cell r="BN2134">
            <v>0</v>
          </cell>
          <cell r="BO2134">
            <v>0</v>
          </cell>
          <cell r="BP2134">
            <v>0</v>
          </cell>
          <cell r="BQ2134">
            <v>0</v>
          </cell>
          <cell r="BR2134">
            <v>0</v>
          </cell>
          <cell r="BS2134">
            <v>0</v>
          </cell>
          <cell r="BT2134">
            <v>0</v>
          </cell>
          <cell r="BU2134">
            <v>0</v>
          </cell>
          <cell r="BV2134">
            <v>0</v>
          </cell>
        </row>
        <row r="2135">
          <cell r="A2135" t="str">
            <v>Volvo GPA</v>
          </cell>
          <cell r="B2135" t="str">
            <v>ARM</v>
          </cell>
          <cell r="D2135" t="str">
            <v>STOCK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320.5128205128205</v>
          </cell>
          <cell r="AG2135">
            <v>673.07692307692309</v>
          </cell>
          <cell r="AH2135">
            <v>1057.6923076923076</v>
          </cell>
          <cell r="AI2135">
            <v>1474.3589743589744</v>
          </cell>
          <cell r="AJ2135">
            <v>1923.0769230769233</v>
          </cell>
          <cell r="AK2135">
            <v>2020.6378986866796</v>
          </cell>
          <cell r="AL2135">
            <v>2143.8398999374613</v>
          </cell>
          <cell r="AM2135">
            <v>2473.420888055035</v>
          </cell>
          <cell r="AN2135">
            <v>2647.9049405878682</v>
          </cell>
          <cell r="AO2135">
            <v>3003.5959974984376</v>
          </cell>
          <cell r="AP2135">
            <v>3391.3383364602887</v>
          </cell>
          <cell r="AQ2135">
            <v>3525.7973733583499</v>
          </cell>
          <cell r="AR2135">
            <v>3660.2564102564111</v>
          </cell>
          <cell r="AS2135">
            <v>3794.7154471544723</v>
          </cell>
          <cell r="AT2135">
            <v>3929.1744840525334</v>
          </cell>
          <cell r="AU2135">
            <v>4046.4352720450288</v>
          </cell>
          <cell r="AV2135">
            <v>4163.6960600375241</v>
          </cell>
          <cell r="AW2135">
            <v>3858.8180112570362</v>
          </cell>
          <cell r="AX2135">
            <v>3553.9399624765483</v>
          </cell>
          <cell r="AY2135">
            <v>3569.5747342088807</v>
          </cell>
          <cell r="AZ2135">
            <v>4851.6260162601629</v>
          </cell>
          <cell r="BA2135">
            <v>4851.6260162601629</v>
          </cell>
          <cell r="BB2135">
            <v>3163.0706691682303</v>
          </cell>
          <cell r="BC2135">
            <v>3077.0794246404002</v>
          </cell>
          <cell r="BD2135">
            <v>2991.0881801125702</v>
          </cell>
          <cell r="BE2135">
            <v>2905.0969355847401</v>
          </cell>
          <cell r="BF2135">
            <v>2819.10569105691</v>
          </cell>
          <cell r="BG2135">
            <v>2733.1144465290799</v>
          </cell>
          <cell r="BH2135">
            <v>2647.1232020012499</v>
          </cell>
          <cell r="BI2135">
            <v>2561.1319574734198</v>
          </cell>
          <cell r="BJ2135">
            <v>2475.1407129455897</v>
          </cell>
          <cell r="BK2135">
            <v>3628.9868667917435</v>
          </cell>
          <cell r="BL2135">
            <v>4321.2945590994359</v>
          </cell>
          <cell r="BM2135">
            <v>5013.6022514071283</v>
          </cell>
          <cell r="BN2135">
            <v>5705.9099437148207</v>
          </cell>
          <cell r="BO2135">
            <v>6398.217636022513</v>
          </cell>
          <cell r="BP2135">
            <v>7090.5253283302054</v>
          </cell>
          <cell r="BQ2135">
            <v>7782.8330206378978</v>
          </cell>
          <cell r="BR2135">
            <v>8475.1407129455911</v>
          </cell>
          <cell r="BS2135">
            <v>9167.4484052532825</v>
          </cell>
          <cell r="BT2135">
            <v>9859.756097560974</v>
          </cell>
          <cell r="BU2135">
            <v>10552.063789868665</v>
          </cell>
          <cell r="BV2135">
            <v>11244.371482176357</v>
          </cell>
        </row>
        <row r="2136">
          <cell r="A2136" t="str">
            <v>Blank</v>
          </cell>
          <cell r="B2136" t="str">
            <v>Blank</v>
          </cell>
          <cell r="D2136" t="str">
            <v>Blank</v>
          </cell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</row>
        <row r="2137">
          <cell r="A2137" t="str">
            <v>Volvo GPA</v>
          </cell>
          <cell r="B2137" t="str">
            <v>ROHR</v>
          </cell>
          <cell r="D2137" t="str">
            <v>Work days</v>
          </cell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>
            <v>2</v>
          </cell>
          <cell r="AJ2137">
            <v>0</v>
          </cell>
          <cell r="AK2137">
            <v>4</v>
          </cell>
          <cell r="AL2137">
            <v>4</v>
          </cell>
          <cell r="AM2137">
            <v>5</v>
          </cell>
          <cell r="AN2137">
            <v>4</v>
          </cell>
          <cell r="AO2137">
            <v>5</v>
          </cell>
          <cell r="AP2137">
            <v>5</v>
          </cell>
          <cell r="AQ2137">
            <v>5</v>
          </cell>
          <cell r="AR2137">
            <v>5</v>
          </cell>
          <cell r="AS2137">
            <v>5</v>
          </cell>
          <cell r="AT2137">
            <v>5</v>
          </cell>
          <cell r="AU2137">
            <v>5</v>
          </cell>
          <cell r="AV2137">
            <v>5</v>
          </cell>
          <cell r="AW2137">
            <v>5</v>
          </cell>
          <cell r="AX2137">
            <v>5</v>
          </cell>
          <cell r="AY2137">
            <v>5</v>
          </cell>
          <cell r="AZ2137">
            <v>0</v>
          </cell>
          <cell r="BA2137">
            <v>0</v>
          </cell>
          <cell r="BB2137">
            <v>5</v>
          </cell>
          <cell r="BC2137">
            <v>5</v>
          </cell>
          <cell r="BD2137">
            <v>5</v>
          </cell>
          <cell r="BE2137">
            <v>5</v>
          </cell>
          <cell r="BF2137">
            <v>5</v>
          </cell>
          <cell r="BG2137">
            <v>5</v>
          </cell>
          <cell r="BH2137">
            <v>5</v>
          </cell>
          <cell r="BI2137">
            <v>5</v>
          </cell>
          <cell r="BJ2137">
            <v>5</v>
          </cell>
          <cell r="BK2137">
            <v>5</v>
          </cell>
          <cell r="BL2137">
            <v>3</v>
          </cell>
          <cell r="BM2137">
            <v>3</v>
          </cell>
          <cell r="BN2137">
            <v>3</v>
          </cell>
          <cell r="BO2137">
            <v>3</v>
          </cell>
          <cell r="BP2137">
            <v>3</v>
          </cell>
          <cell r="BQ2137">
            <v>3</v>
          </cell>
          <cell r="BR2137">
            <v>3</v>
          </cell>
          <cell r="BS2137">
            <v>3</v>
          </cell>
          <cell r="BT2137">
            <v>3</v>
          </cell>
          <cell r="BU2137">
            <v>3</v>
          </cell>
          <cell r="BV2137">
            <v>3</v>
          </cell>
        </row>
        <row r="2138">
          <cell r="A2138" t="str">
            <v>Volvo GPA</v>
          </cell>
          <cell r="B2138" t="str">
            <v>ROHR</v>
          </cell>
          <cell r="D2138" t="str">
            <v>SHIFT A HC - operators</v>
          </cell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>
            <v>2</v>
          </cell>
          <cell r="AJ2138">
            <v>2</v>
          </cell>
          <cell r="AK2138">
            <v>2</v>
          </cell>
          <cell r="AL2138">
            <v>2</v>
          </cell>
          <cell r="AM2138">
            <v>2</v>
          </cell>
          <cell r="AN2138">
            <v>2</v>
          </cell>
          <cell r="AO2138">
            <v>2</v>
          </cell>
          <cell r="AP2138">
            <v>3</v>
          </cell>
          <cell r="AQ2138">
            <v>3</v>
          </cell>
          <cell r="AR2138">
            <v>3</v>
          </cell>
          <cell r="AS2138">
            <v>3</v>
          </cell>
          <cell r="AT2138">
            <v>3</v>
          </cell>
          <cell r="AU2138">
            <v>3</v>
          </cell>
          <cell r="AV2138">
            <v>3</v>
          </cell>
          <cell r="AW2138">
            <v>3</v>
          </cell>
          <cell r="AX2138">
            <v>3</v>
          </cell>
          <cell r="AY2138">
            <v>3</v>
          </cell>
          <cell r="AZ2138">
            <v>3</v>
          </cell>
          <cell r="BA2138">
            <v>3</v>
          </cell>
          <cell r="BB2138">
            <v>4</v>
          </cell>
          <cell r="BC2138">
            <v>4</v>
          </cell>
          <cell r="BD2138">
            <v>4</v>
          </cell>
          <cell r="BE2138">
            <v>4</v>
          </cell>
          <cell r="BF2138">
            <v>4</v>
          </cell>
          <cell r="BG2138">
            <v>5</v>
          </cell>
          <cell r="BH2138">
            <v>5</v>
          </cell>
          <cell r="BI2138">
            <v>5</v>
          </cell>
          <cell r="BJ2138">
            <v>5</v>
          </cell>
          <cell r="BK2138">
            <v>3</v>
          </cell>
          <cell r="BL2138">
            <v>3</v>
          </cell>
          <cell r="BM2138">
            <v>3</v>
          </cell>
          <cell r="BN2138">
            <v>3</v>
          </cell>
          <cell r="BO2138">
            <v>3</v>
          </cell>
          <cell r="BP2138">
            <v>3</v>
          </cell>
          <cell r="BQ2138">
            <v>3</v>
          </cell>
          <cell r="BR2138">
            <v>3</v>
          </cell>
          <cell r="BS2138">
            <v>3</v>
          </cell>
          <cell r="BT2138">
            <v>3</v>
          </cell>
          <cell r="BU2138">
            <v>3</v>
          </cell>
          <cell r="BV2138">
            <v>3</v>
          </cell>
        </row>
        <row r="2139">
          <cell r="A2139" t="str">
            <v>Volvo GPA</v>
          </cell>
          <cell r="B2139" t="str">
            <v>ROHR</v>
          </cell>
          <cell r="D2139" t="str">
            <v>SHIFT B HC  - operators</v>
          </cell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>
            <v>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  <cell r="BK2139">
            <v>0</v>
          </cell>
          <cell r="BL2139">
            <v>0</v>
          </cell>
          <cell r="BM2139">
            <v>0</v>
          </cell>
          <cell r="BN2139">
            <v>0</v>
          </cell>
          <cell r="BO2139">
            <v>0</v>
          </cell>
          <cell r="BP2139">
            <v>0</v>
          </cell>
          <cell r="BQ2139">
            <v>0</v>
          </cell>
          <cell r="BR2139">
            <v>0</v>
          </cell>
          <cell r="BS2139">
            <v>0</v>
          </cell>
          <cell r="BT2139">
            <v>0</v>
          </cell>
          <cell r="BU2139">
            <v>0</v>
          </cell>
          <cell r="BV2139">
            <v>0</v>
          </cell>
        </row>
        <row r="2140">
          <cell r="A2140" t="str">
            <v>Volvo GPA</v>
          </cell>
          <cell r="B2140" t="str">
            <v>ROHR</v>
          </cell>
          <cell r="D2140" t="str">
            <v>SHIFT C HC  - operators</v>
          </cell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>
            <v>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  <cell r="BK2140">
            <v>0</v>
          </cell>
          <cell r="BL2140">
            <v>0</v>
          </cell>
          <cell r="BM2140">
            <v>0</v>
          </cell>
          <cell r="BN2140">
            <v>0</v>
          </cell>
          <cell r="BO2140">
            <v>0</v>
          </cell>
          <cell r="BP2140">
            <v>0</v>
          </cell>
          <cell r="BQ2140">
            <v>0</v>
          </cell>
          <cell r="BR2140">
            <v>0</v>
          </cell>
          <cell r="BS2140">
            <v>0</v>
          </cell>
          <cell r="BT2140">
            <v>0</v>
          </cell>
          <cell r="BU2140">
            <v>0</v>
          </cell>
          <cell r="BV2140">
            <v>0</v>
          </cell>
        </row>
        <row r="2141">
          <cell r="A2141" t="str">
            <v>Volvo GPA</v>
          </cell>
          <cell r="B2141" t="str">
            <v>ROHR</v>
          </cell>
          <cell r="D2141" t="str">
            <v>Total HC</v>
          </cell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>
            <v>2</v>
          </cell>
          <cell r="AK2141">
            <v>2</v>
          </cell>
          <cell r="AL2141">
            <v>2</v>
          </cell>
          <cell r="AM2141">
            <v>2</v>
          </cell>
          <cell r="AN2141">
            <v>2</v>
          </cell>
          <cell r="AO2141">
            <v>2</v>
          </cell>
          <cell r="AP2141">
            <v>3</v>
          </cell>
          <cell r="AQ2141">
            <v>3</v>
          </cell>
          <cell r="AR2141">
            <v>3</v>
          </cell>
          <cell r="AS2141">
            <v>3</v>
          </cell>
          <cell r="AT2141">
            <v>3</v>
          </cell>
          <cell r="AU2141">
            <v>3</v>
          </cell>
          <cell r="AV2141">
            <v>3</v>
          </cell>
          <cell r="AW2141">
            <v>3</v>
          </cell>
          <cell r="AX2141">
            <v>3</v>
          </cell>
          <cell r="AY2141">
            <v>3</v>
          </cell>
          <cell r="AZ2141">
            <v>3</v>
          </cell>
          <cell r="BA2141">
            <v>3</v>
          </cell>
          <cell r="BB2141">
            <v>4</v>
          </cell>
          <cell r="BC2141">
            <v>4</v>
          </cell>
          <cell r="BD2141">
            <v>4</v>
          </cell>
          <cell r="BE2141">
            <v>4</v>
          </cell>
          <cell r="BF2141">
            <v>4</v>
          </cell>
          <cell r="BG2141">
            <v>5</v>
          </cell>
          <cell r="BH2141">
            <v>5</v>
          </cell>
          <cell r="BI2141">
            <v>5</v>
          </cell>
          <cell r="BJ2141">
            <v>5</v>
          </cell>
          <cell r="BK2141">
            <v>3</v>
          </cell>
          <cell r="BL2141">
            <v>3</v>
          </cell>
          <cell r="BM2141">
            <v>3</v>
          </cell>
          <cell r="BN2141">
            <v>3</v>
          </cell>
          <cell r="BO2141">
            <v>3</v>
          </cell>
          <cell r="BP2141">
            <v>3</v>
          </cell>
          <cell r="BQ2141">
            <v>3</v>
          </cell>
          <cell r="BR2141">
            <v>3</v>
          </cell>
          <cell r="BS2141">
            <v>3</v>
          </cell>
          <cell r="BT2141">
            <v>3</v>
          </cell>
          <cell r="BU2141">
            <v>3</v>
          </cell>
          <cell r="BV2141">
            <v>3</v>
          </cell>
        </row>
        <row r="2142">
          <cell r="A2142" t="str">
            <v>Volvo GPA</v>
          </cell>
          <cell r="B2142" t="str">
            <v>ROHR</v>
          </cell>
          <cell r="D2142" t="str">
            <v>SHIFT A HC  - efficiency</v>
          </cell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>
            <v>0.85</v>
          </cell>
          <cell r="AJ2142">
            <v>0.85</v>
          </cell>
          <cell r="AK2142">
            <v>0.85</v>
          </cell>
          <cell r="AL2142">
            <v>0.85</v>
          </cell>
          <cell r="AM2142">
            <v>0.85</v>
          </cell>
          <cell r="AN2142">
            <v>0.85</v>
          </cell>
          <cell r="AO2142">
            <v>0.85</v>
          </cell>
          <cell r="AP2142">
            <v>0.85</v>
          </cell>
          <cell r="AQ2142">
            <v>0.85</v>
          </cell>
          <cell r="AR2142">
            <v>0.85</v>
          </cell>
          <cell r="AS2142">
            <v>0.85</v>
          </cell>
          <cell r="AT2142">
            <v>0.85</v>
          </cell>
          <cell r="AU2142">
            <v>0.85</v>
          </cell>
          <cell r="AV2142">
            <v>0.85</v>
          </cell>
          <cell r="AW2142">
            <v>0.85</v>
          </cell>
          <cell r="AX2142">
            <v>0.85</v>
          </cell>
          <cell r="AY2142">
            <v>0.85</v>
          </cell>
          <cell r="AZ2142">
            <v>0.85</v>
          </cell>
          <cell r="BA2142">
            <v>0.85</v>
          </cell>
          <cell r="BB2142">
            <v>0.85</v>
          </cell>
          <cell r="BC2142">
            <v>0.85</v>
          </cell>
          <cell r="BD2142">
            <v>0.85</v>
          </cell>
          <cell r="BE2142">
            <v>0.85</v>
          </cell>
          <cell r="BF2142">
            <v>0.85</v>
          </cell>
          <cell r="BG2142">
            <v>0.85</v>
          </cell>
          <cell r="BH2142">
            <v>0.85</v>
          </cell>
          <cell r="BI2142">
            <v>0.85</v>
          </cell>
          <cell r="BJ2142">
            <v>0.85</v>
          </cell>
          <cell r="BK2142">
            <v>1.2</v>
          </cell>
          <cell r="BL2142">
            <v>1.2</v>
          </cell>
          <cell r="BM2142">
            <v>1.2</v>
          </cell>
          <cell r="BN2142">
            <v>1.2</v>
          </cell>
          <cell r="BO2142">
            <v>1.2</v>
          </cell>
          <cell r="BP2142">
            <v>1.2</v>
          </cell>
          <cell r="BQ2142">
            <v>1.2</v>
          </cell>
          <cell r="BR2142">
            <v>1.2</v>
          </cell>
          <cell r="BS2142">
            <v>1.2</v>
          </cell>
          <cell r="BT2142">
            <v>1.2</v>
          </cell>
          <cell r="BU2142">
            <v>1.2</v>
          </cell>
          <cell r="BV2142">
            <v>1.2</v>
          </cell>
        </row>
        <row r="2143">
          <cell r="A2143" t="str">
            <v>Volvo GPA</v>
          </cell>
          <cell r="B2143" t="str">
            <v>ROHR</v>
          </cell>
          <cell r="D2143" t="str">
            <v>SHIFT B HC  - efficiency</v>
          </cell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>
            <v>0.85</v>
          </cell>
          <cell r="AK2143">
            <v>0.85</v>
          </cell>
          <cell r="AL2143">
            <v>0.85</v>
          </cell>
          <cell r="AM2143">
            <v>0.85</v>
          </cell>
          <cell r="AN2143">
            <v>0.85</v>
          </cell>
          <cell r="AO2143">
            <v>0.85</v>
          </cell>
          <cell r="AP2143">
            <v>0.85</v>
          </cell>
          <cell r="AQ2143">
            <v>0.85</v>
          </cell>
          <cell r="AR2143">
            <v>0.85</v>
          </cell>
          <cell r="AS2143">
            <v>0.85</v>
          </cell>
          <cell r="AT2143">
            <v>0.85</v>
          </cell>
          <cell r="AU2143">
            <v>0.85</v>
          </cell>
          <cell r="AV2143">
            <v>0.85</v>
          </cell>
          <cell r="AW2143">
            <v>0.85</v>
          </cell>
          <cell r="AX2143">
            <v>0.85</v>
          </cell>
          <cell r="AY2143">
            <v>0.85</v>
          </cell>
          <cell r="AZ2143">
            <v>0.85</v>
          </cell>
          <cell r="BA2143">
            <v>0.85</v>
          </cell>
          <cell r="BB2143">
            <v>0.85</v>
          </cell>
          <cell r="BC2143">
            <v>0.85</v>
          </cell>
          <cell r="BD2143">
            <v>0.85</v>
          </cell>
          <cell r="BE2143">
            <v>0.85</v>
          </cell>
          <cell r="BF2143">
            <v>0.85</v>
          </cell>
          <cell r="BG2143">
            <v>0.85</v>
          </cell>
          <cell r="BH2143">
            <v>0.85</v>
          </cell>
          <cell r="BI2143">
            <v>0.85</v>
          </cell>
          <cell r="BJ2143">
            <v>0.85</v>
          </cell>
          <cell r="BK2143">
            <v>1</v>
          </cell>
          <cell r="BL2143">
            <v>1</v>
          </cell>
          <cell r="BM2143">
            <v>1</v>
          </cell>
          <cell r="BN2143">
            <v>1</v>
          </cell>
          <cell r="BO2143">
            <v>1</v>
          </cell>
          <cell r="BP2143">
            <v>1</v>
          </cell>
          <cell r="BQ2143">
            <v>1</v>
          </cell>
          <cell r="BR2143">
            <v>1</v>
          </cell>
          <cell r="BS2143">
            <v>1</v>
          </cell>
          <cell r="BT2143">
            <v>1</v>
          </cell>
          <cell r="BU2143">
            <v>1</v>
          </cell>
          <cell r="BV2143">
            <v>1</v>
          </cell>
        </row>
        <row r="2144">
          <cell r="A2144" t="str">
            <v>Volvo GPA</v>
          </cell>
          <cell r="B2144" t="str">
            <v>ROHR</v>
          </cell>
          <cell r="D2144" t="str">
            <v>SHIFT C HC  - efficiency</v>
          </cell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>
            <v>0.85</v>
          </cell>
          <cell r="AK2144">
            <v>0.85</v>
          </cell>
          <cell r="AL2144">
            <v>0.85</v>
          </cell>
          <cell r="AM2144">
            <v>0.85</v>
          </cell>
          <cell r="AN2144">
            <v>0.85</v>
          </cell>
          <cell r="AO2144">
            <v>0.85</v>
          </cell>
          <cell r="AP2144">
            <v>0.85</v>
          </cell>
          <cell r="AQ2144">
            <v>0.85</v>
          </cell>
          <cell r="AR2144">
            <v>0.85</v>
          </cell>
          <cell r="AS2144">
            <v>0.85</v>
          </cell>
          <cell r="AT2144">
            <v>0.85</v>
          </cell>
          <cell r="AU2144">
            <v>0.85</v>
          </cell>
          <cell r="AV2144">
            <v>0.85</v>
          </cell>
          <cell r="AW2144">
            <v>0.85</v>
          </cell>
          <cell r="AX2144">
            <v>0.85</v>
          </cell>
          <cell r="AY2144">
            <v>0.85</v>
          </cell>
          <cell r="AZ2144">
            <v>0.85</v>
          </cell>
          <cell r="BA2144">
            <v>0.85</v>
          </cell>
          <cell r="BB2144">
            <v>0.85</v>
          </cell>
          <cell r="BC2144">
            <v>0.85</v>
          </cell>
          <cell r="BD2144">
            <v>0.85</v>
          </cell>
          <cell r="BE2144">
            <v>0.85</v>
          </cell>
          <cell r="BF2144">
            <v>0.85</v>
          </cell>
          <cell r="BG2144">
            <v>0.85</v>
          </cell>
          <cell r="BH2144">
            <v>0.85</v>
          </cell>
          <cell r="BI2144">
            <v>0.85</v>
          </cell>
          <cell r="BJ2144">
            <v>0.85</v>
          </cell>
          <cell r="BK2144">
            <v>1</v>
          </cell>
          <cell r="BL2144">
            <v>1</v>
          </cell>
          <cell r="BM2144">
            <v>1</v>
          </cell>
          <cell r="BN2144">
            <v>1</v>
          </cell>
          <cell r="BO2144">
            <v>1</v>
          </cell>
          <cell r="BP2144">
            <v>1</v>
          </cell>
          <cell r="BQ2144">
            <v>1</v>
          </cell>
          <cell r="BR2144">
            <v>1</v>
          </cell>
          <cell r="BS2144">
            <v>1</v>
          </cell>
          <cell r="BT2144">
            <v>1</v>
          </cell>
          <cell r="BU2144">
            <v>1</v>
          </cell>
          <cell r="BV2144">
            <v>1</v>
          </cell>
        </row>
        <row r="2145">
          <cell r="A2145" t="str">
            <v>Volvo GPA</v>
          </cell>
          <cell r="B2145" t="str">
            <v>ROHR</v>
          </cell>
          <cell r="D2145" t="str">
            <v>Total efficiency</v>
          </cell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</row>
        <row r="2146">
          <cell r="A2146" t="str">
            <v>Volvo GPA</v>
          </cell>
          <cell r="B2146" t="str">
            <v>ROHR</v>
          </cell>
          <cell r="D2146" t="str">
            <v>SHIFT A - output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>
            <v>133.04347826086956</v>
          </cell>
          <cell r="AJ2146">
            <v>133.04347826086956</v>
          </cell>
          <cell r="AK2146">
            <v>133.04347826086956</v>
          </cell>
          <cell r="AL2146">
            <v>133.04347826086956</v>
          </cell>
          <cell r="AM2146">
            <v>133.04347826086956</v>
          </cell>
          <cell r="AN2146">
            <v>133.04347826086956</v>
          </cell>
          <cell r="AO2146">
            <v>133.04347826086956</v>
          </cell>
          <cell r="AP2146">
            <v>199.56521739130434</v>
          </cell>
          <cell r="AQ2146">
            <v>199.56521739130434</v>
          </cell>
          <cell r="AR2146">
            <v>199.56521739130434</v>
          </cell>
          <cell r="AS2146">
            <v>199.56521739130434</v>
          </cell>
          <cell r="AT2146">
            <v>199.56521739130434</v>
          </cell>
          <cell r="AU2146">
            <v>199.56521739130434</v>
          </cell>
          <cell r="AV2146">
            <v>199.56521739130434</v>
          </cell>
          <cell r="AW2146">
            <v>199.56521739130434</v>
          </cell>
          <cell r="AX2146">
            <v>199.56521739130434</v>
          </cell>
          <cell r="AY2146">
            <v>199.56521739130434</v>
          </cell>
          <cell r="AZ2146">
            <v>199.56521739130434</v>
          </cell>
          <cell r="BA2146">
            <v>199.56521739130434</v>
          </cell>
          <cell r="BB2146">
            <v>266.08695652173913</v>
          </cell>
          <cell r="BC2146">
            <v>266.08695652173913</v>
          </cell>
          <cell r="BD2146">
            <v>266.08695652173913</v>
          </cell>
          <cell r="BE2146">
            <v>266.08695652173913</v>
          </cell>
          <cell r="BF2146">
            <v>266.08695652173913</v>
          </cell>
          <cell r="BG2146">
            <v>332.60869565217388</v>
          </cell>
          <cell r="BH2146">
            <v>332.60869565217388</v>
          </cell>
          <cell r="BI2146">
            <v>332.60869565217388</v>
          </cell>
          <cell r="BJ2146">
            <v>332.60869565217388</v>
          </cell>
          <cell r="BK2146">
            <v>281.73913043478262</v>
          </cell>
          <cell r="BL2146">
            <v>281.73913043478262</v>
          </cell>
          <cell r="BM2146">
            <v>281.73913043478262</v>
          </cell>
          <cell r="BN2146">
            <v>281.73913043478262</v>
          </cell>
          <cell r="BO2146">
            <v>281.73913043478262</v>
          </cell>
          <cell r="BP2146">
            <v>281.73913043478262</v>
          </cell>
          <cell r="BQ2146">
            <v>281.73913043478262</v>
          </cell>
          <cell r="BR2146">
            <v>281.73913043478262</v>
          </cell>
          <cell r="BS2146">
            <v>281.73913043478262</v>
          </cell>
          <cell r="BT2146">
            <v>281.73913043478262</v>
          </cell>
          <cell r="BU2146">
            <v>281.73913043478262</v>
          </cell>
          <cell r="BV2146">
            <v>281.73913043478262</v>
          </cell>
        </row>
        <row r="2147">
          <cell r="A2147" t="str">
            <v>Volvo GPA</v>
          </cell>
          <cell r="B2147" t="str">
            <v>ROHR</v>
          </cell>
          <cell r="D2147" t="str">
            <v>SHIFT B  - output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  <cell r="AI2147">
            <v>0</v>
          </cell>
          <cell r="AJ2147">
            <v>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  <cell r="BK2147">
            <v>0</v>
          </cell>
          <cell r="BL2147">
            <v>0</v>
          </cell>
          <cell r="BM2147">
            <v>0</v>
          </cell>
          <cell r="BN2147">
            <v>0</v>
          </cell>
          <cell r="BO2147">
            <v>0</v>
          </cell>
          <cell r="BP2147">
            <v>0</v>
          </cell>
          <cell r="BQ2147">
            <v>0</v>
          </cell>
          <cell r="BR2147">
            <v>0</v>
          </cell>
          <cell r="BS2147">
            <v>0</v>
          </cell>
          <cell r="BT2147">
            <v>0</v>
          </cell>
          <cell r="BU2147">
            <v>0</v>
          </cell>
          <cell r="BV2147">
            <v>0</v>
          </cell>
        </row>
        <row r="2148">
          <cell r="A2148" t="str">
            <v>Volvo GPA</v>
          </cell>
          <cell r="B2148" t="str">
            <v>ROHR</v>
          </cell>
          <cell r="D2148" t="str">
            <v>SHIFT C  - output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  <cell r="BK2148">
            <v>0</v>
          </cell>
          <cell r="BL2148">
            <v>0</v>
          </cell>
          <cell r="BM2148">
            <v>0</v>
          </cell>
          <cell r="BN2148">
            <v>0</v>
          </cell>
          <cell r="BO2148">
            <v>0</v>
          </cell>
          <cell r="BP2148">
            <v>0</v>
          </cell>
          <cell r="BQ2148">
            <v>0</v>
          </cell>
          <cell r="BR2148">
            <v>0</v>
          </cell>
          <cell r="BS2148">
            <v>0</v>
          </cell>
          <cell r="BT2148">
            <v>0</v>
          </cell>
          <cell r="BU2148">
            <v>0</v>
          </cell>
          <cell r="BV2148">
            <v>0</v>
          </cell>
        </row>
        <row r="2149">
          <cell r="A2149" t="str">
            <v>Volvo GPA</v>
          </cell>
          <cell r="B2149" t="str">
            <v>ROHR</v>
          </cell>
          <cell r="D2149" t="str">
            <v>Est. Output (Pcs day)</v>
          </cell>
          <cell r="E2149">
            <v>5.33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143.52720450281427</v>
          </cell>
          <cell r="AJ2149">
            <v>143.52720450281427</v>
          </cell>
          <cell r="AK2149">
            <v>143.52720450281427</v>
          </cell>
          <cell r="AL2149">
            <v>143.52720450281427</v>
          </cell>
          <cell r="AM2149">
            <v>143.52720450281427</v>
          </cell>
          <cell r="AN2149">
            <v>143.52720450281427</v>
          </cell>
          <cell r="AO2149">
            <v>143.52720450281427</v>
          </cell>
          <cell r="AP2149">
            <v>215.29080675422139</v>
          </cell>
          <cell r="AQ2149">
            <v>215.29080675422139</v>
          </cell>
          <cell r="AR2149">
            <v>215.29080675422139</v>
          </cell>
          <cell r="AS2149">
            <v>215.29080675422139</v>
          </cell>
          <cell r="AT2149">
            <v>215.29080675422139</v>
          </cell>
          <cell r="AU2149">
            <v>215.29080675422139</v>
          </cell>
          <cell r="AV2149">
            <v>215.29080675422139</v>
          </cell>
          <cell r="AW2149">
            <v>215.29080675422139</v>
          </cell>
          <cell r="AX2149">
            <v>215.29080675422139</v>
          </cell>
          <cell r="AY2149">
            <v>215.29080675422139</v>
          </cell>
          <cell r="AZ2149">
            <v>215.29080675422139</v>
          </cell>
          <cell r="BA2149">
            <v>215.29080675422139</v>
          </cell>
          <cell r="BB2149">
            <v>287.05440900562854</v>
          </cell>
          <cell r="BC2149">
            <v>287.05440900562854</v>
          </cell>
          <cell r="BD2149">
            <v>287.05440900562854</v>
          </cell>
          <cell r="BE2149">
            <v>287.05440900562854</v>
          </cell>
          <cell r="BF2149">
            <v>287.05440900562854</v>
          </cell>
          <cell r="BG2149">
            <v>358.81801125703566</v>
          </cell>
          <cell r="BH2149">
            <v>358.81801125703566</v>
          </cell>
          <cell r="BI2149">
            <v>358.81801125703566</v>
          </cell>
          <cell r="BJ2149">
            <v>358.81801125703566</v>
          </cell>
          <cell r="BK2149">
            <v>303.93996247654786</v>
          </cell>
          <cell r="BL2149">
            <v>303.93996247654786</v>
          </cell>
          <cell r="BM2149">
            <v>303.93996247654786</v>
          </cell>
          <cell r="BN2149">
            <v>303.93996247654786</v>
          </cell>
          <cell r="BO2149">
            <v>303.93996247654786</v>
          </cell>
          <cell r="BP2149">
            <v>303.93996247654786</v>
          </cell>
          <cell r="BQ2149">
            <v>303.93996247654786</v>
          </cell>
          <cell r="BR2149">
            <v>303.93996247654786</v>
          </cell>
          <cell r="BS2149">
            <v>303.93996247654786</v>
          </cell>
          <cell r="BT2149">
            <v>303.93996247654786</v>
          </cell>
          <cell r="BU2149">
            <v>303.93996247654786</v>
          </cell>
          <cell r="BV2149">
            <v>303.93996247654786</v>
          </cell>
        </row>
        <row r="2150">
          <cell r="A2150" t="str">
            <v>Volvo GPA</v>
          </cell>
          <cell r="B2150" t="str">
            <v>ROHR</v>
          </cell>
          <cell r="D2150" t="str">
            <v>Weekly Output PLAN</v>
          </cell>
          <cell r="E2150" t="str">
            <v>ASSY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287.05440900562854</v>
          </cell>
          <cell r="AJ2150">
            <v>0</v>
          </cell>
          <cell r="AK2150">
            <v>574.10881801125709</v>
          </cell>
          <cell r="AL2150">
            <v>574.10881801125709</v>
          </cell>
          <cell r="AM2150">
            <v>717.63602251407133</v>
          </cell>
          <cell r="AN2150">
            <v>574.10881801125709</v>
          </cell>
          <cell r="AO2150">
            <v>717.63602251407133</v>
          </cell>
          <cell r="AP2150">
            <v>1076.4540337711069</v>
          </cell>
          <cell r="AQ2150">
            <v>1076.4540337711069</v>
          </cell>
          <cell r="AR2150">
            <v>1076.4540337711069</v>
          </cell>
          <cell r="AS2150">
            <v>1076.4540337711069</v>
          </cell>
          <cell r="AT2150">
            <v>1076.4540337711069</v>
          </cell>
          <cell r="AU2150">
            <v>1076.4540337711069</v>
          </cell>
          <cell r="AV2150">
            <v>1076.4540337711069</v>
          </cell>
          <cell r="AW2150">
            <v>1076.4540337711069</v>
          </cell>
          <cell r="AX2150">
            <v>1076.4540337711069</v>
          </cell>
          <cell r="AY2150">
            <v>1076.4540337711069</v>
          </cell>
          <cell r="AZ2150">
            <v>0</v>
          </cell>
          <cell r="BA2150">
            <v>0</v>
          </cell>
          <cell r="BB2150">
            <v>1435.2720450281427</v>
          </cell>
          <cell r="BC2150">
            <v>1435.2720450281427</v>
          </cell>
          <cell r="BD2150">
            <v>1435.2720450281427</v>
          </cell>
          <cell r="BE2150">
            <v>1435.2720450281427</v>
          </cell>
          <cell r="BF2150">
            <v>1435.2720450281427</v>
          </cell>
          <cell r="BG2150">
            <v>1794.0900562851784</v>
          </cell>
          <cell r="BH2150">
            <v>1794.0900562851784</v>
          </cell>
          <cell r="BI2150">
            <v>1794.0900562851784</v>
          </cell>
          <cell r="BJ2150">
            <v>1794.0900562851784</v>
          </cell>
          <cell r="BK2150">
            <v>1519.6998123827393</v>
          </cell>
          <cell r="BL2150">
            <v>911.81988742964359</v>
          </cell>
          <cell r="BM2150">
            <v>911.81988742964359</v>
          </cell>
          <cell r="BN2150">
            <v>911.81988742964359</v>
          </cell>
          <cell r="BO2150">
            <v>911.81988742964359</v>
          </cell>
          <cell r="BP2150">
            <v>911.81988742964359</v>
          </cell>
          <cell r="BQ2150">
            <v>911.81988742964359</v>
          </cell>
          <cell r="BR2150">
            <v>911.81988742964359</v>
          </cell>
          <cell r="BS2150">
            <v>911.81988742964359</v>
          </cell>
          <cell r="BT2150">
            <v>911.81988742964359</v>
          </cell>
          <cell r="BU2150">
            <v>911.81988742964359</v>
          </cell>
          <cell r="BV2150">
            <v>911.81988742964359</v>
          </cell>
        </row>
        <row r="2151">
          <cell r="A2151" t="str">
            <v>Volvo GPA</v>
          </cell>
          <cell r="B2151" t="str">
            <v>ROHR</v>
          </cell>
          <cell r="D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</row>
        <row r="2152">
          <cell r="A2152" t="str">
            <v>Volvo GPA</v>
          </cell>
          <cell r="B2152" t="str">
            <v>ROHR</v>
          </cell>
          <cell r="D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</row>
        <row r="2153">
          <cell r="A2153" t="str">
            <v>Volvo GPA</v>
          </cell>
          <cell r="B2153" t="str">
            <v>ROHR</v>
          </cell>
          <cell r="D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</row>
        <row r="2154">
          <cell r="A2154" t="str">
            <v>Volvo GPA</v>
          </cell>
          <cell r="B2154" t="str">
            <v>ROHR</v>
          </cell>
          <cell r="D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</row>
        <row r="2155">
          <cell r="A2155" t="str">
            <v>Volvo GPA</v>
          </cell>
          <cell r="B2155" t="str">
            <v>ROHR</v>
          </cell>
          <cell r="D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</row>
        <row r="2156">
          <cell r="A2156" t="str">
            <v>Volvo GPA</v>
          </cell>
          <cell r="B2156" t="str">
            <v>ROHR</v>
          </cell>
          <cell r="D2156" t="str">
            <v>Weekly Output PLAN - SUM of models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0</v>
          </cell>
          <cell r="AJ2156">
            <v>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  <cell r="BK2156">
            <v>0</v>
          </cell>
          <cell r="BL2156">
            <v>0</v>
          </cell>
          <cell r="BM2156">
            <v>0</v>
          </cell>
          <cell r="BN2156">
            <v>0</v>
          </cell>
          <cell r="BO2156">
            <v>0</v>
          </cell>
          <cell r="BP2156">
            <v>0</v>
          </cell>
          <cell r="BQ2156">
            <v>0</v>
          </cell>
          <cell r="BR2156">
            <v>0</v>
          </cell>
          <cell r="BS2156">
            <v>0</v>
          </cell>
          <cell r="BT2156">
            <v>0</v>
          </cell>
          <cell r="BU2156">
            <v>0</v>
          </cell>
          <cell r="BV2156">
            <v>0</v>
          </cell>
        </row>
        <row r="2157">
          <cell r="A2157" t="str">
            <v>Volvo GPA</v>
          </cell>
          <cell r="B2157" t="str">
            <v>ROHR</v>
          </cell>
          <cell r="D2157" t="str">
            <v>Weekly Output CHECK with TO time multiple</v>
          </cell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</row>
        <row r="2158">
          <cell r="A2158" t="str">
            <v>Volvo GPA</v>
          </cell>
          <cell r="B2158" t="str">
            <v>ROHR</v>
          </cell>
          <cell r="D2158" t="str">
            <v>Weekly Output ACT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287.05440900562854</v>
          </cell>
          <cell r="AJ2158">
            <v>0</v>
          </cell>
          <cell r="AK2158">
            <v>574.10881801125709</v>
          </cell>
          <cell r="AL2158">
            <v>574.10881801125709</v>
          </cell>
          <cell r="AM2158">
            <v>717.63602251407133</v>
          </cell>
          <cell r="AN2158">
            <v>574.10881801125709</v>
          </cell>
          <cell r="AO2158">
            <v>717.63602251407133</v>
          </cell>
          <cell r="AP2158">
            <v>1076.4540337711069</v>
          </cell>
          <cell r="AQ2158">
            <v>1076.4540337711069</v>
          </cell>
          <cell r="AR2158">
            <v>1076.4540337711069</v>
          </cell>
          <cell r="AS2158">
            <v>1076.4540337711069</v>
          </cell>
          <cell r="AT2158">
            <v>1076.4540337711069</v>
          </cell>
          <cell r="AU2158">
            <v>1076.4540337711069</v>
          </cell>
          <cell r="AV2158">
            <v>1076.4540337711069</v>
          </cell>
          <cell r="AW2158">
            <v>1076.4540337711069</v>
          </cell>
          <cell r="AX2158">
            <v>1076.4540337711069</v>
          </cell>
          <cell r="AY2158">
            <v>1076.4540337711069</v>
          </cell>
          <cell r="AZ2158">
            <v>0</v>
          </cell>
          <cell r="BA2158">
            <v>0</v>
          </cell>
          <cell r="BB2158">
            <v>1435.2720450281427</v>
          </cell>
          <cell r="BC2158">
            <v>1435.2720450281427</v>
          </cell>
          <cell r="BD2158">
            <v>1435.2720450281427</v>
          </cell>
          <cell r="BE2158">
            <v>1435.2720450281427</v>
          </cell>
          <cell r="BF2158">
            <v>1435.2720450281427</v>
          </cell>
          <cell r="BG2158">
            <v>1794.0900562851784</v>
          </cell>
          <cell r="BH2158">
            <v>1794.0900562851784</v>
          </cell>
          <cell r="BI2158">
            <v>1794.0900562851784</v>
          </cell>
          <cell r="BJ2158">
            <v>1794.0900562851784</v>
          </cell>
          <cell r="BK2158">
            <v>1519.6998123827393</v>
          </cell>
          <cell r="BL2158">
            <v>911.81988742964359</v>
          </cell>
          <cell r="BM2158">
            <v>911.81988742964359</v>
          </cell>
          <cell r="BN2158">
            <v>911.81988742964359</v>
          </cell>
          <cell r="BO2158">
            <v>911.81988742964359</v>
          </cell>
          <cell r="BP2158">
            <v>911.81988742964359</v>
          </cell>
          <cell r="BQ2158">
            <v>911.81988742964359</v>
          </cell>
          <cell r="BR2158">
            <v>911.81988742964359</v>
          </cell>
          <cell r="BS2158">
            <v>911.81988742964359</v>
          </cell>
          <cell r="BT2158">
            <v>911.81988742964359</v>
          </cell>
          <cell r="BU2158">
            <v>911.81988742964359</v>
          </cell>
          <cell r="BV2158">
            <v>911.81988742964359</v>
          </cell>
        </row>
        <row r="2159">
          <cell r="A2159" t="str">
            <v>Volvo GPA</v>
          </cell>
          <cell r="B2159" t="str">
            <v>ROHR</v>
          </cell>
          <cell r="D2159">
            <v>0</v>
          </cell>
          <cell r="Z2159">
            <v>0</v>
          </cell>
          <cell r="AA2159">
            <v>314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210</v>
          </cell>
          <cell r="AI2159">
            <v>105</v>
          </cell>
          <cell r="AJ2159">
            <v>0</v>
          </cell>
          <cell r="AK2159">
            <v>105</v>
          </cell>
          <cell r="AL2159">
            <v>420</v>
          </cell>
          <cell r="AM2159">
            <v>525</v>
          </cell>
          <cell r="AN2159">
            <v>840</v>
          </cell>
          <cell r="AO2159">
            <v>735</v>
          </cell>
          <cell r="AP2159">
            <v>735</v>
          </cell>
          <cell r="AQ2159">
            <v>1155</v>
          </cell>
          <cell r="AR2159">
            <v>1470</v>
          </cell>
          <cell r="AS2159">
            <v>1050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1050</v>
          </cell>
          <cell r="AY2159">
            <v>945</v>
          </cell>
          <cell r="AZ2159">
            <v>1260</v>
          </cell>
          <cell r="BA2159">
            <v>1365</v>
          </cell>
          <cell r="BB2159">
            <v>6720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9870</v>
          </cell>
          <cell r="BH2159">
            <v>0</v>
          </cell>
          <cell r="BI2159">
            <v>0</v>
          </cell>
          <cell r="BJ2159">
            <v>0</v>
          </cell>
          <cell r="BK2159">
            <v>13335</v>
          </cell>
          <cell r="BL2159">
            <v>0</v>
          </cell>
          <cell r="BM2159">
            <v>0</v>
          </cell>
          <cell r="BN2159">
            <v>0</v>
          </cell>
          <cell r="BO2159">
            <v>7770</v>
          </cell>
          <cell r="BP2159">
            <v>0</v>
          </cell>
          <cell r="BQ2159">
            <v>0</v>
          </cell>
          <cell r="BR2159">
            <v>0</v>
          </cell>
          <cell r="BS2159">
            <v>0</v>
          </cell>
          <cell r="BT2159">
            <v>6259</v>
          </cell>
          <cell r="BU2159">
            <v>0</v>
          </cell>
          <cell r="BV2159">
            <v>0</v>
          </cell>
        </row>
        <row r="2160">
          <cell r="A2160" t="str">
            <v>Volvo GPA</v>
          </cell>
          <cell r="B2160" t="str">
            <v>ROHR</v>
          </cell>
          <cell r="D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0</v>
          </cell>
          <cell r="AJ2160">
            <v>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  <cell r="BK2160">
            <v>0</v>
          </cell>
          <cell r="BL2160">
            <v>0</v>
          </cell>
          <cell r="BM2160">
            <v>0</v>
          </cell>
          <cell r="BN2160">
            <v>0</v>
          </cell>
          <cell r="BO2160">
            <v>0</v>
          </cell>
          <cell r="BP2160">
            <v>0</v>
          </cell>
          <cell r="BQ2160">
            <v>0</v>
          </cell>
          <cell r="BR2160">
            <v>0</v>
          </cell>
          <cell r="BS2160">
            <v>0</v>
          </cell>
          <cell r="BT2160">
            <v>0</v>
          </cell>
          <cell r="BU2160">
            <v>0</v>
          </cell>
          <cell r="BV2160">
            <v>0</v>
          </cell>
        </row>
        <row r="2161">
          <cell r="A2161" t="str">
            <v>Volvo GPA</v>
          </cell>
          <cell r="B2161" t="str">
            <v>ROHR</v>
          </cell>
          <cell r="D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  <cell r="AH2161">
            <v>0</v>
          </cell>
          <cell r="AI2161">
            <v>0</v>
          </cell>
          <cell r="AJ2161">
            <v>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  <cell r="BK2161">
            <v>0</v>
          </cell>
          <cell r="BL2161">
            <v>0</v>
          </cell>
          <cell r="BM2161">
            <v>0</v>
          </cell>
          <cell r="BN2161">
            <v>0</v>
          </cell>
          <cell r="BO2161">
            <v>0</v>
          </cell>
          <cell r="BP2161">
            <v>0</v>
          </cell>
          <cell r="BQ2161">
            <v>0</v>
          </cell>
          <cell r="BR2161">
            <v>0</v>
          </cell>
          <cell r="BS2161">
            <v>0</v>
          </cell>
          <cell r="BT2161">
            <v>0</v>
          </cell>
          <cell r="BU2161">
            <v>0</v>
          </cell>
          <cell r="BV2161">
            <v>0</v>
          </cell>
        </row>
        <row r="2162">
          <cell r="A2162" t="str">
            <v>Volvo GPA</v>
          </cell>
          <cell r="B2162" t="str">
            <v>ROHR</v>
          </cell>
          <cell r="D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  <cell r="AJ2162">
            <v>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  <cell r="BK2162">
            <v>0</v>
          </cell>
          <cell r="BL2162">
            <v>0</v>
          </cell>
          <cell r="BM2162">
            <v>0</v>
          </cell>
          <cell r="BN2162">
            <v>0</v>
          </cell>
          <cell r="BO2162">
            <v>0</v>
          </cell>
          <cell r="BP2162">
            <v>0</v>
          </cell>
          <cell r="BQ2162">
            <v>0</v>
          </cell>
          <cell r="BR2162">
            <v>0</v>
          </cell>
          <cell r="BS2162">
            <v>0</v>
          </cell>
          <cell r="BT2162">
            <v>0</v>
          </cell>
          <cell r="BU2162">
            <v>0</v>
          </cell>
          <cell r="BV2162">
            <v>0</v>
          </cell>
        </row>
        <row r="2163">
          <cell r="A2163" t="str">
            <v>Volvo GPA</v>
          </cell>
          <cell r="B2163" t="str">
            <v>ROHR</v>
          </cell>
          <cell r="D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  <cell r="BK2163">
            <v>0</v>
          </cell>
          <cell r="BL2163">
            <v>0</v>
          </cell>
          <cell r="BM2163">
            <v>0</v>
          </cell>
          <cell r="BN2163">
            <v>0</v>
          </cell>
          <cell r="BO2163">
            <v>0</v>
          </cell>
          <cell r="BP2163">
            <v>0</v>
          </cell>
          <cell r="BQ2163">
            <v>0</v>
          </cell>
          <cell r="BR2163">
            <v>0</v>
          </cell>
          <cell r="BS2163">
            <v>0</v>
          </cell>
          <cell r="BT2163">
            <v>0</v>
          </cell>
          <cell r="BU2163">
            <v>0</v>
          </cell>
          <cell r="BV2163">
            <v>0</v>
          </cell>
        </row>
        <row r="2164">
          <cell r="A2164" t="str">
            <v>Volvo GPA</v>
          </cell>
          <cell r="B2164" t="str">
            <v>ROHR</v>
          </cell>
          <cell r="D2164" t="str">
            <v>Weekly demand</v>
          </cell>
          <cell r="Z2164">
            <v>0</v>
          </cell>
          <cell r="AA2164">
            <v>314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210</v>
          </cell>
          <cell r="AI2164">
            <v>105</v>
          </cell>
          <cell r="AJ2164">
            <v>0</v>
          </cell>
          <cell r="AK2164">
            <v>105</v>
          </cell>
          <cell r="AL2164">
            <v>420</v>
          </cell>
          <cell r="AM2164">
            <v>525</v>
          </cell>
          <cell r="AN2164">
            <v>840</v>
          </cell>
          <cell r="AO2164">
            <v>735</v>
          </cell>
          <cell r="AP2164">
            <v>735</v>
          </cell>
          <cell r="AQ2164">
            <v>1155</v>
          </cell>
          <cell r="AR2164">
            <v>1470</v>
          </cell>
          <cell r="AS2164">
            <v>1050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1050</v>
          </cell>
          <cell r="AY2164">
            <v>945</v>
          </cell>
          <cell r="AZ2164">
            <v>1260</v>
          </cell>
          <cell r="BA2164">
            <v>1365</v>
          </cell>
          <cell r="BB2164">
            <v>6720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9870</v>
          </cell>
          <cell r="BH2164">
            <v>0</v>
          </cell>
          <cell r="BI2164">
            <v>0</v>
          </cell>
          <cell r="BJ2164">
            <v>0</v>
          </cell>
          <cell r="BK2164">
            <v>13335</v>
          </cell>
          <cell r="BL2164">
            <v>28874</v>
          </cell>
          <cell r="BM2164">
            <v>0</v>
          </cell>
          <cell r="BN2164">
            <v>0</v>
          </cell>
          <cell r="BO2164">
            <v>7770</v>
          </cell>
          <cell r="BP2164">
            <v>0</v>
          </cell>
          <cell r="BQ2164">
            <v>0</v>
          </cell>
          <cell r="BR2164">
            <v>0</v>
          </cell>
          <cell r="BS2164">
            <v>0</v>
          </cell>
          <cell r="BT2164">
            <v>6259</v>
          </cell>
          <cell r="BU2164">
            <v>0</v>
          </cell>
          <cell r="BV2164">
            <v>0</v>
          </cell>
        </row>
        <row r="2165">
          <cell r="A2165" t="str">
            <v>Volvo GPA</v>
          </cell>
          <cell r="B2165" t="str">
            <v>ROHR</v>
          </cell>
          <cell r="D2165" t="str">
            <v>Stock Target</v>
          </cell>
          <cell r="Z2165"/>
          <cell r="AA2165"/>
          <cell r="AB2165"/>
          <cell r="AC2165"/>
          <cell r="AD2165"/>
          <cell r="AE2165"/>
          <cell r="AF2165"/>
          <cell r="AG2165">
            <v>2547</v>
          </cell>
          <cell r="AH2165">
            <v>2548</v>
          </cell>
          <cell r="AI2165">
            <v>2549</v>
          </cell>
          <cell r="AJ2165">
            <v>2550</v>
          </cell>
          <cell r="AK2165">
            <v>2551</v>
          </cell>
          <cell r="AL2165">
            <v>2552</v>
          </cell>
          <cell r="AM2165">
            <v>2552</v>
          </cell>
          <cell r="AN2165">
            <v>2552</v>
          </cell>
          <cell r="AO2165">
            <v>2552</v>
          </cell>
          <cell r="AP2165">
            <v>2552</v>
          </cell>
          <cell r="AQ2165">
            <v>2552</v>
          </cell>
          <cell r="AR2165">
            <v>2552</v>
          </cell>
          <cell r="AS2165">
            <v>2552</v>
          </cell>
          <cell r="AT2165">
            <v>2552</v>
          </cell>
          <cell r="AU2165">
            <v>2552</v>
          </cell>
          <cell r="AV2165">
            <v>2552</v>
          </cell>
          <cell r="AW2165">
            <v>2552</v>
          </cell>
          <cell r="AX2165">
            <v>2552</v>
          </cell>
          <cell r="AY2165">
            <v>2552</v>
          </cell>
          <cell r="AZ2165">
            <v>2552</v>
          </cell>
          <cell r="BA2165">
            <v>2552</v>
          </cell>
          <cell r="BB2165">
            <v>2552</v>
          </cell>
          <cell r="BC2165">
            <v>2552</v>
          </cell>
          <cell r="BD2165">
            <v>2552</v>
          </cell>
          <cell r="BE2165">
            <v>2552</v>
          </cell>
          <cell r="BF2165">
            <v>2552</v>
          </cell>
          <cell r="BG2165">
            <v>2552</v>
          </cell>
          <cell r="BH2165">
            <v>2552</v>
          </cell>
          <cell r="BI2165">
            <v>2552</v>
          </cell>
          <cell r="BJ2165">
            <v>2552</v>
          </cell>
          <cell r="BK2165">
            <v>2552</v>
          </cell>
          <cell r="BL2165">
            <v>2552</v>
          </cell>
          <cell r="BM2165">
            <v>2552</v>
          </cell>
          <cell r="BN2165">
            <v>2553</v>
          </cell>
          <cell r="BO2165">
            <v>2554</v>
          </cell>
          <cell r="BP2165">
            <v>2555</v>
          </cell>
          <cell r="BQ2165">
            <v>2556</v>
          </cell>
          <cell r="BR2165">
            <v>2557</v>
          </cell>
          <cell r="BS2165">
            <v>2558</v>
          </cell>
          <cell r="BT2165">
            <v>2559</v>
          </cell>
          <cell r="BU2165">
            <v>2560</v>
          </cell>
          <cell r="BV2165">
            <v>2561</v>
          </cell>
        </row>
        <row r="2166">
          <cell r="A2166" t="str">
            <v>Volvo GPA</v>
          </cell>
          <cell r="B2166" t="str">
            <v>ROHR</v>
          </cell>
          <cell r="D2166">
            <v>0</v>
          </cell>
          <cell r="Z2166">
            <v>-91</v>
          </cell>
          <cell r="AA2166">
            <v>-405</v>
          </cell>
          <cell r="AB2166">
            <v>-405</v>
          </cell>
          <cell r="AC2166">
            <v>-405</v>
          </cell>
          <cell r="AD2166">
            <v>-405</v>
          </cell>
          <cell r="AE2166">
            <v>-405</v>
          </cell>
          <cell r="AF2166">
            <v>-405</v>
          </cell>
          <cell r="AG2166">
            <v>-405</v>
          </cell>
          <cell r="AH2166">
            <v>-615</v>
          </cell>
          <cell r="AI2166">
            <v>-720</v>
          </cell>
          <cell r="AJ2166">
            <v>-720</v>
          </cell>
          <cell r="AK2166">
            <v>-825</v>
          </cell>
          <cell r="AL2166">
            <v>-1245</v>
          </cell>
          <cell r="AM2166">
            <v>-1770</v>
          </cell>
          <cell r="AN2166">
            <v>-2085</v>
          </cell>
          <cell r="AO2166">
            <v>-2505</v>
          </cell>
          <cell r="AP2166">
            <v>-2820</v>
          </cell>
          <cell r="AQ2166">
            <v>-3660</v>
          </cell>
          <cell r="AR2166">
            <v>-4290</v>
          </cell>
          <cell r="AS2166">
            <v>-4710</v>
          </cell>
          <cell r="AT2166">
            <v>-4290</v>
          </cell>
          <cell r="AU2166">
            <v>-4710</v>
          </cell>
          <cell r="AV2166">
            <v>-4290</v>
          </cell>
          <cell r="AW2166">
            <v>-4710</v>
          </cell>
          <cell r="AX2166">
            <v>-5340</v>
          </cell>
          <cell r="AY2166">
            <v>-5655</v>
          </cell>
          <cell r="AZ2166">
            <v>-6600</v>
          </cell>
          <cell r="BA2166">
            <v>-7020</v>
          </cell>
          <cell r="BB2166">
            <v>-13320</v>
          </cell>
          <cell r="BC2166">
            <v>-7020</v>
          </cell>
          <cell r="BD2166">
            <v>-13320</v>
          </cell>
          <cell r="BE2166">
            <v>-7020</v>
          </cell>
          <cell r="BF2166">
            <v>-13320</v>
          </cell>
          <cell r="BG2166">
            <v>-16890</v>
          </cell>
          <cell r="BH2166">
            <v>-13320</v>
          </cell>
          <cell r="BI2166">
            <v>-16890</v>
          </cell>
          <cell r="BJ2166">
            <v>-13320</v>
          </cell>
          <cell r="BK2166">
            <v>-30225</v>
          </cell>
          <cell r="BL2166">
            <v>-13320</v>
          </cell>
          <cell r="BM2166">
            <v>-30225</v>
          </cell>
          <cell r="BN2166">
            <v>-13320</v>
          </cell>
          <cell r="BO2166">
            <v>-37995</v>
          </cell>
          <cell r="BP2166">
            <v>-13320</v>
          </cell>
          <cell r="BQ2166">
            <v>-37995</v>
          </cell>
          <cell r="BR2166">
            <v>-13320</v>
          </cell>
          <cell r="BS2166">
            <v>-37995</v>
          </cell>
          <cell r="BT2166">
            <v>-19579</v>
          </cell>
          <cell r="BU2166">
            <v>-37995</v>
          </cell>
          <cell r="BV2166">
            <v>-19579</v>
          </cell>
        </row>
        <row r="2167">
          <cell r="A2167" t="str">
            <v>Volvo GPA</v>
          </cell>
          <cell r="B2167" t="str">
            <v>ROHR</v>
          </cell>
          <cell r="D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0</v>
          </cell>
          <cell r="AJ2167">
            <v>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  <cell r="BK2167">
            <v>0</v>
          </cell>
          <cell r="BL2167">
            <v>0</v>
          </cell>
          <cell r="BM2167">
            <v>0</v>
          </cell>
          <cell r="BN2167">
            <v>0</v>
          </cell>
          <cell r="BO2167">
            <v>0</v>
          </cell>
          <cell r="BP2167">
            <v>0</v>
          </cell>
          <cell r="BQ2167">
            <v>0</v>
          </cell>
          <cell r="BR2167">
            <v>0</v>
          </cell>
          <cell r="BS2167">
            <v>0</v>
          </cell>
          <cell r="BT2167">
            <v>0</v>
          </cell>
          <cell r="BU2167">
            <v>0</v>
          </cell>
          <cell r="BV2167">
            <v>0</v>
          </cell>
        </row>
        <row r="2168">
          <cell r="A2168" t="str">
            <v>Volvo GPA</v>
          </cell>
          <cell r="B2168" t="str">
            <v>ROHR</v>
          </cell>
          <cell r="D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0</v>
          </cell>
          <cell r="AJ2168">
            <v>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  <cell r="BK2168">
            <v>0</v>
          </cell>
          <cell r="BL2168">
            <v>0</v>
          </cell>
          <cell r="BM2168">
            <v>0</v>
          </cell>
          <cell r="BN2168">
            <v>0</v>
          </cell>
          <cell r="BO2168">
            <v>0</v>
          </cell>
          <cell r="BP2168">
            <v>0</v>
          </cell>
          <cell r="BQ2168">
            <v>0</v>
          </cell>
          <cell r="BR2168">
            <v>0</v>
          </cell>
          <cell r="BS2168">
            <v>0</v>
          </cell>
          <cell r="BT2168">
            <v>0</v>
          </cell>
          <cell r="BU2168">
            <v>0</v>
          </cell>
          <cell r="BV2168">
            <v>0</v>
          </cell>
        </row>
        <row r="2169">
          <cell r="A2169" t="str">
            <v>Volvo GPA</v>
          </cell>
          <cell r="B2169" t="str">
            <v>ROHR</v>
          </cell>
          <cell r="D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  <cell r="AI2169">
            <v>0</v>
          </cell>
          <cell r="AJ2169">
            <v>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  <cell r="BK2169">
            <v>0</v>
          </cell>
          <cell r="BL2169">
            <v>0</v>
          </cell>
          <cell r="BM2169">
            <v>0</v>
          </cell>
          <cell r="BN2169">
            <v>0</v>
          </cell>
          <cell r="BO2169">
            <v>0</v>
          </cell>
          <cell r="BP2169">
            <v>0</v>
          </cell>
          <cell r="BQ2169">
            <v>0</v>
          </cell>
          <cell r="BR2169">
            <v>0</v>
          </cell>
          <cell r="BS2169">
            <v>0</v>
          </cell>
          <cell r="BT2169">
            <v>0</v>
          </cell>
          <cell r="BU2169">
            <v>0</v>
          </cell>
          <cell r="BV2169">
            <v>0</v>
          </cell>
        </row>
        <row r="2170">
          <cell r="A2170" t="str">
            <v>Volvo GPA</v>
          </cell>
          <cell r="B2170" t="str">
            <v>ROHR</v>
          </cell>
          <cell r="D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0</v>
          </cell>
          <cell r="AJ2170">
            <v>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  <cell r="BK2170">
            <v>0</v>
          </cell>
          <cell r="BL2170">
            <v>0</v>
          </cell>
          <cell r="BM2170">
            <v>0</v>
          </cell>
          <cell r="BN2170">
            <v>0</v>
          </cell>
          <cell r="BO2170">
            <v>0</v>
          </cell>
          <cell r="BP2170">
            <v>0</v>
          </cell>
          <cell r="BQ2170">
            <v>0</v>
          </cell>
          <cell r="BR2170">
            <v>0</v>
          </cell>
          <cell r="BS2170">
            <v>0</v>
          </cell>
          <cell r="BT2170">
            <v>0</v>
          </cell>
          <cell r="BU2170">
            <v>0</v>
          </cell>
          <cell r="BV2170">
            <v>0</v>
          </cell>
        </row>
        <row r="2171">
          <cell r="A2171" t="str">
            <v>Volvo GPA</v>
          </cell>
          <cell r="B2171" t="str">
            <v>ROHR</v>
          </cell>
          <cell r="D2171" t="str">
            <v>STOCK</v>
          </cell>
          <cell r="Z2171">
            <v>0</v>
          </cell>
          <cell r="AA2171">
            <v>-314</v>
          </cell>
          <cell r="AB2171">
            <v>-314</v>
          </cell>
          <cell r="AC2171">
            <v>-314</v>
          </cell>
          <cell r="AD2171">
            <v>-314</v>
          </cell>
          <cell r="AE2171">
            <v>-314</v>
          </cell>
          <cell r="AF2171">
            <v>-314</v>
          </cell>
          <cell r="AG2171">
            <v>-314</v>
          </cell>
          <cell r="AH2171">
            <v>-524</v>
          </cell>
          <cell r="AI2171">
            <v>-341.94559099437146</v>
          </cell>
          <cell r="AJ2171">
            <v>-341.94559099437146</v>
          </cell>
          <cell r="AK2171">
            <v>127.16322701688563</v>
          </cell>
          <cell r="AL2171">
            <v>281.27204502814271</v>
          </cell>
          <cell r="AM2171">
            <v>473.90806754221404</v>
          </cell>
          <cell r="AN2171">
            <v>208.01688555347113</v>
          </cell>
          <cell r="AO2171">
            <v>190.65290806754251</v>
          </cell>
          <cell r="AP2171">
            <v>532.10694183864939</v>
          </cell>
          <cell r="AQ2171">
            <v>453.56097560975627</v>
          </cell>
          <cell r="AR2171">
            <v>60.015009380863148</v>
          </cell>
          <cell r="AS2171">
            <v>86.469043151970027</v>
          </cell>
          <cell r="AT2171">
            <v>1162.9230769230769</v>
          </cell>
          <cell r="AU2171">
            <v>2239.377110694184</v>
          </cell>
          <cell r="AV2171">
            <v>3315.8311444652909</v>
          </cell>
          <cell r="AW2171">
            <v>4392.2851782363978</v>
          </cell>
          <cell r="AX2171">
            <v>4418.7392120075046</v>
          </cell>
          <cell r="AY2171">
            <v>4550.1932457786115</v>
          </cell>
          <cell r="AZ2171">
            <v>3290.1932457786115</v>
          </cell>
          <cell r="BA2171">
            <v>1925.1932457786115</v>
          </cell>
          <cell r="BB2171">
            <v>-3359.5347091932458</v>
          </cell>
          <cell r="BC2171">
            <v>-1924.2626641651032</v>
          </cell>
          <cell r="BD2171">
            <v>-488.9906191369605</v>
          </cell>
          <cell r="BE2171">
            <v>946.28142589118215</v>
          </cell>
          <cell r="BF2171">
            <v>2381.5534709193248</v>
          </cell>
          <cell r="BG2171">
            <v>-5694.3564727954963</v>
          </cell>
          <cell r="BH2171">
            <v>-3900.2664165103179</v>
          </cell>
          <cell r="BI2171">
            <v>-2106.1763602251394</v>
          </cell>
          <cell r="BJ2171">
            <v>-312.086303939961</v>
          </cell>
          <cell r="BK2171">
            <v>-12127.386491557221</v>
          </cell>
          <cell r="BL2171">
            <v>-40089.566604127576</v>
          </cell>
          <cell r="BM2171">
            <v>-39177.746716697933</v>
          </cell>
          <cell r="BN2171">
            <v>-38265.92682926829</v>
          </cell>
          <cell r="BO2171">
            <v>-45124.106941838647</v>
          </cell>
          <cell r="BP2171">
            <v>-44212.287054409004</v>
          </cell>
          <cell r="BQ2171">
            <v>-43300.467166979361</v>
          </cell>
          <cell r="BR2171">
            <v>-42388.647279549717</v>
          </cell>
          <cell r="BS2171">
            <v>-41476.827392120074</v>
          </cell>
          <cell r="BT2171">
            <v>-46824.007504690431</v>
          </cell>
          <cell r="BU2171">
            <v>-45912.187617260788</v>
          </cell>
          <cell r="BV2171">
            <v>-45000.367729831145</v>
          </cell>
        </row>
        <row r="2172">
          <cell r="A2172" t="str">
            <v>Blank</v>
          </cell>
          <cell r="B2172" t="str">
            <v>Blank</v>
          </cell>
          <cell r="D2172" t="str">
            <v>Blank</v>
          </cell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</row>
        <row r="2173">
          <cell r="A2173" t="str">
            <v>Volvo GPA</v>
          </cell>
          <cell r="B2173" t="str">
            <v>ROHR</v>
          </cell>
          <cell r="D2173" t="str">
            <v>Work days</v>
          </cell>
          <cell r="Z2173"/>
          <cell r="AA2173"/>
          <cell r="AB2173"/>
          <cell r="AC2173"/>
          <cell r="AD2173">
            <v>5</v>
          </cell>
          <cell r="AE2173">
            <v>5</v>
          </cell>
          <cell r="AF2173">
            <v>5</v>
          </cell>
          <cell r="AG2173">
            <v>5</v>
          </cell>
          <cell r="AH2173">
            <v>5</v>
          </cell>
          <cell r="AI2173">
            <v>5</v>
          </cell>
          <cell r="AJ2173">
            <v>5</v>
          </cell>
          <cell r="AK2173">
            <v>4</v>
          </cell>
          <cell r="AL2173">
            <v>4</v>
          </cell>
          <cell r="AM2173">
            <v>5</v>
          </cell>
          <cell r="AN2173">
            <v>4</v>
          </cell>
          <cell r="AO2173">
            <v>5</v>
          </cell>
          <cell r="AP2173">
            <v>5</v>
          </cell>
          <cell r="AQ2173">
            <v>5</v>
          </cell>
          <cell r="AR2173">
            <v>5</v>
          </cell>
          <cell r="AS2173">
            <v>5</v>
          </cell>
          <cell r="AT2173">
            <v>5</v>
          </cell>
          <cell r="AU2173">
            <v>5</v>
          </cell>
          <cell r="AV2173">
            <v>5</v>
          </cell>
          <cell r="AW2173">
            <v>5</v>
          </cell>
          <cell r="AX2173">
            <v>5</v>
          </cell>
          <cell r="AY2173">
            <v>5</v>
          </cell>
          <cell r="AZ2173">
            <v>0</v>
          </cell>
          <cell r="BA2173">
            <v>0</v>
          </cell>
          <cell r="BB2173">
            <v>5</v>
          </cell>
          <cell r="BC2173">
            <v>5</v>
          </cell>
          <cell r="BD2173">
            <v>5</v>
          </cell>
          <cell r="BE2173">
            <v>5</v>
          </cell>
          <cell r="BF2173">
            <v>5</v>
          </cell>
          <cell r="BG2173">
            <v>5</v>
          </cell>
          <cell r="BH2173">
            <v>5</v>
          </cell>
          <cell r="BI2173">
            <v>5</v>
          </cell>
          <cell r="BJ2173">
            <v>5</v>
          </cell>
          <cell r="BK2173">
            <v>5</v>
          </cell>
          <cell r="BL2173">
            <v>3</v>
          </cell>
          <cell r="BM2173">
            <v>3</v>
          </cell>
          <cell r="BN2173">
            <v>3</v>
          </cell>
          <cell r="BO2173">
            <v>3</v>
          </cell>
          <cell r="BP2173">
            <v>3</v>
          </cell>
          <cell r="BQ2173">
            <v>3</v>
          </cell>
          <cell r="BR2173">
            <v>3</v>
          </cell>
          <cell r="BS2173">
            <v>3</v>
          </cell>
          <cell r="BT2173">
            <v>3</v>
          </cell>
          <cell r="BU2173">
            <v>3</v>
          </cell>
          <cell r="BV2173">
            <v>3</v>
          </cell>
        </row>
        <row r="2174">
          <cell r="A2174" t="str">
            <v>Volvo GPA</v>
          </cell>
          <cell r="B2174" t="str">
            <v>ROHR</v>
          </cell>
          <cell r="D2174" t="str">
            <v>SHIFT A HC - operators</v>
          </cell>
          <cell r="Z2174"/>
          <cell r="AA2174"/>
          <cell r="AB2174"/>
          <cell r="AC2174"/>
          <cell r="AD2174">
            <v>2</v>
          </cell>
          <cell r="AE2174">
            <v>2</v>
          </cell>
          <cell r="AF2174">
            <v>2</v>
          </cell>
          <cell r="AG2174">
            <v>2</v>
          </cell>
          <cell r="AH2174">
            <v>2</v>
          </cell>
          <cell r="AI2174">
            <v>2</v>
          </cell>
          <cell r="AJ2174">
            <v>2</v>
          </cell>
          <cell r="AK2174">
            <v>2</v>
          </cell>
          <cell r="AL2174">
            <v>2</v>
          </cell>
          <cell r="AM2174">
            <v>2</v>
          </cell>
          <cell r="AN2174">
            <v>2</v>
          </cell>
          <cell r="AO2174">
            <v>3</v>
          </cell>
          <cell r="AP2174">
            <v>3</v>
          </cell>
          <cell r="AQ2174">
            <v>3</v>
          </cell>
          <cell r="AR2174">
            <v>3</v>
          </cell>
          <cell r="AS2174">
            <v>3</v>
          </cell>
          <cell r="AT2174">
            <v>3</v>
          </cell>
          <cell r="AU2174">
            <v>3</v>
          </cell>
          <cell r="AV2174">
            <v>3</v>
          </cell>
          <cell r="AW2174">
            <v>3</v>
          </cell>
          <cell r="AX2174">
            <v>3</v>
          </cell>
          <cell r="AY2174">
            <v>3</v>
          </cell>
          <cell r="AZ2174">
            <v>4</v>
          </cell>
          <cell r="BA2174">
            <v>4</v>
          </cell>
          <cell r="BB2174">
            <v>4</v>
          </cell>
          <cell r="BC2174">
            <v>4</v>
          </cell>
          <cell r="BD2174">
            <v>4</v>
          </cell>
          <cell r="BE2174">
            <v>5</v>
          </cell>
          <cell r="BF2174">
            <v>5</v>
          </cell>
          <cell r="BG2174">
            <v>5</v>
          </cell>
          <cell r="BH2174">
            <v>5</v>
          </cell>
          <cell r="BI2174">
            <v>5</v>
          </cell>
          <cell r="BJ2174">
            <v>5</v>
          </cell>
          <cell r="BK2174">
            <v>3</v>
          </cell>
          <cell r="BL2174">
            <v>3</v>
          </cell>
          <cell r="BM2174">
            <v>3</v>
          </cell>
          <cell r="BN2174">
            <v>3</v>
          </cell>
          <cell r="BO2174">
            <v>3</v>
          </cell>
          <cell r="BP2174">
            <v>3</v>
          </cell>
          <cell r="BQ2174">
            <v>3</v>
          </cell>
          <cell r="BR2174">
            <v>3</v>
          </cell>
          <cell r="BS2174">
            <v>3</v>
          </cell>
          <cell r="BT2174">
            <v>3</v>
          </cell>
          <cell r="BU2174">
            <v>3</v>
          </cell>
          <cell r="BV2174">
            <v>3</v>
          </cell>
        </row>
        <row r="2175">
          <cell r="A2175" t="str">
            <v>Volvo GPA</v>
          </cell>
          <cell r="B2175" t="str">
            <v>ROHR</v>
          </cell>
          <cell r="D2175" t="str">
            <v>SHIFT B HC  - operators</v>
          </cell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>
            <v>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  <cell r="BK2175">
            <v>0</v>
          </cell>
          <cell r="BL2175">
            <v>0</v>
          </cell>
          <cell r="BM2175">
            <v>0</v>
          </cell>
          <cell r="BN2175">
            <v>0</v>
          </cell>
          <cell r="BO2175">
            <v>0</v>
          </cell>
          <cell r="BP2175">
            <v>0</v>
          </cell>
          <cell r="BQ2175">
            <v>0</v>
          </cell>
          <cell r="BR2175">
            <v>0</v>
          </cell>
          <cell r="BS2175">
            <v>0</v>
          </cell>
          <cell r="BT2175">
            <v>0</v>
          </cell>
          <cell r="BU2175">
            <v>0</v>
          </cell>
          <cell r="BV2175">
            <v>0</v>
          </cell>
        </row>
        <row r="2176">
          <cell r="A2176" t="str">
            <v>Volvo GPA</v>
          </cell>
          <cell r="B2176" t="str">
            <v>ROHR</v>
          </cell>
          <cell r="D2176" t="str">
            <v>SHIFT C HC  - operators</v>
          </cell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>
            <v>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  <cell r="BK2176">
            <v>0</v>
          </cell>
          <cell r="BL2176">
            <v>0</v>
          </cell>
          <cell r="BM2176">
            <v>0</v>
          </cell>
          <cell r="BN2176">
            <v>0</v>
          </cell>
          <cell r="BO2176">
            <v>0</v>
          </cell>
          <cell r="BP2176">
            <v>0</v>
          </cell>
          <cell r="BQ2176">
            <v>0</v>
          </cell>
          <cell r="BR2176">
            <v>0</v>
          </cell>
          <cell r="BS2176">
            <v>0</v>
          </cell>
          <cell r="BT2176">
            <v>0</v>
          </cell>
          <cell r="BU2176">
            <v>0</v>
          </cell>
          <cell r="BV2176">
            <v>0</v>
          </cell>
        </row>
        <row r="2177">
          <cell r="A2177" t="str">
            <v>Volvo GPA</v>
          </cell>
          <cell r="B2177" t="str">
            <v>ROHR</v>
          </cell>
          <cell r="D2177" t="str">
            <v>Total HC</v>
          </cell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>
            <v>2</v>
          </cell>
          <cell r="AK2177">
            <v>2</v>
          </cell>
          <cell r="AL2177">
            <v>2</v>
          </cell>
          <cell r="AM2177">
            <v>2</v>
          </cell>
          <cell r="AN2177">
            <v>2</v>
          </cell>
          <cell r="AO2177">
            <v>3</v>
          </cell>
          <cell r="AP2177">
            <v>3</v>
          </cell>
          <cell r="AQ2177">
            <v>3</v>
          </cell>
          <cell r="AR2177">
            <v>3</v>
          </cell>
          <cell r="AS2177">
            <v>3</v>
          </cell>
          <cell r="AT2177">
            <v>3</v>
          </cell>
          <cell r="AU2177">
            <v>3</v>
          </cell>
          <cell r="AV2177">
            <v>3</v>
          </cell>
          <cell r="AW2177">
            <v>3</v>
          </cell>
          <cell r="AX2177">
            <v>3</v>
          </cell>
          <cell r="AY2177">
            <v>3</v>
          </cell>
          <cell r="AZ2177">
            <v>4</v>
          </cell>
          <cell r="BA2177">
            <v>4</v>
          </cell>
          <cell r="BB2177">
            <v>4</v>
          </cell>
          <cell r="BC2177">
            <v>4</v>
          </cell>
          <cell r="BD2177">
            <v>4</v>
          </cell>
          <cell r="BE2177">
            <v>5</v>
          </cell>
          <cell r="BF2177">
            <v>5</v>
          </cell>
          <cell r="BG2177">
            <v>5</v>
          </cell>
          <cell r="BH2177">
            <v>5</v>
          </cell>
          <cell r="BI2177">
            <v>5</v>
          </cell>
          <cell r="BJ2177">
            <v>5</v>
          </cell>
          <cell r="BK2177">
            <v>3</v>
          </cell>
          <cell r="BL2177">
            <v>3</v>
          </cell>
          <cell r="BM2177">
            <v>3</v>
          </cell>
          <cell r="BN2177">
            <v>3</v>
          </cell>
          <cell r="BO2177">
            <v>3</v>
          </cell>
          <cell r="BP2177">
            <v>3</v>
          </cell>
          <cell r="BQ2177">
            <v>3</v>
          </cell>
          <cell r="BR2177">
            <v>3</v>
          </cell>
          <cell r="BS2177">
            <v>3</v>
          </cell>
          <cell r="BT2177">
            <v>3</v>
          </cell>
          <cell r="BU2177">
            <v>3</v>
          </cell>
          <cell r="BV2177">
            <v>3</v>
          </cell>
        </row>
        <row r="2178">
          <cell r="A2178" t="str">
            <v>Volvo GPA</v>
          </cell>
          <cell r="B2178" t="str">
            <v>ROHR</v>
          </cell>
          <cell r="D2178" t="str">
            <v>SHIFT A HC  - efficiency</v>
          </cell>
          <cell r="Z2178"/>
          <cell r="AA2178"/>
          <cell r="AB2178"/>
          <cell r="AC2178"/>
          <cell r="AD2178">
            <v>0</v>
          </cell>
          <cell r="AE2178">
            <v>0</v>
          </cell>
          <cell r="AF2178">
            <v>0.5</v>
          </cell>
          <cell r="AG2178">
            <v>0.55000000000000004</v>
          </cell>
          <cell r="AH2178">
            <v>0.60000000000000009</v>
          </cell>
          <cell r="AI2178">
            <v>0.65000000000000013</v>
          </cell>
          <cell r="AJ2178">
            <v>0.70000000000000018</v>
          </cell>
          <cell r="AK2178">
            <v>0.75000000000000022</v>
          </cell>
          <cell r="AL2178">
            <v>0.80000000000000027</v>
          </cell>
          <cell r="AM2178">
            <v>0.85000000000000031</v>
          </cell>
          <cell r="AN2178">
            <v>0.90000000000000036</v>
          </cell>
          <cell r="AO2178">
            <v>0.9500000000000004</v>
          </cell>
          <cell r="AP2178">
            <v>1.0000000000000004</v>
          </cell>
          <cell r="AQ2178">
            <v>1</v>
          </cell>
          <cell r="AR2178">
            <v>1</v>
          </cell>
          <cell r="AS2178">
            <v>1</v>
          </cell>
          <cell r="AT2178">
            <v>1</v>
          </cell>
          <cell r="AU2178">
            <v>1</v>
          </cell>
          <cell r="AV2178">
            <v>1</v>
          </cell>
          <cell r="AW2178">
            <v>1</v>
          </cell>
          <cell r="AX2178">
            <v>1</v>
          </cell>
          <cell r="AY2178">
            <v>1</v>
          </cell>
          <cell r="AZ2178">
            <v>1</v>
          </cell>
          <cell r="BA2178">
            <v>1</v>
          </cell>
          <cell r="BB2178">
            <v>1</v>
          </cell>
          <cell r="BC2178">
            <v>1</v>
          </cell>
          <cell r="BD2178">
            <v>1</v>
          </cell>
          <cell r="BE2178">
            <v>1</v>
          </cell>
          <cell r="BF2178">
            <v>1</v>
          </cell>
          <cell r="BG2178">
            <v>1</v>
          </cell>
          <cell r="BH2178">
            <v>1</v>
          </cell>
          <cell r="BI2178">
            <v>1</v>
          </cell>
          <cell r="BJ2178">
            <v>1</v>
          </cell>
          <cell r="BK2178">
            <v>1.2</v>
          </cell>
          <cell r="BL2178">
            <v>1.2</v>
          </cell>
          <cell r="BM2178">
            <v>1.2</v>
          </cell>
          <cell r="BN2178">
            <v>1.2</v>
          </cell>
          <cell r="BO2178">
            <v>1.2</v>
          </cell>
          <cell r="BP2178">
            <v>1.2</v>
          </cell>
          <cell r="BQ2178">
            <v>1.2</v>
          </cell>
          <cell r="BR2178">
            <v>1.2</v>
          </cell>
          <cell r="BS2178">
            <v>1.2</v>
          </cell>
          <cell r="BT2178">
            <v>1.2</v>
          </cell>
          <cell r="BU2178">
            <v>1.2</v>
          </cell>
          <cell r="BV2178">
            <v>1.2</v>
          </cell>
        </row>
        <row r="2179">
          <cell r="A2179" t="str">
            <v>Volvo GPA</v>
          </cell>
          <cell r="B2179" t="str">
            <v>ROHR</v>
          </cell>
          <cell r="D2179" t="str">
            <v>SHIFT B HC  - efficiency</v>
          </cell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>
            <v>1</v>
          </cell>
          <cell r="AL2179">
            <v>1</v>
          </cell>
          <cell r="AM2179">
            <v>1</v>
          </cell>
          <cell r="AN2179">
            <v>1</v>
          </cell>
          <cell r="AO2179">
            <v>1</v>
          </cell>
          <cell r="AP2179">
            <v>1</v>
          </cell>
          <cell r="AQ2179">
            <v>1</v>
          </cell>
          <cell r="AR2179">
            <v>1</v>
          </cell>
          <cell r="AS2179">
            <v>1</v>
          </cell>
          <cell r="AT2179">
            <v>1</v>
          </cell>
          <cell r="AU2179">
            <v>1</v>
          </cell>
          <cell r="AV2179">
            <v>1</v>
          </cell>
          <cell r="AW2179">
            <v>1</v>
          </cell>
          <cell r="AX2179">
            <v>1</v>
          </cell>
          <cell r="AY2179">
            <v>1</v>
          </cell>
          <cell r="AZ2179">
            <v>1</v>
          </cell>
          <cell r="BA2179">
            <v>1</v>
          </cell>
          <cell r="BB2179">
            <v>1</v>
          </cell>
          <cell r="BC2179">
            <v>1</v>
          </cell>
          <cell r="BD2179">
            <v>1</v>
          </cell>
          <cell r="BE2179">
            <v>1</v>
          </cell>
          <cell r="BF2179">
            <v>1</v>
          </cell>
          <cell r="BG2179">
            <v>1</v>
          </cell>
          <cell r="BH2179">
            <v>1</v>
          </cell>
          <cell r="BI2179">
            <v>1</v>
          </cell>
          <cell r="BJ2179">
            <v>1</v>
          </cell>
          <cell r="BK2179">
            <v>1</v>
          </cell>
          <cell r="BL2179">
            <v>1</v>
          </cell>
          <cell r="BM2179">
            <v>1</v>
          </cell>
          <cell r="BN2179">
            <v>1</v>
          </cell>
          <cell r="BO2179">
            <v>1</v>
          </cell>
          <cell r="BP2179">
            <v>1</v>
          </cell>
          <cell r="BQ2179">
            <v>1</v>
          </cell>
          <cell r="BR2179">
            <v>1</v>
          </cell>
          <cell r="BS2179">
            <v>1</v>
          </cell>
          <cell r="BT2179">
            <v>1</v>
          </cell>
          <cell r="BU2179">
            <v>1</v>
          </cell>
          <cell r="BV2179">
            <v>1</v>
          </cell>
        </row>
        <row r="2180">
          <cell r="A2180" t="str">
            <v>Volvo GPA</v>
          </cell>
          <cell r="B2180" t="str">
            <v>ROHR</v>
          </cell>
          <cell r="D2180" t="str">
            <v>SHIFT C HC  - efficiency</v>
          </cell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>
            <v>1</v>
          </cell>
          <cell r="AL2180">
            <v>1</v>
          </cell>
          <cell r="AM2180">
            <v>1</v>
          </cell>
          <cell r="AN2180">
            <v>1</v>
          </cell>
          <cell r="AO2180">
            <v>1</v>
          </cell>
          <cell r="AP2180">
            <v>1</v>
          </cell>
          <cell r="AQ2180">
            <v>1</v>
          </cell>
          <cell r="AR2180">
            <v>1</v>
          </cell>
          <cell r="AS2180">
            <v>1</v>
          </cell>
          <cell r="AT2180">
            <v>1</v>
          </cell>
          <cell r="AU2180">
            <v>1</v>
          </cell>
          <cell r="AV2180">
            <v>1</v>
          </cell>
          <cell r="AW2180">
            <v>1</v>
          </cell>
          <cell r="AX2180">
            <v>1</v>
          </cell>
          <cell r="AY2180">
            <v>1</v>
          </cell>
          <cell r="AZ2180">
            <v>1</v>
          </cell>
          <cell r="BA2180">
            <v>1</v>
          </cell>
          <cell r="BB2180">
            <v>1</v>
          </cell>
          <cell r="BC2180">
            <v>1</v>
          </cell>
          <cell r="BD2180">
            <v>1</v>
          </cell>
          <cell r="BE2180">
            <v>1</v>
          </cell>
          <cell r="BF2180">
            <v>1</v>
          </cell>
          <cell r="BG2180">
            <v>1</v>
          </cell>
          <cell r="BH2180">
            <v>1</v>
          </cell>
          <cell r="BI2180">
            <v>1</v>
          </cell>
          <cell r="BJ2180">
            <v>1</v>
          </cell>
          <cell r="BK2180">
            <v>1</v>
          </cell>
          <cell r="BL2180">
            <v>1</v>
          </cell>
          <cell r="BM2180">
            <v>1</v>
          </cell>
          <cell r="BN2180">
            <v>1</v>
          </cell>
          <cell r="BO2180">
            <v>1</v>
          </cell>
          <cell r="BP2180">
            <v>1</v>
          </cell>
          <cell r="BQ2180">
            <v>1</v>
          </cell>
          <cell r="BR2180">
            <v>1</v>
          </cell>
          <cell r="BS2180">
            <v>1</v>
          </cell>
          <cell r="BT2180">
            <v>1</v>
          </cell>
          <cell r="BU2180">
            <v>1</v>
          </cell>
          <cell r="BV2180">
            <v>1</v>
          </cell>
        </row>
        <row r="2181">
          <cell r="A2181" t="str">
            <v>Volvo GPA</v>
          </cell>
          <cell r="B2181" t="str">
            <v>ROHR</v>
          </cell>
          <cell r="D2181" t="str">
            <v>Total efficiency</v>
          </cell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</row>
        <row r="2182">
          <cell r="A2182" t="str">
            <v>Volvo GPA</v>
          </cell>
          <cell r="B2182" t="str">
            <v>ROHR</v>
          </cell>
          <cell r="D2182" t="str">
            <v>SHIFT A - output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78.260869565217391</v>
          </cell>
          <cell r="AG2182">
            <v>86.08695652173914</v>
          </cell>
          <cell r="AH2182">
            <v>93.913043478260889</v>
          </cell>
          <cell r="AI2182">
            <v>101.73913043478262</v>
          </cell>
          <cell r="AJ2182">
            <v>109.56521739130437</v>
          </cell>
          <cell r="AK2182">
            <v>117.39130434782612</v>
          </cell>
          <cell r="AL2182">
            <v>125.21739130434787</v>
          </cell>
          <cell r="AM2182">
            <v>133.04347826086962</v>
          </cell>
          <cell r="AN2182">
            <v>140.86956521739137</v>
          </cell>
          <cell r="AO2182">
            <v>223.04347826086968</v>
          </cell>
          <cell r="AP2182">
            <v>234.7826086956523</v>
          </cell>
          <cell r="AQ2182">
            <v>234.78260869565219</v>
          </cell>
          <cell r="AR2182">
            <v>234.78260869565219</v>
          </cell>
          <cell r="AS2182">
            <v>234.78260869565219</v>
          </cell>
          <cell r="AT2182">
            <v>234.78260869565219</v>
          </cell>
          <cell r="AU2182">
            <v>234.78260869565219</v>
          </cell>
          <cell r="AV2182">
            <v>234.78260869565219</v>
          </cell>
          <cell r="AW2182">
            <v>234.78260869565219</v>
          </cell>
          <cell r="AX2182">
            <v>234.78260869565219</v>
          </cell>
          <cell r="AY2182">
            <v>234.78260869565219</v>
          </cell>
          <cell r="AZ2182">
            <v>313.04347826086956</v>
          </cell>
          <cell r="BA2182">
            <v>313.04347826086956</v>
          </cell>
          <cell r="BB2182">
            <v>313.04347826086956</v>
          </cell>
          <cell r="BC2182">
            <v>313.04347826086956</v>
          </cell>
          <cell r="BD2182">
            <v>313.04347826086956</v>
          </cell>
          <cell r="BE2182">
            <v>391.30434782608694</v>
          </cell>
          <cell r="BF2182">
            <v>391.30434782608694</v>
          </cell>
          <cell r="BG2182">
            <v>391.30434782608694</v>
          </cell>
          <cell r="BH2182">
            <v>391.30434782608694</v>
          </cell>
          <cell r="BI2182">
            <v>391.30434782608694</v>
          </cell>
          <cell r="BJ2182">
            <v>391.30434782608694</v>
          </cell>
          <cell r="BK2182">
            <v>281.73913043478262</v>
          </cell>
          <cell r="BL2182">
            <v>281.73913043478262</v>
          </cell>
          <cell r="BM2182">
            <v>281.73913043478262</v>
          </cell>
          <cell r="BN2182">
            <v>281.73913043478262</v>
          </cell>
          <cell r="BO2182">
            <v>281.73913043478262</v>
          </cell>
          <cell r="BP2182">
            <v>281.73913043478262</v>
          </cell>
          <cell r="BQ2182">
            <v>281.73913043478262</v>
          </cell>
          <cell r="BR2182">
            <v>281.73913043478262</v>
          </cell>
          <cell r="BS2182">
            <v>281.73913043478262</v>
          </cell>
          <cell r="BT2182">
            <v>281.73913043478262</v>
          </cell>
          <cell r="BU2182">
            <v>281.73913043478262</v>
          </cell>
          <cell r="BV2182">
            <v>281.73913043478262</v>
          </cell>
        </row>
        <row r="2183">
          <cell r="A2183" t="str">
            <v>Volvo GPA</v>
          </cell>
          <cell r="B2183" t="str">
            <v>ROHR</v>
          </cell>
          <cell r="D2183" t="str">
            <v>SHIFT B  - output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  <cell r="BK2183">
            <v>0</v>
          </cell>
          <cell r="BL2183">
            <v>0</v>
          </cell>
          <cell r="BM2183">
            <v>0</v>
          </cell>
          <cell r="BN2183">
            <v>0</v>
          </cell>
          <cell r="BO2183">
            <v>0</v>
          </cell>
          <cell r="BP2183">
            <v>0</v>
          </cell>
          <cell r="BQ2183">
            <v>0</v>
          </cell>
          <cell r="BR2183">
            <v>0</v>
          </cell>
          <cell r="BS2183">
            <v>0</v>
          </cell>
          <cell r="BT2183">
            <v>0</v>
          </cell>
          <cell r="BU2183">
            <v>0</v>
          </cell>
          <cell r="BV2183">
            <v>0</v>
          </cell>
        </row>
        <row r="2184">
          <cell r="A2184" t="str">
            <v>Volvo GPA</v>
          </cell>
          <cell r="B2184" t="str">
            <v>ROHR</v>
          </cell>
          <cell r="D2184" t="str">
            <v>SHIFT C  - output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0</v>
          </cell>
          <cell r="AJ2184">
            <v>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  <cell r="BK2184">
            <v>0</v>
          </cell>
          <cell r="BL2184">
            <v>0</v>
          </cell>
          <cell r="BM2184">
            <v>0</v>
          </cell>
          <cell r="BN2184">
            <v>0</v>
          </cell>
          <cell r="BO2184">
            <v>0</v>
          </cell>
          <cell r="BP2184">
            <v>0</v>
          </cell>
          <cell r="BQ2184">
            <v>0</v>
          </cell>
          <cell r="BR2184">
            <v>0</v>
          </cell>
          <cell r="BS2184">
            <v>0</v>
          </cell>
          <cell r="BT2184">
            <v>0</v>
          </cell>
          <cell r="BU2184">
            <v>0</v>
          </cell>
          <cell r="BV2184">
            <v>0</v>
          </cell>
        </row>
        <row r="2185">
          <cell r="A2185" t="str">
            <v>Volvo GPA</v>
          </cell>
          <cell r="B2185" t="str">
            <v>ROHR</v>
          </cell>
          <cell r="D2185" t="str">
            <v>Est. Output (Pcs day)</v>
          </cell>
          <cell r="E2185">
            <v>6.44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69.875776397515523</v>
          </cell>
          <cell r="AG2185">
            <v>76.863354037267086</v>
          </cell>
          <cell r="AH2185">
            <v>83.850931677018636</v>
          </cell>
          <cell r="AI2185">
            <v>90.8385093167702</v>
          </cell>
          <cell r="AJ2185">
            <v>97.826086956521763</v>
          </cell>
          <cell r="AK2185">
            <v>104.81366459627331</v>
          </cell>
          <cell r="AL2185">
            <v>111.80124223602488</v>
          </cell>
          <cell r="AM2185">
            <v>118.78881987577643</v>
          </cell>
          <cell r="AN2185">
            <v>125.77639751552799</v>
          </cell>
          <cell r="AO2185">
            <v>199.14596273291932</v>
          </cell>
          <cell r="AP2185">
            <v>209.62732919254665</v>
          </cell>
          <cell r="AQ2185">
            <v>209.62732919254657</v>
          </cell>
          <cell r="AR2185">
            <v>209.62732919254657</v>
          </cell>
          <cell r="AS2185">
            <v>209.62732919254657</v>
          </cell>
          <cell r="AT2185">
            <v>209.62732919254657</v>
          </cell>
          <cell r="AU2185">
            <v>209.62732919254657</v>
          </cell>
          <cell r="AV2185">
            <v>209.62732919254657</v>
          </cell>
          <cell r="AW2185">
            <v>209.62732919254657</v>
          </cell>
          <cell r="AX2185">
            <v>209.62732919254657</v>
          </cell>
          <cell r="AY2185">
            <v>209.62732919254657</v>
          </cell>
          <cell r="AZ2185">
            <v>279.50310559006209</v>
          </cell>
          <cell r="BA2185">
            <v>279.50310559006209</v>
          </cell>
          <cell r="BB2185">
            <v>279.50310559006209</v>
          </cell>
          <cell r="BC2185">
            <v>279.50310559006209</v>
          </cell>
          <cell r="BD2185">
            <v>279.50310559006209</v>
          </cell>
          <cell r="BE2185">
            <v>349.37888198757764</v>
          </cell>
          <cell r="BF2185">
            <v>349.37888198757764</v>
          </cell>
          <cell r="BG2185">
            <v>349.37888198757764</v>
          </cell>
          <cell r="BH2185">
            <v>349.37888198757764</v>
          </cell>
          <cell r="BI2185">
            <v>349.37888198757764</v>
          </cell>
          <cell r="BJ2185">
            <v>349.37888198757764</v>
          </cell>
          <cell r="BK2185">
            <v>251.55279503105587</v>
          </cell>
          <cell r="BL2185">
            <v>251.55279503105587</v>
          </cell>
          <cell r="BM2185">
            <v>251.55279503105587</v>
          </cell>
          <cell r="BN2185">
            <v>251.55279503105587</v>
          </cell>
          <cell r="BO2185">
            <v>251.55279503105587</v>
          </cell>
          <cell r="BP2185">
            <v>251.55279503105587</v>
          </cell>
          <cell r="BQ2185">
            <v>251.55279503105587</v>
          </cell>
          <cell r="BR2185">
            <v>251.55279503105587</v>
          </cell>
          <cell r="BS2185">
            <v>251.55279503105587</v>
          </cell>
          <cell r="BT2185">
            <v>251.55279503105587</v>
          </cell>
          <cell r="BU2185">
            <v>251.55279503105587</v>
          </cell>
          <cell r="BV2185">
            <v>251.55279503105587</v>
          </cell>
        </row>
        <row r="2186">
          <cell r="A2186" t="str">
            <v>Volvo GPA</v>
          </cell>
          <cell r="B2186" t="str">
            <v>ROHR</v>
          </cell>
          <cell r="D2186" t="str">
            <v>Weekly Output PLAN</v>
          </cell>
          <cell r="E2186" t="str">
            <v>SEW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349.37888198757764</v>
          </cell>
          <cell r="AG2186">
            <v>384.31677018633542</v>
          </cell>
          <cell r="AH2186">
            <v>419.25465838509319</v>
          </cell>
          <cell r="AI2186">
            <v>454.19254658385103</v>
          </cell>
          <cell r="AJ2186">
            <v>489.1304347826088</v>
          </cell>
          <cell r="AK2186">
            <v>419.25465838509325</v>
          </cell>
          <cell r="AL2186">
            <v>447.20496894409951</v>
          </cell>
          <cell r="AM2186">
            <v>593.94409937888213</v>
          </cell>
          <cell r="AN2186">
            <v>503.10559006211196</v>
          </cell>
          <cell r="AO2186">
            <v>995.72981366459658</v>
          </cell>
          <cell r="AP2186">
            <v>1048.1366459627334</v>
          </cell>
          <cell r="AQ2186">
            <v>1048.1366459627329</v>
          </cell>
          <cell r="AR2186">
            <v>1048.1366459627329</v>
          </cell>
          <cell r="AS2186">
            <v>1048.1366459627329</v>
          </cell>
          <cell r="AT2186">
            <v>1048.1366459627329</v>
          </cell>
          <cell r="AU2186">
            <v>1048.1366459627329</v>
          </cell>
          <cell r="AV2186">
            <v>1048.1366459627329</v>
          </cell>
          <cell r="AW2186">
            <v>1048.1366459627329</v>
          </cell>
          <cell r="AX2186">
            <v>1048.1366459627329</v>
          </cell>
          <cell r="AY2186">
            <v>1048.1366459627329</v>
          </cell>
          <cell r="AZ2186">
            <v>0</v>
          </cell>
          <cell r="BA2186">
            <v>0</v>
          </cell>
          <cell r="BB2186">
            <v>1397.5155279503106</v>
          </cell>
          <cell r="BC2186">
            <v>1397.5155279503106</v>
          </cell>
          <cell r="BD2186">
            <v>1397.5155279503106</v>
          </cell>
          <cell r="BE2186">
            <v>1746.8944099378882</v>
          </cell>
          <cell r="BF2186">
            <v>1746.8944099378882</v>
          </cell>
          <cell r="BG2186">
            <v>1746.8944099378882</v>
          </cell>
          <cell r="BH2186">
            <v>1746.8944099378882</v>
          </cell>
          <cell r="BI2186">
            <v>1746.8944099378882</v>
          </cell>
          <cell r="BJ2186">
            <v>1746.8944099378882</v>
          </cell>
          <cell r="BK2186">
            <v>1257.7639751552792</v>
          </cell>
          <cell r="BL2186">
            <v>754.65838509316757</v>
          </cell>
          <cell r="BM2186">
            <v>754.65838509316757</v>
          </cell>
          <cell r="BN2186">
            <v>754.65838509316757</v>
          </cell>
          <cell r="BO2186">
            <v>754.65838509316757</v>
          </cell>
          <cell r="BP2186">
            <v>754.65838509316757</v>
          </cell>
          <cell r="BQ2186">
            <v>754.65838509316757</v>
          </cell>
          <cell r="BR2186">
            <v>754.65838509316757</v>
          </cell>
          <cell r="BS2186">
            <v>754.65838509316757</v>
          </cell>
          <cell r="BT2186">
            <v>754.65838509316757</v>
          </cell>
          <cell r="BU2186">
            <v>754.65838509316757</v>
          </cell>
          <cell r="BV2186">
            <v>754.65838509316757</v>
          </cell>
        </row>
        <row r="2187">
          <cell r="A2187" t="str">
            <v>Volvo GPA</v>
          </cell>
          <cell r="B2187" t="str">
            <v>ROHR</v>
          </cell>
          <cell r="D2187" t="str">
            <v>FAB</v>
          </cell>
          <cell r="E2187">
            <v>6.4142999999999999</v>
          </cell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</row>
        <row r="2188">
          <cell r="A2188" t="str">
            <v>Volvo GPA</v>
          </cell>
          <cell r="B2188" t="str">
            <v>ROHR</v>
          </cell>
          <cell r="D2188" t="str">
            <v>PVC</v>
          </cell>
          <cell r="E2188">
            <v>6.4448999999999996</v>
          </cell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</row>
        <row r="2189">
          <cell r="A2189" t="str">
            <v>Volvo GPA</v>
          </cell>
          <cell r="B2189" t="str">
            <v>ROHR</v>
          </cell>
          <cell r="D2189" t="str">
            <v>LTH</v>
          </cell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</row>
        <row r="2190">
          <cell r="A2190" t="str">
            <v>Volvo GPA</v>
          </cell>
          <cell r="B2190" t="str">
            <v>ROHR</v>
          </cell>
          <cell r="D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</row>
        <row r="2191">
          <cell r="A2191" t="str">
            <v>Volvo GPA</v>
          </cell>
          <cell r="B2191" t="str">
            <v>ROHR</v>
          </cell>
          <cell r="D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</row>
        <row r="2192">
          <cell r="A2192" t="str">
            <v>Volvo GPA</v>
          </cell>
          <cell r="B2192" t="str">
            <v>ROHR</v>
          </cell>
          <cell r="D2192" t="str">
            <v>Weekly Output PLAN - SUM of models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0</v>
          </cell>
          <cell r="AJ2192">
            <v>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  <cell r="BK2192">
            <v>0</v>
          </cell>
          <cell r="BL2192">
            <v>0</v>
          </cell>
          <cell r="BM2192">
            <v>0</v>
          </cell>
          <cell r="BN2192">
            <v>0</v>
          </cell>
          <cell r="BO2192">
            <v>0</v>
          </cell>
          <cell r="BP2192">
            <v>0</v>
          </cell>
          <cell r="BQ2192">
            <v>0</v>
          </cell>
          <cell r="BR2192">
            <v>0</v>
          </cell>
          <cell r="BS2192">
            <v>0</v>
          </cell>
          <cell r="BT2192">
            <v>0</v>
          </cell>
          <cell r="BU2192">
            <v>0</v>
          </cell>
          <cell r="BV2192">
            <v>0</v>
          </cell>
        </row>
        <row r="2193">
          <cell r="A2193" t="str">
            <v>Volvo GPA</v>
          </cell>
          <cell r="B2193" t="str">
            <v>ROHR</v>
          </cell>
          <cell r="D2193" t="str">
            <v>Weekly Output CHECK with TO time multiple</v>
          </cell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</row>
        <row r="2194">
          <cell r="A2194" t="str">
            <v>Volvo GPA</v>
          </cell>
          <cell r="B2194" t="str">
            <v>ROHR</v>
          </cell>
          <cell r="D2194" t="str">
            <v>Weekly Output ACT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349.37888198757764</v>
          </cell>
          <cell r="AG2194">
            <v>384.31677018633542</v>
          </cell>
          <cell r="AH2194">
            <v>419.25465838509319</v>
          </cell>
          <cell r="AI2194">
            <v>454.19254658385103</v>
          </cell>
          <cell r="AJ2194">
            <v>489.1304347826088</v>
          </cell>
          <cell r="AK2194">
            <v>419.25465838509325</v>
          </cell>
          <cell r="AL2194">
            <v>447.20496894409951</v>
          </cell>
          <cell r="AM2194">
            <v>593.94409937888213</v>
          </cell>
          <cell r="AN2194">
            <v>503.10559006211196</v>
          </cell>
          <cell r="AO2194">
            <v>995.72981366459658</v>
          </cell>
          <cell r="AP2194">
            <v>1048.1366459627334</v>
          </cell>
          <cell r="AQ2194">
            <v>1048.1366459627329</v>
          </cell>
          <cell r="AR2194">
            <v>1048.1366459627329</v>
          </cell>
          <cell r="AS2194">
            <v>1048.1366459627329</v>
          </cell>
          <cell r="AT2194">
            <v>1048.1366459627329</v>
          </cell>
          <cell r="AU2194">
            <v>1048.1366459627329</v>
          </cell>
          <cell r="AV2194">
            <v>1048.1366459627329</v>
          </cell>
          <cell r="AW2194">
            <v>1048.1366459627329</v>
          </cell>
          <cell r="AX2194">
            <v>1048.1366459627329</v>
          </cell>
          <cell r="AY2194">
            <v>1048.1366459627329</v>
          </cell>
          <cell r="AZ2194">
            <v>0</v>
          </cell>
          <cell r="BA2194">
            <v>0</v>
          </cell>
          <cell r="BB2194">
            <v>1397.5155279503106</v>
          </cell>
          <cell r="BC2194">
            <v>1397.5155279503106</v>
          </cell>
          <cell r="BD2194">
            <v>1397.5155279503106</v>
          </cell>
          <cell r="BE2194">
            <v>1746.8944099378882</v>
          </cell>
          <cell r="BF2194">
            <v>1746.8944099378882</v>
          </cell>
          <cell r="BG2194">
            <v>1746.8944099378882</v>
          </cell>
          <cell r="BH2194">
            <v>1746.8944099378882</v>
          </cell>
          <cell r="BI2194">
            <v>1746.8944099378882</v>
          </cell>
          <cell r="BJ2194">
            <v>1746.8944099378882</v>
          </cell>
          <cell r="BK2194">
            <v>1257.7639751552792</v>
          </cell>
          <cell r="BL2194">
            <v>754.65838509316757</v>
          </cell>
          <cell r="BM2194">
            <v>754.65838509316757</v>
          </cell>
          <cell r="BN2194">
            <v>754.65838509316757</v>
          </cell>
          <cell r="BO2194">
            <v>754.65838509316757</v>
          </cell>
          <cell r="BP2194">
            <v>754.65838509316757</v>
          </cell>
          <cell r="BQ2194">
            <v>754.65838509316757</v>
          </cell>
          <cell r="BR2194">
            <v>754.65838509316757</v>
          </cell>
          <cell r="BS2194">
            <v>754.65838509316757</v>
          </cell>
          <cell r="BT2194">
            <v>754.65838509316757</v>
          </cell>
          <cell r="BU2194">
            <v>754.65838509316757</v>
          </cell>
          <cell r="BV2194">
            <v>754.65838509316757</v>
          </cell>
        </row>
        <row r="2195">
          <cell r="A2195" t="str">
            <v>Volvo GPA</v>
          </cell>
          <cell r="B2195" t="str">
            <v>ROHR</v>
          </cell>
          <cell r="D2195" t="str">
            <v>FAB</v>
          </cell>
          <cell r="Z2195">
            <v>0</v>
          </cell>
          <cell r="AA2195">
            <v>314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210</v>
          </cell>
          <cell r="AI2195">
            <v>105</v>
          </cell>
          <cell r="AJ2195">
            <v>0</v>
          </cell>
          <cell r="AK2195">
            <v>105</v>
          </cell>
          <cell r="AL2195">
            <v>420</v>
          </cell>
          <cell r="AM2195">
            <v>525</v>
          </cell>
          <cell r="AN2195">
            <v>840</v>
          </cell>
          <cell r="AO2195">
            <v>735</v>
          </cell>
          <cell r="AP2195">
            <v>735</v>
          </cell>
          <cell r="AQ2195">
            <v>1155</v>
          </cell>
          <cell r="AR2195">
            <v>1470</v>
          </cell>
          <cell r="AS2195">
            <v>1050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1050</v>
          </cell>
          <cell r="AY2195">
            <v>945</v>
          </cell>
          <cell r="AZ2195">
            <v>1260</v>
          </cell>
          <cell r="BA2195">
            <v>1365</v>
          </cell>
          <cell r="BB2195">
            <v>6720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9870</v>
          </cell>
          <cell r="BH2195">
            <v>0</v>
          </cell>
          <cell r="BI2195">
            <v>0</v>
          </cell>
          <cell r="BJ2195">
            <v>0</v>
          </cell>
          <cell r="BK2195">
            <v>0</v>
          </cell>
          <cell r="BL2195">
            <v>0</v>
          </cell>
          <cell r="BM2195">
            <v>0</v>
          </cell>
          <cell r="BN2195">
            <v>0</v>
          </cell>
          <cell r="BO2195">
            <v>0</v>
          </cell>
          <cell r="BP2195">
            <v>0</v>
          </cell>
          <cell r="BQ2195">
            <v>0</v>
          </cell>
          <cell r="BR2195">
            <v>0</v>
          </cell>
          <cell r="BS2195">
            <v>0</v>
          </cell>
          <cell r="BT2195">
            <v>0</v>
          </cell>
          <cell r="BU2195">
            <v>0</v>
          </cell>
          <cell r="BV2195">
            <v>0</v>
          </cell>
        </row>
        <row r="2196">
          <cell r="A2196" t="str">
            <v>Volvo GPA</v>
          </cell>
          <cell r="B2196" t="str">
            <v>ROHR</v>
          </cell>
          <cell r="D2196" t="str">
            <v>PVC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>
            <v>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  <cell r="BK2196">
            <v>0</v>
          </cell>
          <cell r="BL2196">
            <v>0</v>
          </cell>
          <cell r="BM2196">
            <v>0</v>
          </cell>
          <cell r="BN2196">
            <v>0</v>
          </cell>
          <cell r="BO2196">
            <v>0</v>
          </cell>
          <cell r="BP2196">
            <v>0</v>
          </cell>
          <cell r="BQ2196">
            <v>0</v>
          </cell>
          <cell r="BR2196">
            <v>0</v>
          </cell>
          <cell r="BS2196">
            <v>0</v>
          </cell>
          <cell r="BT2196">
            <v>0</v>
          </cell>
          <cell r="BU2196">
            <v>0</v>
          </cell>
          <cell r="BV2196">
            <v>0</v>
          </cell>
        </row>
        <row r="2197">
          <cell r="A2197" t="str">
            <v>Volvo GPA</v>
          </cell>
          <cell r="B2197" t="str">
            <v>ROHR</v>
          </cell>
          <cell r="D2197" t="str">
            <v>LTH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0</v>
          </cell>
          <cell r="AJ2197">
            <v>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  <cell r="BK2197">
            <v>0</v>
          </cell>
          <cell r="BL2197">
            <v>0</v>
          </cell>
          <cell r="BM2197">
            <v>0</v>
          </cell>
          <cell r="BN2197">
            <v>0</v>
          </cell>
          <cell r="BO2197">
            <v>0</v>
          </cell>
          <cell r="BP2197">
            <v>0</v>
          </cell>
          <cell r="BQ2197">
            <v>0</v>
          </cell>
          <cell r="BR2197">
            <v>0</v>
          </cell>
          <cell r="BS2197">
            <v>0</v>
          </cell>
          <cell r="BT2197">
            <v>0</v>
          </cell>
          <cell r="BU2197">
            <v>0</v>
          </cell>
          <cell r="BV2197">
            <v>0</v>
          </cell>
        </row>
        <row r="2198">
          <cell r="A2198" t="str">
            <v>Volvo GPA</v>
          </cell>
          <cell r="B2198" t="str">
            <v>ROHR</v>
          </cell>
          <cell r="D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0</v>
          </cell>
          <cell r="AJ2198">
            <v>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  <cell r="BK2198">
            <v>0</v>
          </cell>
          <cell r="BL2198">
            <v>0</v>
          </cell>
          <cell r="BM2198">
            <v>0</v>
          </cell>
          <cell r="BN2198">
            <v>0</v>
          </cell>
          <cell r="BO2198">
            <v>0</v>
          </cell>
          <cell r="BP2198">
            <v>0</v>
          </cell>
          <cell r="BQ2198">
            <v>0</v>
          </cell>
          <cell r="BR2198">
            <v>0</v>
          </cell>
          <cell r="BS2198">
            <v>0</v>
          </cell>
          <cell r="BT2198">
            <v>0</v>
          </cell>
          <cell r="BU2198">
            <v>0</v>
          </cell>
          <cell r="BV2198">
            <v>0</v>
          </cell>
        </row>
        <row r="2199">
          <cell r="A2199" t="str">
            <v>Volvo GPA</v>
          </cell>
          <cell r="B2199" t="str">
            <v>ROHR</v>
          </cell>
          <cell r="D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  <cell r="BK2199">
            <v>0</v>
          </cell>
          <cell r="BL2199">
            <v>0</v>
          </cell>
          <cell r="BM2199">
            <v>0</v>
          </cell>
          <cell r="BN2199">
            <v>0</v>
          </cell>
          <cell r="BO2199">
            <v>0</v>
          </cell>
          <cell r="BP2199">
            <v>0</v>
          </cell>
          <cell r="BQ2199">
            <v>0</v>
          </cell>
          <cell r="BR2199">
            <v>0</v>
          </cell>
          <cell r="BS2199">
            <v>0</v>
          </cell>
          <cell r="BT2199">
            <v>0</v>
          </cell>
          <cell r="BU2199">
            <v>0</v>
          </cell>
          <cell r="BV2199">
            <v>0</v>
          </cell>
        </row>
        <row r="2200">
          <cell r="A2200" t="str">
            <v>Volvo GPA</v>
          </cell>
          <cell r="B2200" t="str">
            <v>ROHR</v>
          </cell>
          <cell r="D2200" t="str">
            <v>Weekly demand</v>
          </cell>
          <cell r="Z2200">
            <v>0</v>
          </cell>
          <cell r="AA2200">
            <v>314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210</v>
          </cell>
          <cell r="AI2200">
            <v>105</v>
          </cell>
          <cell r="AJ2200">
            <v>0</v>
          </cell>
          <cell r="AK2200">
            <v>105</v>
          </cell>
          <cell r="AL2200">
            <v>420</v>
          </cell>
          <cell r="AM2200">
            <v>525</v>
          </cell>
          <cell r="AN2200">
            <v>840</v>
          </cell>
          <cell r="AO2200">
            <v>735</v>
          </cell>
          <cell r="AP2200">
            <v>735</v>
          </cell>
          <cell r="AQ2200">
            <v>1155</v>
          </cell>
          <cell r="AR2200">
            <v>1470</v>
          </cell>
          <cell r="AS2200">
            <v>1050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1050</v>
          </cell>
          <cell r="AY2200">
            <v>945</v>
          </cell>
          <cell r="AZ2200">
            <v>1260</v>
          </cell>
          <cell r="BA2200">
            <v>1365</v>
          </cell>
          <cell r="BB2200">
            <v>6720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9870</v>
          </cell>
          <cell r="BH2200">
            <v>0</v>
          </cell>
          <cell r="BI2200">
            <v>0</v>
          </cell>
          <cell r="BJ2200">
            <v>0</v>
          </cell>
          <cell r="BK2200">
            <v>0</v>
          </cell>
          <cell r="BL2200">
            <v>0</v>
          </cell>
          <cell r="BM2200">
            <v>0</v>
          </cell>
          <cell r="BN2200">
            <v>0</v>
          </cell>
          <cell r="BO2200">
            <v>0</v>
          </cell>
          <cell r="BP2200">
            <v>0</v>
          </cell>
          <cell r="BQ2200">
            <v>0</v>
          </cell>
          <cell r="BR2200">
            <v>0</v>
          </cell>
          <cell r="BS2200">
            <v>0</v>
          </cell>
          <cell r="BT2200">
            <v>0</v>
          </cell>
          <cell r="BU2200">
            <v>0</v>
          </cell>
          <cell r="BV2200">
            <v>0</v>
          </cell>
        </row>
        <row r="2201">
          <cell r="A2201" t="str">
            <v>Volvo GPA</v>
          </cell>
          <cell r="B2201" t="str">
            <v>ROHR</v>
          </cell>
          <cell r="D2201" t="str">
            <v>Stock Target</v>
          </cell>
          <cell r="Z2201"/>
          <cell r="AA2201"/>
          <cell r="AB2201"/>
          <cell r="AC2201"/>
          <cell r="AD2201"/>
          <cell r="AE2201"/>
          <cell r="AF2201"/>
          <cell r="AG2201">
            <v>2547</v>
          </cell>
          <cell r="AH2201">
            <v>2548</v>
          </cell>
          <cell r="AI2201">
            <v>2549</v>
          </cell>
          <cell r="AJ2201">
            <v>2550</v>
          </cell>
          <cell r="AK2201">
            <v>2551</v>
          </cell>
          <cell r="AL2201">
            <v>2552</v>
          </cell>
          <cell r="AM2201">
            <v>2552</v>
          </cell>
          <cell r="AN2201">
            <v>2552</v>
          </cell>
          <cell r="AO2201">
            <v>2552</v>
          </cell>
          <cell r="AP2201">
            <v>2552</v>
          </cell>
          <cell r="AQ2201">
            <v>2552</v>
          </cell>
          <cell r="AR2201">
            <v>2552</v>
          </cell>
          <cell r="AS2201">
            <v>2552</v>
          </cell>
          <cell r="AT2201">
            <v>2552</v>
          </cell>
          <cell r="AU2201">
            <v>2552</v>
          </cell>
          <cell r="AV2201">
            <v>2552</v>
          </cell>
          <cell r="AW2201">
            <v>2552</v>
          </cell>
          <cell r="AX2201">
            <v>2552</v>
          </cell>
          <cell r="AY2201">
            <v>2552</v>
          </cell>
          <cell r="AZ2201">
            <v>2552</v>
          </cell>
          <cell r="BA2201">
            <v>2552</v>
          </cell>
          <cell r="BB2201">
            <v>2552</v>
          </cell>
          <cell r="BC2201">
            <v>2552</v>
          </cell>
          <cell r="BD2201">
            <v>2552</v>
          </cell>
          <cell r="BE2201">
            <v>2552</v>
          </cell>
          <cell r="BF2201">
            <v>2552</v>
          </cell>
          <cell r="BG2201">
            <v>2552</v>
          </cell>
          <cell r="BH2201">
            <v>2552</v>
          </cell>
          <cell r="BI2201">
            <v>2552</v>
          </cell>
          <cell r="BJ2201">
            <v>2552</v>
          </cell>
          <cell r="BK2201">
            <v>2552</v>
          </cell>
          <cell r="BL2201">
            <v>2552</v>
          </cell>
          <cell r="BM2201">
            <v>2552</v>
          </cell>
          <cell r="BN2201">
            <v>2553</v>
          </cell>
          <cell r="BO2201">
            <v>2554</v>
          </cell>
          <cell r="BP2201">
            <v>2555</v>
          </cell>
          <cell r="BQ2201">
            <v>2556</v>
          </cell>
          <cell r="BR2201">
            <v>2557</v>
          </cell>
          <cell r="BS2201">
            <v>2558</v>
          </cell>
          <cell r="BT2201">
            <v>2559</v>
          </cell>
          <cell r="BU2201">
            <v>2560</v>
          </cell>
          <cell r="BV2201">
            <v>2561</v>
          </cell>
        </row>
        <row r="2202">
          <cell r="A2202" t="str">
            <v>Volvo GPA</v>
          </cell>
          <cell r="B2202" t="str">
            <v>ROHR</v>
          </cell>
          <cell r="D2202" t="str">
            <v>FAB</v>
          </cell>
          <cell r="Z2202">
            <v>-91</v>
          </cell>
          <cell r="AA2202">
            <v>-405</v>
          </cell>
          <cell r="AB2202">
            <v>-405</v>
          </cell>
          <cell r="AC2202">
            <v>-405</v>
          </cell>
          <cell r="AD2202">
            <v>-405</v>
          </cell>
          <cell r="AE2202">
            <v>-405</v>
          </cell>
          <cell r="AF2202">
            <v>-405</v>
          </cell>
          <cell r="AG2202">
            <v>-405</v>
          </cell>
          <cell r="AH2202">
            <v>-615</v>
          </cell>
          <cell r="AI2202">
            <v>-720</v>
          </cell>
          <cell r="AJ2202">
            <v>-720</v>
          </cell>
          <cell r="AK2202">
            <v>-825</v>
          </cell>
          <cell r="AL2202">
            <v>-1245</v>
          </cell>
          <cell r="AM2202">
            <v>-1770</v>
          </cell>
          <cell r="AN2202">
            <v>-2085</v>
          </cell>
          <cell r="AO2202">
            <v>-2505</v>
          </cell>
          <cell r="AP2202">
            <v>-2820</v>
          </cell>
          <cell r="AQ2202">
            <v>-3660</v>
          </cell>
          <cell r="AR2202">
            <v>-4290</v>
          </cell>
          <cell r="AS2202">
            <v>-4710</v>
          </cell>
          <cell r="AT2202">
            <v>-4290</v>
          </cell>
          <cell r="AU2202">
            <v>-4710</v>
          </cell>
          <cell r="AV2202">
            <v>-4290</v>
          </cell>
          <cell r="AW2202">
            <v>-4710</v>
          </cell>
          <cell r="AX2202">
            <v>-5340</v>
          </cell>
          <cell r="AY2202">
            <v>-5655</v>
          </cell>
          <cell r="AZ2202">
            <v>-6600</v>
          </cell>
          <cell r="BA2202">
            <v>-7020</v>
          </cell>
          <cell r="BB2202">
            <v>-13320</v>
          </cell>
          <cell r="BC2202">
            <v>-7020</v>
          </cell>
          <cell r="BD2202">
            <v>-13320</v>
          </cell>
          <cell r="BE2202">
            <v>-7020</v>
          </cell>
          <cell r="BF2202">
            <v>-13320</v>
          </cell>
          <cell r="BG2202">
            <v>-16890</v>
          </cell>
          <cell r="BH2202">
            <v>-13320</v>
          </cell>
          <cell r="BI2202">
            <v>-16890</v>
          </cell>
          <cell r="BJ2202">
            <v>-13320</v>
          </cell>
          <cell r="BK2202">
            <v>-16890</v>
          </cell>
          <cell r="BL2202">
            <v>-13320</v>
          </cell>
          <cell r="BM2202">
            <v>-16890</v>
          </cell>
          <cell r="BN2202">
            <v>-13320</v>
          </cell>
          <cell r="BO2202">
            <v>-16890</v>
          </cell>
          <cell r="BP2202">
            <v>-13320</v>
          </cell>
          <cell r="BQ2202">
            <v>-16890</v>
          </cell>
          <cell r="BR2202">
            <v>-13320</v>
          </cell>
          <cell r="BS2202">
            <v>-16890</v>
          </cell>
          <cell r="BT2202">
            <v>-13320</v>
          </cell>
          <cell r="BU2202">
            <v>-16890</v>
          </cell>
          <cell r="BV2202">
            <v>-13320</v>
          </cell>
        </row>
        <row r="2203">
          <cell r="A2203" t="str">
            <v>Volvo GPA</v>
          </cell>
          <cell r="B2203" t="str">
            <v>ROHR</v>
          </cell>
          <cell r="D2203" t="str">
            <v>PVC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0</v>
          </cell>
          <cell r="AJ2203">
            <v>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  <cell r="BK2203">
            <v>0</v>
          </cell>
          <cell r="BL2203">
            <v>0</v>
          </cell>
          <cell r="BM2203">
            <v>0</v>
          </cell>
          <cell r="BN2203">
            <v>0</v>
          </cell>
          <cell r="BO2203">
            <v>0</v>
          </cell>
          <cell r="BP2203">
            <v>0</v>
          </cell>
          <cell r="BQ2203">
            <v>0</v>
          </cell>
          <cell r="BR2203">
            <v>0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</row>
        <row r="2204">
          <cell r="A2204" t="str">
            <v>Volvo GPA</v>
          </cell>
          <cell r="B2204" t="str">
            <v>ROHR</v>
          </cell>
          <cell r="D2204" t="str">
            <v>LTH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>
            <v>0</v>
          </cell>
          <cell r="AJ2204">
            <v>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  <cell r="BK2204">
            <v>0</v>
          </cell>
          <cell r="BL2204">
            <v>0</v>
          </cell>
          <cell r="BM2204">
            <v>0</v>
          </cell>
          <cell r="BN2204">
            <v>0</v>
          </cell>
          <cell r="BO2204">
            <v>0</v>
          </cell>
          <cell r="BP2204">
            <v>0</v>
          </cell>
          <cell r="BQ2204">
            <v>0</v>
          </cell>
          <cell r="BR2204">
            <v>0</v>
          </cell>
          <cell r="BS2204">
            <v>0</v>
          </cell>
          <cell r="BT2204">
            <v>0</v>
          </cell>
          <cell r="BU2204">
            <v>0</v>
          </cell>
          <cell r="BV2204">
            <v>0</v>
          </cell>
        </row>
        <row r="2205">
          <cell r="A2205" t="str">
            <v>Volvo GPA</v>
          </cell>
          <cell r="B2205" t="str">
            <v>ROHR</v>
          </cell>
          <cell r="D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0</v>
          </cell>
          <cell r="AJ2205">
            <v>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  <cell r="BK2205">
            <v>0</v>
          </cell>
          <cell r="BL2205">
            <v>0</v>
          </cell>
          <cell r="BM2205">
            <v>0</v>
          </cell>
          <cell r="BN2205">
            <v>0</v>
          </cell>
          <cell r="BO2205">
            <v>0</v>
          </cell>
          <cell r="BP2205">
            <v>0</v>
          </cell>
          <cell r="BQ2205">
            <v>0</v>
          </cell>
          <cell r="BR2205">
            <v>0</v>
          </cell>
          <cell r="BS2205">
            <v>0</v>
          </cell>
          <cell r="BT2205">
            <v>0</v>
          </cell>
          <cell r="BU2205">
            <v>0</v>
          </cell>
          <cell r="BV2205">
            <v>0</v>
          </cell>
        </row>
        <row r="2206">
          <cell r="A2206" t="str">
            <v>Volvo GPA</v>
          </cell>
          <cell r="B2206" t="str">
            <v>ROHR</v>
          </cell>
          <cell r="D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0</v>
          </cell>
          <cell r="AJ2206">
            <v>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  <cell r="BK2206">
            <v>0</v>
          </cell>
          <cell r="BL2206">
            <v>0</v>
          </cell>
          <cell r="BM2206">
            <v>0</v>
          </cell>
          <cell r="BN2206">
            <v>0</v>
          </cell>
          <cell r="BO2206">
            <v>0</v>
          </cell>
          <cell r="BP2206">
            <v>0</v>
          </cell>
          <cell r="BQ2206">
            <v>0</v>
          </cell>
          <cell r="BR2206">
            <v>0</v>
          </cell>
          <cell r="BS2206">
            <v>0</v>
          </cell>
          <cell r="BT2206">
            <v>0</v>
          </cell>
          <cell r="BU2206">
            <v>0</v>
          </cell>
          <cell r="BV2206">
            <v>0</v>
          </cell>
        </row>
        <row r="2207">
          <cell r="A2207" t="str">
            <v>Volvo GPA</v>
          </cell>
          <cell r="B2207" t="str">
            <v>ROHR</v>
          </cell>
          <cell r="D2207" t="str">
            <v>STOCK</v>
          </cell>
          <cell r="Z2207">
            <v>0</v>
          </cell>
          <cell r="AA2207">
            <v>-314</v>
          </cell>
          <cell r="AB2207">
            <v>-314</v>
          </cell>
          <cell r="AC2207">
            <v>-314</v>
          </cell>
          <cell r="AD2207">
            <v>-314</v>
          </cell>
          <cell r="AE2207">
            <v>-314</v>
          </cell>
          <cell r="AF2207">
            <v>35.378881987577643</v>
          </cell>
          <cell r="AG2207">
            <v>419.69565217391306</v>
          </cell>
          <cell r="AH2207">
            <v>628.95031055900631</v>
          </cell>
          <cell r="AI2207">
            <v>978.14285714285734</v>
          </cell>
          <cell r="AJ2207">
            <v>1467.2732919254661</v>
          </cell>
          <cell r="AK2207">
            <v>1781.5279503105594</v>
          </cell>
          <cell r="AL2207">
            <v>1808.732919254659</v>
          </cell>
          <cell r="AM2207">
            <v>1877.6770186335411</v>
          </cell>
          <cell r="AN2207">
            <v>1540.7826086956532</v>
          </cell>
          <cell r="AO2207">
            <v>1801.5124223602497</v>
          </cell>
          <cell r="AP2207">
            <v>2114.6490683229831</v>
          </cell>
          <cell r="AQ2207">
            <v>2007.785714285716</v>
          </cell>
          <cell r="AR2207">
            <v>1585.922360248449</v>
          </cell>
          <cell r="AS2207">
            <v>1584.0590062111819</v>
          </cell>
          <cell r="AT2207">
            <v>2632.1956521739148</v>
          </cell>
          <cell r="AU2207">
            <v>3680.3322981366478</v>
          </cell>
          <cell r="AV2207">
            <v>4728.4689440993807</v>
          </cell>
          <cell r="AW2207">
            <v>5776.6055900621141</v>
          </cell>
          <cell r="AX2207">
            <v>5774.7422360248474</v>
          </cell>
          <cell r="AY2207">
            <v>5877.8788819875808</v>
          </cell>
          <cell r="AZ2207">
            <v>4617.8788819875808</v>
          </cell>
          <cell r="BA2207">
            <v>3252.8788819875808</v>
          </cell>
          <cell r="BB2207">
            <v>-2069.6055900621086</v>
          </cell>
          <cell r="BC2207">
            <v>-672.09006211179803</v>
          </cell>
          <cell r="BD2207">
            <v>725.42546583851254</v>
          </cell>
          <cell r="BE2207">
            <v>2472.3198757764007</v>
          </cell>
          <cell r="BF2207">
            <v>4219.214285714289</v>
          </cell>
          <cell r="BG2207">
            <v>-3903.8913043478228</v>
          </cell>
          <cell r="BH2207">
            <v>-2156.9968944099346</v>
          </cell>
          <cell r="BI2207">
            <v>-410.1024844720464</v>
          </cell>
          <cell r="BJ2207">
            <v>1336.7919254658418</v>
          </cell>
          <cell r="BK2207">
            <v>2594.5559006211211</v>
          </cell>
          <cell r="BL2207">
            <v>3349.2142857142885</v>
          </cell>
          <cell r="BM2207">
            <v>4103.8726708074564</v>
          </cell>
          <cell r="BN2207">
            <v>4858.5310559006239</v>
          </cell>
          <cell r="BO2207">
            <v>5613.1894409937913</v>
          </cell>
          <cell r="BP2207">
            <v>6367.8478260869588</v>
          </cell>
          <cell r="BQ2207">
            <v>7122.5062111801262</v>
          </cell>
          <cell r="BR2207">
            <v>7877.1645962732937</v>
          </cell>
          <cell r="BS2207">
            <v>8631.822981366462</v>
          </cell>
          <cell r="BT2207">
            <v>9386.4813664596295</v>
          </cell>
          <cell r="BU2207">
            <v>10141.139751552797</v>
          </cell>
          <cell r="BV2207">
            <v>10895.798136645964</v>
          </cell>
        </row>
        <row r="2208">
          <cell r="A2208" t="str">
            <v>Blank</v>
          </cell>
          <cell r="B2208" t="str">
            <v>Blank</v>
          </cell>
          <cell r="D2208" t="str">
            <v>Blank</v>
          </cell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</row>
        <row r="2209">
          <cell r="A2209" t="str">
            <v>Volvo GPA</v>
          </cell>
          <cell r="B2209" t="str">
            <v>SB</v>
          </cell>
          <cell r="D2209" t="str">
            <v>Work days</v>
          </cell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>
            <v>0</v>
          </cell>
          <cell r="AJ2209">
            <v>0</v>
          </cell>
          <cell r="AK2209">
            <v>4</v>
          </cell>
          <cell r="AL2209">
            <v>4</v>
          </cell>
          <cell r="AM2209">
            <v>5</v>
          </cell>
          <cell r="AN2209">
            <v>4</v>
          </cell>
          <cell r="AO2209">
            <v>5</v>
          </cell>
          <cell r="AP2209">
            <v>5</v>
          </cell>
          <cell r="AQ2209">
            <v>5</v>
          </cell>
          <cell r="AR2209">
            <v>5</v>
          </cell>
          <cell r="AS2209">
            <v>5</v>
          </cell>
          <cell r="AT2209">
            <v>5</v>
          </cell>
          <cell r="AU2209">
            <v>5</v>
          </cell>
          <cell r="AV2209">
            <v>5</v>
          </cell>
          <cell r="AW2209">
            <v>5</v>
          </cell>
          <cell r="AX2209">
            <v>5</v>
          </cell>
          <cell r="AY2209">
            <v>5</v>
          </cell>
          <cell r="AZ2209">
            <v>0</v>
          </cell>
          <cell r="BA2209">
            <v>0</v>
          </cell>
          <cell r="BB2209">
            <v>5</v>
          </cell>
          <cell r="BC2209">
            <v>5</v>
          </cell>
          <cell r="BD2209">
            <v>5</v>
          </cell>
          <cell r="BE2209">
            <v>5</v>
          </cell>
          <cell r="BF2209">
            <v>5</v>
          </cell>
          <cell r="BG2209">
            <v>5</v>
          </cell>
          <cell r="BH2209">
            <v>5</v>
          </cell>
          <cell r="BI2209">
            <v>5</v>
          </cell>
          <cell r="BJ2209">
            <v>5</v>
          </cell>
          <cell r="BK2209">
            <v>5</v>
          </cell>
          <cell r="BL2209">
            <v>3</v>
          </cell>
          <cell r="BM2209">
            <v>3</v>
          </cell>
          <cell r="BN2209">
            <v>3</v>
          </cell>
          <cell r="BO2209">
            <v>3</v>
          </cell>
          <cell r="BP2209">
            <v>3</v>
          </cell>
          <cell r="BQ2209">
            <v>3</v>
          </cell>
          <cell r="BR2209">
            <v>3</v>
          </cell>
          <cell r="BS2209">
            <v>3</v>
          </cell>
          <cell r="BT2209">
            <v>3</v>
          </cell>
          <cell r="BU2209">
            <v>3</v>
          </cell>
          <cell r="BV2209">
            <v>3</v>
          </cell>
        </row>
        <row r="2210">
          <cell r="A2210" t="str">
            <v>Volvo GPA</v>
          </cell>
          <cell r="B2210" t="str">
            <v>SB</v>
          </cell>
          <cell r="D2210" t="str">
            <v>SHIFT A HC - operators</v>
          </cell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>
            <v>1</v>
          </cell>
          <cell r="AJ2210">
            <v>1</v>
          </cell>
          <cell r="AK2210">
            <v>1</v>
          </cell>
          <cell r="AL2210">
            <v>1</v>
          </cell>
          <cell r="AM2210">
            <v>2</v>
          </cell>
          <cell r="AN2210">
            <v>2</v>
          </cell>
          <cell r="AO2210">
            <v>2</v>
          </cell>
          <cell r="AP2210">
            <v>3</v>
          </cell>
          <cell r="AQ2210">
            <v>3</v>
          </cell>
          <cell r="AR2210">
            <v>3</v>
          </cell>
          <cell r="AS2210">
            <v>3</v>
          </cell>
          <cell r="AT2210">
            <v>5</v>
          </cell>
          <cell r="AU2210">
            <v>5</v>
          </cell>
          <cell r="AV2210">
            <v>5</v>
          </cell>
          <cell r="AW2210">
            <v>5</v>
          </cell>
          <cell r="AX2210">
            <v>5</v>
          </cell>
          <cell r="AY2210">
            <v>5</v>
          </cell>
          <cell r="AZ2210">
            <v>5</v>
          </cell>
          <cell r="BA2210">
            <v>5</v>
          </cell>
          <cell r="BB2210">
            <v>10</v>
          </cell>
          <cell r="BC2210">
            <v>10</v>
          </cell>
          <cell r="BD2210">
            <v>10</v>
          </cell>
          <cell r="BE2210">
            <v>10</v>
          </cell>
          <cell r="BF2210">
            <v>10</v>
          </cell>
          <cell r="BG2210">
            <v>10</v>
          </cell>
          <cell r="BH2210">
            <v>10</v>
          </cell>
          <cell r="BI2210">
            <v>10</v>
          </cell>
          <cell r="BJ2210">
            <v>10</v>
          </cell>
          <cell r="BK2210">
            <v>3</v>
          </cell>
          <cell r="BL2210">
            <v>3</v>
          </cell>
          <cell r="BM2210">
            <v>3</v>
          </cell>
          <cell r="BN2210">
            <v>3</v>
          </cell>
          <cell r="BO2210">
            <v>3</v>
          </cell>
          <cell r="BP2210">
            <v>3</v>
          </cell>
          <cell r="BQ2210">
            <v>3</v>
          </cell>
          <cell r="BR2210">
            <v>3</v>
          </cell>
          <cell r="BS2210">
            <v>3</v>
          </cell>
          <cell r="BT2210">
            <v>3</v>
          </cell>
          <cell r="BU2210">
            <v>3</v>
          </cell>
          <cell r="BV2210">
            <v>3</v>
          </cell>
        </row>
        <row r="2211">
          <cell r="A2211" t="str">
            <v>Volvo GPA</v>
          </cell>
          <cell r="B2211" t="str">
            <v>SB</v>
          </cell>
          <cell r="D2211" t="str">
            <v>SHIFT B HC  - operators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>
            <v>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  <cell r="BK2211">
            <v>0</v>
          </cell>
          <cell r="BL2211">
            <v>0</v>
          </cell>
          <cell r="BM2211">
            <v>0</v>
          </cell>
          <cell r="BN2211">
            <v>0</v>
          </cell>
          <cell r="BO2211">
            <v>0</v>
          </cell>
          <cell r="BP2211">
            <v>0</v>
          </cell>
          <cell r="BQ2211">
            <v>0</v>
          </cell>
          <cell r="BR2211">
            <v>0</v>
          </cell>
          <cell r="BS2211">
            <v>0</v>
          </cell>
          <cell r="BT2211">
            <v>0</v>
          </cell>
          <cell r="BU2211">
            <v>0</v>
          </cell>
          <cell r="BV2211">
            <v>0</v>
          </cell>
        </row>
        <row r="2212">
          <cell r="A2212" t="str">
            <v>Volvo GPA</v>
          </cell>
          <cell r="B2212" t="str">
            <v>SB</v>
          </cell>
          <cell r="D2212" t="str">
            <v>SHIFT C HC  - operators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  <cell r="BK2212">
            <v>0</v>
          </cell>
          <cell r="BL2212">
            <v>0</v>
          </cell>
          <cell r="BM2212">
            <v>0</v>
          </cell>
          <cell r="BN2212">
            <v>0</v>
          </cell>
          <cell r="BO2212">
            <v>0</v>
          </cell>
          <cell r="BP2212">
            <v>0</v>
          </cell>
          <cell r="BQ2212">
            <v>0</v>
          </cell>
          <cell r="BR2212">
            <v>0</v>
          </cell>
          <cell r="BS2212">
            <v>0</v>
          </cell>
          <cell r="BT2212">
            <v>0</v>
          </cell>
          <cell r="BU2212">
            <v>0</v>
          </cell>
          <cell r="BV2212">
            <v>0</v>
          </cell>
        </row>
        <row r="2213">
          <cell r="A2213" t="str">
            <v>Volvo GPA</v>
          </cell>
          <cell r="B2213" t="str">
            <v>SB</v>
          </cell>
          <cell r="D2213" t="str">
            <v>Total HC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1</v>
          </cell>
          <cell r="AJ2213">
            <v>1</v>
          </cell>
          <cell r="AK2213">
            <v>1</v>
          </cell>
          <cell r="AL2213">
            <v>1</v>
          </cell>
          <cell r="AM2213">
            <v>2</v>
          </cell>
          <cell r="AN2213">
            <v>2</v>
          </cell>
          <cell r="AO2213">
            <v>2</v>
          </cell>
          <cell r="AP2213">
            <v>3</v>
          </cell>
          <cell r="AQ2213">
            <v>3</v>
          </cell>
          <cell r="AR2213">
            <v>3</v>
          </cell>
          <cell r="AS2213">
            <v>3</v>
          </cell>
          <cell r="AT2213">
            <v>5</v>
          </cell>
          <cell r="AU2213">
            <v>5</v>
          </cell>
          <cell r="AV2213">
            <v>5</v>
          </cell>
          <cell r="AW2213">
            <v>5</v>
          </cell>
          <cell r="AX2213">
            <v>5</v>
          </cell>
          <cell r="AY2213">
            <v>5</v>
          </cell>
          <cell r="AZ2213">
            <v>5</v>
          </cell>
          <cell r="BA2213">
            <v>5</v>
          </cell>
          <cell r="BB2213">
            <v>10</v>
          </cell>
          <cell r="BC2213">
            <v>10</v>
          </cell>
          <cell r="BD2213">
            <v>10</v>
          </cell>
          <cell r="BE2213">
            <v>10</v>
          </cell>
          <cell r="BF2213">
            <v>10</v>
          </cell>
          <cell r="BG2213">
            <v>10</v>
          </cell>
          <cell r="BH2213">
            <v>10</v>
          </cell>
          <cell r="BI2213">
            <v>10</v>
          </cell>
          <cell r="BJ2213">
            <v>10</v>
          </cell>
          <cell r="BK2213">
            <v>3</v>
          </cell>
          <cell r="BL2213">
            <v>3</v>
          </cell>
          <cell r="BM2213">
            <v>3</v>
          </cell>
          <cell r="BN2213">
            <v>3</v>
          </cell>
          <cell r="BO2213">
            <v>3</v>
          </cell>
          <cell r="BP2213">
            <v>3</v>
          </cell>
          <cell r="BQ2213">
            <v>3</v>
          </cell>
          <cell r="BR2213">
            <v>3</v>
          </cell>
          <cell r="BS2213">
            <v>3</v>
          </cell>
          <cell r="BT2213">
            <v>3</v>
          </cell>
          <cell r="BU2213">
            <v>3</v>
          </cell>
          <cell r="BV2213">
            <v>3</v>
          </cell>
        </row>
        <row r="2214">
          <cell r="A2214" t="str">
            <v>Volvo GPA</v>
          </cell>
          <cell r="B2214" t="str">
            <v>SB</v>
          </cell>
          <cell r="D2214" t="str">
            <v>SHIFT A HC  - efficiency</v>
          </cell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>
            <v>0.85</v>
          </cell>
          <cell r="AJ2214">
            <v>0.85</v>
          </cell>
          <cell r="AK2214">
            <v>0.85</v>
          </cell>
          <cell r="AL2214">
            <v>0.85</v>
          </cell>
          <cell r="AM2214">
            <v>0.85</v>
          </cell>
          <cell r="AN2214">
            <v>0.85</v>
          </cell>
          <cell r="AO2214">
            <v>0.85</v>
          </cell>
          <cell r="AP2214">
            <v>0.85</v>
          </cell>
          <cell r="AQ2214">
            <v>0.85</v>
          </cell>
          <cell r="AR2214">
            <v>0.85</v>
          </cell>
          <cell r="AS2214">
            <v>0.85</v>
          </cell>
          <cell r="AT2214">
            <v>0.85</v>
          </cell>
          <cell r="AU2214">
            <v>0.85</v>
          </cell>
          <cell r="AV2214">
            <v>0.85</v>
          </cell>
          <cell r="AW2214">
            <v>0.85</v>
          </cell>
          <cell r="AX2214">
            <v>0.85</v>
          </cell>
          <cell r="AY2214">
            <v>0.85</v>
          </cell>
          <cell r="AZ2214">
            <v>0.85</v>
          </cell>
          <cell r="BA2214">
            <v>0.85</v>
          </cell>
          <cell r="BB2214">
            <v>0.85</v>
          </cell>
          <cell r="BC2214">
            <v>0.85</v>
          </cell>
          <cell r="BD2214">
            <v>0.85</v>
          </cell>
          <cell r="BE2214">
            <v>0.85</v>
          </cell>
          <cell r="BF2214">
            <v>0.85</v>
          </cell>
          <cell r="BG2214">
            <v>0.85</v>
          </cell>
          <cell r="BH2214">
            <v>0.85</v>
          </cell>
          <cell r="BI2214">
            <v>0.85</v>
          </cell>
          <cell r="BJ2214">
            <v>0.85</v>
          </cell>
          <cell r="BK2214">
            <v>1.2</v>
          </cell>
          <cell r="BL2214">
            <v>1.2</v>
          </cell>
          <cell r="BM2214">
            <v>1.2</v>
          </cell>
          <cell r="BN2214">
            <v>1.2</v>
          </cell>
          <cell r="BO2214">
            <v>1.2</v>
          </cell>
          <cell r="BP2214">
            <v>1.2</v>
          </cell>
          <cell r="BQ2214">
            <v>1.2</v>
          </cell>
          <cell r="BR2214">
            <v>1.2</v>
          </cell>
          <cell r="BS2214">
            <v>1.2</v>
          </cell>
          <cell r="BT2214">
            <v>1.2</v>
          </cell>
          <cell r="BU2214">
            <v>1.2</v>
          </cell>
          <cell r="BV2214">
            <v>1.2</v>
          </cell>
        </row>
        <row r="2215">
          <cell r="A2215" t="str">
            <v>Volvo GPA</v>
          </cell>
          <cell r="B2215" t="str">
            <v>SB</v>
          </cell>
          <cell r="D2215" t="str">
            <v>SHIFT B HC  - efficiency</v>
          </cell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>
            <v>1</v>
          </cell>
          <cell r="BL2215">
            <v>1</v>
          </cell>
          <cell r="BM2215">
            <v>1</v>
          </cell>
          <cell r="BN2215">
            <v>1</v>
          </cell>
          <cell r="BO2215">
            <v>1</v>
          </cell>
          <cell r="BP2215">
            <v>1</v>
          </cell>
          <cell r="BQ2215">
            <v>1</v>
          </cell>
          <cell r="BR2215">
            <v>1</v>
          </cell>
          <cell r="BS2215">
            <v>1</v>
          </cell>
          <cell r="BT2215">
            <v>1</v>
          </cell>
          <cell r="BU2215">
            <v>1</v>
          </cell>
          <cell r="BV2215">
            <v>1</v>
          </cell>
        </row>
        <row r="2216">
          <cell r="A2216" t="str">
            <v>Volvo GPA</v>
          </cell>
          <cell r="B2216" t="str">
            <v>SB</v>
          </cell>
          <cell r="D2216" t="str">
            <v>SHIFT C HC  - efficiency</v>
          </cell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>
            <v>1</v>
          </cell>
          <cell r="BL2216">
            <v>1</v>
          </cell>
          <cell r="BM2216">
            <v>1</v>
          </cell>
          <cell r="BN2216">
            <v>1</v>
          </cell>
          <cell r="BO2216">
            <v>1</v>
          </cell>
          <cell r="BP2216">
            <v>1</v>
          </cell>
          <cell r="BQ2216">
            <v>1</v>
          </cell>
          <cell r="BR2216">
            <v>1</v>
          </cell>
          <cell r="BS2216">
            <v>1</v>
          </cell>
          <cell r="BT2216">
            <v>1</v>
          </cell>
          <cell r="BU2216">
            <v>1</v>
          </cell>
          <cell r="BV2216">
            <v>1</v>
          </cell>
        </row>
        <row r="2217">
          <cell r="A2217" t="str">
            <v>Volvo GPA</v>
          </cell>
          <cell r="B2217" t="str">
            <v>SB</v>
          </cell>
          <cell r="D2217" t="str">
            <v>Total efficiency</v>
          </cell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</row>
        <row r="2218">
          <cell r="A2218" t="str">
            <v>Volvo GPA</v>
          </cell>
          <cell r="B2218" t="str">
            <v>SB</v>
          </cell>
          <cell r="D2218" t="str">
            <v>SHIFT A - output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66.521739130434781</v>
          </cell>
          <cell r="AJ2218">
            <v>66.521739130434781</v>
          </cell>
          <cell r="AK2218">
            <v>66.521739130434781</v>
          </cell>
          <cell r="AL2218">
            <v>66.521739130434781</v>
          </cell>
          <cell r="AM2218">
            <v>133.04347826086956</v>
          </cell>
          <cell r="AN2218">
            <v>133.04347826086956</v>
          </cell>
          <cell r="AO2218">
            <v>133.04347826086956</v>
          </cell>
          <cell r="AP2218">
            <v>199.56521739130434</v>
          </cell>
          <cell r="AQ2218">
            <v>199.56521739130434</v>
          </cell>
          <cell r="AR2218">
            <v>199.56521739130434</v>
          </cell>
          <cell r="AS2218">
            <v>199.56521739130434</v>
          </cell>
          <cell r="AT2218">
            <v>332.60869565217388</v>
          </cell>
          <cell r="AU2218">
            <v>332.60869565217388</v>
          </cell>
          <cell r="AV2218">
            <v>332.60869565217388</v>
          </cell>
          <cell r="AW2218">
            <v>332.60869565217388</v>
          </cell>
          <cell r="AX2218">
            <v>332.60869565217388</v>
          </cell>
          <cell r="AY2218">
            <v>332.60869565217388</v>
          </cell>
          <cell r="AZ2218">
            <v>332.60869565217388</v>
          </cell>
          <cell r="BA2218">
            <v>332.60869565217388</v>
          </cell>
          <cell r="BB2218">
            <v>665.21739130434776</v>
          </cell>
          <cell r="BC2218">
            <v>665.21739130434776</v>
          </cell>
          <cell r="BD2218">
            <v>665.21739130434776</v>
          </cell>
          <cell r="BE2218">
            <v>665.21739130434776</v>
          </cell>
          <cell r="BF2218">
            <v>665.21739130434776</v>
          </cell>
          <cell r="BG2218">
            <v>665.21739130434776</v>
          </cell>
          <cell r="BH2218">
            <v>665.21739130434776</v>
          </cell>
          <cell r="BI2218">
            <v>665.21739130434776</v>
          </cell>
          <cell r="BJ2218">
            <v>665.21739130434776</v>
          </cell>
          <cell r="BK2218">
            <v>281.73913043478262</v>
          </cell>
          <cell r="BL2218">
            <v>281.73913043478262</v>
          </cell>
          <cell r="BM2218">
            <v>281.73913043478262</v>
          </cell>
          <cell r="BN2218">
            <v>281.73913043478262</v>
          </cell>
          <cell r="BO2218">
            <v>281.73913043478262</v>
          </cell>
          <cell r="BP2218">
            <v>281.73913043478262</v>
          </cell>
          <cell r="BQ2218">
            <v>281.73913043478262</v>
          </cell>
          <cell r="BR2218">
            <v>281.73913043478262</v>
          </cell>
          <cell r="BS2218">
            <v>281.73913043478262</v>
          </cell>
          <cell r="BT2218">
            <v>281.73913043478262</v>
          </cell>
          <cell r="BU2218">
            <v>281.73913043478262</v>
          </cell>
          <cell r="BV2218">
            <v>281.73913043478262</v>
          </cell>
        </row>
        <row r="2219">
          <cell r="A2219" t="str">
            <v>Volvo GPA</v>
          </cell>
          <cell r="B2219" t="str">
            <v>SB</v>
          </cell>
          <cell r="D2219" t="str">
            <v>SHIFT B  - output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0</v>
          </cell>
          <cell r="AJ2219">
            <v>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  <cell r="BK2219">
            <v>0</v>
          </cell>
          <cell r="BL2219">
            <v>0</v>
          </cell>
          <cell r="BM2219">
            <v>0</v>
          </cell>
          <cell r="BN2219">
            <v>0</v>
          </cell>
          <cell r="BO2219">
            <v>0</v>
          </cell>
          <cell r="BP2219">
            <v>0</v>
          </cell>
          <cell r="BQ2219">
            <v>0</v>
          </cell>
          <cell r="BR2219">
            <v>0</v>
          </cell>
          <cell r="BS2219">
            <v>0</v>
          </cell>
          <cell r="BT2219">
            <v>0</v>
          </cell>
          <cell r="BU2219">
            <v>0</v>
          </cell>
          <cell r="BV2219">
            <v>0</v>
          </cell>
        </row>
        <row r="2220">
          <cell r="A2220" t="str">
            <v>Volvo GPA</v>
          </cell>
          <cell r="B2220" t="str">
            <v>SB</v>
          </cell>
          <cell r="D2220" t="str">
            <v>SHIFT C  - output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0</v>
          </cell>
          <cell r="AJ2220">
            <v>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  <cell r="BK2220">
            <v>0</v>
          </cell>
          <cell r="BL2220">
            <v>0</v>
          </cell>
          <cell r="BM2220">
            <v>0</v>
          </cell>
          <cell r="BN2220">
            <v>0</v>
          </cell>
          <cell r="BO2220">
            <v>0</v>
          </cell>
          <cell r="BP2220">
            <v>0</v>
          </cell>
          <cell r="BQ2220">
            <v>0</v>
          </cell>
          <cell r="BR2220">
            <v>0</v>
          </cell>
          <cell r="BS2220">
            <v>0</v>
          </cell>
          <cell r="BT2220">
            <v>0</v>
          </cell>
          <cell r="BU2220">
            <v>0</v>
          </cell>
          <cell r="BV2220">
            <v>0</v>
          </cell>
        </row>
        <row r="2221">
          <cell r="A2221" t="str">
            <v>Volvo GPA</v>
          </cell>
          <cell r="B2221" t="str">
            <v>SB</v>
          </cell>
          <cell r="D2221" t="str">
            <v>Est. Output (Pcs day)</v>
          </cell>
          <cell r="E2221">
            <v>5.33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71.763602251407136</v>
          </cell>
          <cell r="AJ2221">
            <v>71.763602251407136</v>
          </cell>
          <cell r="AK2221">
            <v>71.763602251407136</v>
          </cell>
          <cell r="AL2221">
            <v>71.763602251407136</v>
          </cell>
          <cell r="AM2221">
            <v>143.52720450281427</v>
          </cell>
          <cell r="AN2221">
            <v>143.52720450281427</v>
          </cell>
          <cell r="AO2221">
            <v>143.52720450281427</v>
          </cell>
          <cell r="AP2221">
            <v>215.29080675422139</v>
          </cell>
          <cell r="AQ2221">
            <v>215.29080675422139</v>
          </cell>
          <cell r="AR2221">
            <v>215.29080675422139</v>
          </cell>
          <cell r="AS2221">
            <v>215.29080675422139</v>
          </cell>
          <cell r="AT2221">
            <v>358.81801125703566</v>
          </cell>
          <cell r="AU2221">
            <v>358.81801125703566</v>
          </cell>
          <cell r="AV2221">
            <v>358.81801125703566</v>
          </cell>
          <cell r="AW2221">
            <v>358.81801125703566</v>
          </cell>
          <cell r="AX2221">
            <v>358.81801125703566</v>
          </cell>
          <cell r="AY2221">
            <v>358.81801125703566</v>
          </cell>
          <cell r="AZ2221">
            <v>358.81801125703566</v>
          </cell>
          <cell r="BA2221">
            <v>358.81801125703566</v>
          </cell>
          <cell r="BB2221">
            <v>717.63602251407133</v>
          </cell>
          <cell r="BC2221">
            <v>717.63602251407133</v>
          </cell>
          <cell r="BD2221">
            <v>717.63602251407133</v>
          </cell>
          <cell r="BE2221">
            <v>717.63602251407133</v>
          </cell>
          <cell r="BF2221">
            <v>717.63602251407133</v>
          </cell>
          <cell r="BG2221">
            <v>717.63602251407133</v>
          </cell>
          <cell r="BH2221">
            <v>717.63602251407133</v>
          </cell>
          <cell r="BI2221">
            <v>717.63602251407133</v>
          </cell>
          <cell r="BJ2221">
            <v>717.63602251407133</v>
          </cell>
          <cell r="BK2221">
            <v>303.93996247654786</v>
          </cell>
          <cell r="BL2221">
            <v>303.93996247654786</v>
          </cell>
          <cell r="BM2221">
            <v>303.93996247654786</v>
          </cell>
          <cell r="BN2221">
            <v>303.93996247654786</v>
          </cell>
          <cell r="BO2221">
            <v>303.93996247654786</v>
          </cell>
          <cell r="BP2221">
            <v>303.93996247654786</v>
          </cell>
          <cell r="BQ2221">
            <v>303.93996247654786</v>
          </cell>
          <cell r="BR2221">
            <v>303.93996247654786</v>
          </cell>
          <cell r="BS2221">
            <v>303.93996247654786</v>
          </cell>
          <cell r="BT2221">
            <v>303.93996247654786</v>
          </cell>
          <cell r="BU2221">
            <v>303.93996247654786</v>
          </cell>
          <cell r="BV2221">
            <v>303.93996247654786</v>
          </cell>
        </row>
        <row r="2222">
          <cell r="A2222" t="str">
            <v>Volvo GPA</v>
          </cell>
          <cell r="B2222" t="str">
            <v>SB</v>
          </cell>
          <cell r="D2222" t="str">
            <v>Weekly Output PLAN</v>
          </cell>
          <cell r="E2222" t="str">
            <v>ASSY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>
            <v>0</v>
          </cell>
          <cell r="AJ2222">
            <v>0</v>
          </cell>
          <cell r="AK2222">
            <v>287.05440900562854</v>
          </cell>
          <cell r="AL2222">
            <v>287.05440900562854</v>
          </cell>
          <cell r="AM2222">
            <v>717.63602251407133</v>
          </cell>
          <cell r="AN2222">
            <v>574.10881801125709</v>
          </cell>
          <cell r="AO2222">
            <v>717.63602251407133</v>
          </cell>
          <cell r="AP2222">
            <v>1076.4540337711069</v>
          </cell>
          <cell r="AQ2222">
            <v>1076.4540337711069</v>
          </cell>
          <cell r="AR2222">
            <v>1076.4540337711069</v>
          </cell>
          <cell r="AS2222">
            <v>1076.4540337711069</v>
          </cell>
          <cell r="AT2222">
            <v>1794.0900562851784</v>
          </cell>
          <cell r="AU2222">
            <v>1794.0900562851784</v>
          </cell>
          <cell r="AV2222">
            <v>1794.0900562851784</v>
          </cell>
          <cell r="AW2222">
            <v>1794.0900562851784</v>
          </cell>
          <cell r="AX2222">
            <v>1794.0900562851784</v>
          </cell>
          <cell r="AY2222">
            <v>1794.0900562851784</v>
          </cell>
          <cell r="AZ2222">
            <v>0</v>
          </cell>
          <cell r="BA2222">
            <v>0</v>
          </cell>
          <cell r="BB2222">
            <v>3588.1801125703569</v>
          </cell>
          <cell r="BC2222">
            <v>3588.1801125703569</v>
          </cell>
          <cell r="BD2222">
            <v>3588.1801125703569</v>
          </cell>
          <cell r="BE2222">
            <v>3588.1801125703569</v>
          </cell>
          <cell r="BF2222">
            <v>3588.1801125703569</v>
          </cell>
          <cell r="BG2222">
            <v>3588.1801125703569</v>
          </cell>
          <cell r="BH2222">
            <v>3588.1801125703569</v>
          </cell>
          <cell r="BI2222">
            <v>3588.1801125703569</v>
          </cell>
          <cell r="BJ2222">
            <v>3588.1801125703569</v>
          </cell>
          <cell r="BK2222">
            <v>1519.6998123827393</v>
          </cell>
          <cell r="BL2222">
            <v>911.81988742964359</v>
          </cell>
          <cell r="BM2222">
            <v>911.81988742964359</v>
          </cell>
          <cell r="BN2222">
            <v>911.81988742964359</v>
          </cell>
          <cell r="BO2222">
            <v>911.81988742964359</v>
          </cell>
          <cell r="BP2222">
            <v>911.81988742964359</v>
          </cell>
          <cell r="BQ2222">
            <v>911.81988742964359</v>
          </cell>
          <cell r="BR2222">
            <v>911.81988742964359</v>
          </cell>
          <cell r="BS2222">
            <v>911.81988742964359</v>
          </cell>
          <cell r="BT2222">
            <v>911.81988742964359</v>
          </cell>
          <cell r="BU2222">
            <v>911.81988742964359</v>
          </cell>
          <cell r="BV2222">
            <v>911.81988742964359</v>
          </cell>
        </row>
        <row r="2223">
          <cell r="A2223" t="str">
            <v>Volvo GPA</v>
          </cell>
          <cell r="B2223" t="str">
            <v>SB</v>
          </cell>
          <cell r="D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</row>
        <row r="2224">
          <cell r="A2224" t="str">
            <v>Volvo GPA</v>
          </cell>
          <cell r="B2224" t="str">
            <v>SB</v>
          </cell>
          <cell r="D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</row>
        <row r="2225">
          <cell r="A2225" t="str">
            <v>Volvo GPA</v>
          </cell>
          <cell r="B2225" t="str">
            <v>SB</v>
          </cell>
          <cell r="D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</row>
        <row r="2226">
          <cell r="A2226" t="str">
            <v>Volvo GPA</v>
          </cell>
          <cell r="B2226" t="str">
            <v>SB</v>
          </cell>
          <cell r="D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</row>
        <row r="2227">
          <cell r="A2227" t="str">
            <v>Volvo GPA</v>
          </cell>
          <cell r="B2227" t="str">
            <v>SB</v>
          </cell>
          <cell r="D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</row>
        <row r="2228">
          <cell r="A2228" t="str">
            <v>Volvo GPA</v>
          </cell>
          <cell r="B2228" t="str">
            <v>SB</v>
          </cell>
          <cell r="D2228" t="str">
            <v>Weekly Output PLAN - SUM of models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0</v>
          </cell>
          <cell r="AJ2228">
            <v>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  <cell r="BK2228">
            <v>0</v>
          </cell>
          <cell r="BL2228">
            <v>0</v>
          </cell>
          <cell r="BM2228">
            <v>0</v>
          </cell>
          <cell r="BN2228">
            <v>0</v>
          </cell>
          <cell r="BO2228">
            <v>0</v>
          </cell>
          <cell r="BP2228">
            <v>0</v>
          </cell>
          <cell r="BQ2228">
            <v>0</v>
          </cell>
          <cell r="BR2228">
            <v>0</v>
          </cell>
          <cell r="BS2228">
            <v>0</v>
          </cell>
          <cell r="BT2228">
            <v>0</v>
          </cell>
          <cell r="BU2228">
            <v>0</v>
          </cell>
          <cell r="BV2228">
            <v>0</v>
          </cell>
        </row>
        <row r="2229">
          <cell r="A2229" t="str">
            <v>Volvo GPA</v>
          </cell>
          <cell r="B2229" t="str">
            <v>SB</v>
          </cell>
          <cell r="D2229" t="str">
            <v>Weekly Output CHECK with TO time multiple</v>
          </cell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</row>
        <row r="2230">
          <cell r="A2230" t="str">
            <v>Volvo GPA</v>
          </cell>
          <cell r="B2230" t="str">
            <v>SB</v>
          </cell>
          <cell r="D2230" t="str">
            <v>Weekly Output ACT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0</v>
          </cell>
          <cell r="AJ2230">
            <v>0</v>
          </cell>
          <cell r="AK2230">
            <v>287.05440900562854</v>
          </cell>
          <cell r="AL2230">
            <v>287.05440900562854</v>
          </cell>
          <cell r="AM2230">
            <v>717.63602251407133</v>
          </cell>
          <cell r="AN2230">
            <v>574.10881801125709</v>
          </cell>
          <cell r="AO2230">
            <v>717.63602251407133</v>
          </cell>
          <cell r="AP2230">
            <v>1076.4540337711069</v>
          </cell>
          <cell r="AQ2230">
            <v>1076.4540337711069</v>
          </cell>
          <cell r="AR2230">
            <v>1076.4540337711069</v>
          </cell>
          <cell r="AS2230">
            <v>1076.4540337711069</v>
          </cell>
          <cell r="AT2230">
            <v>1794.0900562851784</v>
          </cell>
          <cell r="AU2230">
            <v>1794.0900562851784</v>
          </cell>
          <cell r="AV2230">
            <v>1794.0900562851784</v>
          </cell>
          <cell r="AW2230">
            <v>1794.0900562851784</v>
          </cell>
          <cell r="AX2230">
            <v>1794.0900562851784</v>
          </cell>
          <cell r="AY2230">
            <v>1794.0900562851784</v>
          </cell>
          <cell r="AZ2230">
            <v>0</v>
          </cell>
          <cell r="BA2230">
            <v>0</v>
          </cell>
          <cell r="BB2230">
            <v>3588.1801125703569</v>
          </cell>
          <cell r="BC2230">
            <v>3588.1801125703569</v>
          </cell>
          <cell r="BD2230">
            <v>3588.1801125703569</v>
          </cell>
          <cell r="BE2230">
            <v>3588.1801125703569</v>
          </cell>
          <cell r="BF2230">
            <v>3588.1801125703569</v>
          </cell>
          <cell r="BG2230">
            <v>3588.1801125703569</v>
          </cell>
          <cell r="BH2230">
            <v>3588.1801125703569</v>
          </cell>
          <cell r="BI2230">
            <v>3588.1801125703569</v>
          </cell>
          <cell r="BJ2230">
            <v>3588.1801125703569</v>
          </cell>
          <cell r="BK2230">
            <v>1519.6998123827393</v>
          </cell>
          <cell r="BL2230">
            <v>911.81988742964359</v>
          </cell>
          <cell r="BM2230">
            <v>911.81988742964359</v>
          </cell>
          <cell r="BN2230">
            <v>911.81988742964359</v>
          </cell>
          <cell r="BO2230">
            <v>911.81988742964359</v>
          </cell>
          <cell r="BP2230">
            <v>911.81988742964359</v>
          </cell>
          <cell r="BQ2230">
            <v>911.81988742964359</v>
          </cell>
          <cell r="BR2230">
            <v>911.81988742964359</v>
          </cell>
          <cell r="BS2230">
            <v>911.81988742964359</v>
          </cell>
          <cell r="BT2230">
            <v>911.81988742964359</v>
          </cell>
          <cell r="BU2230">
            <v>911.81988742964359</v>
          </cell>
          <cell r="BV2230">
            <v>911.81988742964359</v>
          </cell>
        </row>
        <row r="2231">
          <cell r="A2231" t="str">
            <v>Volvo GPA</v>
          </cell>
          <cell r="B2231" t="str">
            <v>SB</v>
          </cell>
          <cell r="D2231">
            <v>0</v>
          </cell>
          <cell r="Z2231">
            <v>0</v>
          </cell>
          <cell r="AA2231">
            <v>368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>
            <v>0</v>
          </cell>
          <cell r="AJ2231">
            <v>192</v>
          </cell>
          <cell r="AK2231">
            <v>128</v>
          </cell>
          <cell r="AL2231">
            <v>0</v>
          </cell>
          <cell r="AM2231">
            <v>256</v>
          </cell>
          <cell r="AN2231">
            <v>512</v>
          </cell>
          <cell r="AO2231">
            <v>640</v>
          </cell>
          <cell r="AP2231">
            <v>896</v>
          </cell>
          <cell r="AQ2231">
            <v>896</v>
          </cell>
          <cell r="AR2231">
            <v>768</v>
          </cell>
          <cell r="AS2231">
            <v>1312</v>
          </cell>
          <cell r="AT2231">
            <v>1568</v>
          </cell>
          <cell r="AU2231">
            <v>1568</v>
          </cell>
          <cell r="AV2231">
            <v>0</v>
          </cell>
          <cell r="AW2231">
            <v>0</v>
          </cell>
          <cell r="AX2231">
            <v>0</v>
          </cell>
          <cell r="AY2231">
            <v>32</v>
          </cell>
          <cell r="AZ2231">
            <v>1984</v>
          </cell>
          <cell r="BA2231">
            <v>2240</v>
          </cell>
          <cell r="BB2231">
            <v>11904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16320</v>
          </cell>
          <cell r="BH2231">
            <v>0</v>
          </cell>
          <cell r="BI2231">
            <v>0</v>
          </cell>
          <cell r="BJ2231">
            <v>0</v>
          </cell>
          <cell r="BK2231">
            <v>24576</v>
          </cell>
          <cell r="BL2231">
            <v>0</v>
          </cell>
          <cell r="BM2231">
            <v>0</v>
          </cell>
          <cell r="BN2231">
            <v>0</v>
          </cell>
          <cell r="BO2231">
            <v>21952</v>
          </cell>
          <cell r="BP2231">
            <v>0</v>
          </cell>
          <cell r="BQ2231">
            <v>0</v>
          </cell>
          <cell r="BR2231">
            <v>0</v>
          </cell>
          <cell r="BS2231">
            <v>0</v>
          </cell>
          <cell r="BT2231">
            <v>12672</v>
          </cell>
          <cell r="BU2231">
            <v>0</v>
          </cell>
          <cell r="BV2231">
            <v>0</v>
          </cell>
        </row>
        <row r="2232">
          <cell r="A2232" t="str">
            <v>Volvo GPA</v>
          </cell>
          <cell r="B2232" t="str">
            <v>SB</v>
          </cell>
          <cell r="D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>
            <v>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  <cell r="BK2232">
            <v>0</v>
          </cell>
          <cell r="BL2232">
            <v>0</v>
          </cell>
          <cell r="BM2232">
            <v>0</v>
          </cell>
          <cell r="BN2232">
            <v>0</v>
          </cell>
          <cell r="BO2232">
            <v>0</v>
          </cell>
          <cell r="BP2232">
            <v>0</v>
          </cell>
          <cell r="BQ2232">
            <v>0</v>
          </cell>
          <cell r="BR2232">
            <v>0</v>
          </cell>
          <cell r="BS2232">
            <v>0</v>
          </cell>
          <cell r="BT2232">
            <v>0</v>
          </cell>
          <cell r="BU2232">
            <v>0</v>
          </cell>
          <cell r="BV2232">
            <v>0</v>
          </cell>
        </row>
        <row r="2233">
          <cell r="A2233" t="str">
            <v>Volvo GPA</v>
          </cell>
          <cell r="B2233" t="str">
            <v>SB</v>
          </cell>
          <cell r="D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>
            <v>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  <cell r="BK2233">
            <v>0</v>
          </cell>
          <cell r="BL2233">
            <v>0</v>
          </cell>
          <cell r="BM2233">
            <v>0</v>
          </cell>
          <cell r="BN2233">
            <v>0</v>
          </cell>
          <cell r="BO2233">
            <v>0</v>
          </cell>
          <cell r="BP2233">
            <v>0</v>
          </cell>
          <cell r="BQ2233">
            <v>0</v>
          </cell>
          <cell r="BR2233">
            <v>0</v>
          </cell>
          <cell r="BS2233">
            <v>0</v>
          </cell>
          <cell r="BT2233">
            <v>0</v>
          </cell>
          <cell r="BU2233">
            <v>0</v>
          </cell>
          <cell r="BV2233">
            <v>0</v>
          </cell>
        </row>
        <row r="2234">
          <cell r="A2234" t="str">
            <v>Volvo GPA</v>
          </cell>
          <cell r="B2234" t="str">
            <v>SB</v>
          </cell>
          <cell r="D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0</v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  <cell r="BK2234">
            <v>0</v>
          </cell>
          <cell r="BL2234">
            <v>0</v>
          </cell>
          <cell r="BM2234">
            <v>0</v>
          </cell>
          <cell r="BN2234">
            <v>0</v>
          </cell>
          <cell r="BO2234">
            <v>0</v>
          </cell>
          <cell r="BP2234">
            <v>0</v>
          </cell>
          <cell r="BQ2234">
            <v>0</v>
          </cell>
          <cell r="BR2234">
            <v>0</v>
          </cell>
          <cell r="BS2234">
            <v>0</v>
          </cell>
          <cell r="BT2234">
            <v>0</v>
          </cell>
          <cell r="BU2234">
            <v>0</v>
          </cell>
          <cell r="BV2234">
            <v>0</v>
          </cell>
        </row>
        <row r="2235">
          <cell r="A2235" t="str">
            <v>Volvo GPA</v>
          </cell>
          <cell r="B2235" t="str">
            <v>SB</v>
          </cell>
          <cell r="D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0</v>
          </cell>
          <cell r="AJ2235">
            <v>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  <cell r="BK2235">
            <v>0</v>
          </cell>
          <cell r="BL2235">
            <v>0</v>
          </cell>
          <cell r="BM2235">
            <v>0</v>
          </cell>
          <cell r="BN2235">
            <v>0</v>
          </cell>
          <cell r="BO2235">
            <v>0</v>
          </cell>
          <cell r="BP2235">
            <v>0</v>
          </cell>
          <cell r="BQ2235">
            <v>0</v>
          </cell>
          <cell r="BR2235">
            <v>0</v>
          </cell>
          <cell r="BS2235">
            <v>0</v>
          </cell>
          <cell r="BT2235">
            <v>0</v>
          </cell>
          <cell r="BU2235">
            <v>0</v>
          </cell>
          <cell r="BV2235">
            <v>0</v>
          </cell>
        </row>
        <row r="2236">
          <cell r="A2236" t="str">
            <v>Volvo GPA</v>
          </cell>
          <cell r="B2236" t="str">
            <v>SB</v>
          </cell>
          <cell r="D2236" t="str">
            <v>Weekly demand</v>
          </cell>
          <cell r="Z2236">
            <v>0</v>
          </cell>
          <cell r="AA2236">
            <v>368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>
            <v>192</v>
          </cell>
          <cell r="AK2236">
            <v>128</v>
          </cell>
          <cell r="AL2236">
            <v>0</v>
          </cell>
          <cell r="AM2236">
            <v>256</v>
          </cell>
          <cell r="AN2236">
            <v>512</v>
          </cell>
          <cell r="AO2236">
            <v>640</v>
          </cell>
          <cell r="AP2236">
            <v>896</v>
          </cell>
          <cell r="AQ2236">
            <v>896</v>
          </cell>
          <cell r="AR2236">
            <v>768</v>
          </cell>
          <cell r="AS2236">
            <v>1312</v>
          </cell>
          <cell r="AT2236">
            <v>1568</v>
          </cell>
          <cell r="AU2236">
            <v>1568</v>
          </cell>
          <cell r="AV2236">
            <v>0</v>
          </cell>
          <cell r="AW2236">
            <v>0</v>
          </cell>
          <cell r="AX2236">
            <v>0</v>
          </cell>
          <cell r="AY2236">
            <v>32</v>
          </cell>
          <cell r="AZ2236">
            <v>1984</v>
          </cell>
          <cell r="BA2236">
            <v>2240</v>
          </cell>
          <cell r="BB2236">
            <v>11904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16320</v>
          </cell>
          <cell r="BH2236">
            <v>0</v>
          </cell>
          <cell r="BI2236">
            <v>0</v>
          </cell>
          <cell r="BJ2236">
            <v>0</v>
          </cell>
          <cell r="BK2236">
            <v>24576</v>
          </cell>
          <cell r="BL2236">
            <v>41584</v>
          </cell>
          <cell r="BM2236">
            <v>0</v>
          </cell>
          <cell r="BN2236">
            <v>0</v>
          </cell>
          <cell r="BO2236">
            <v>21952</v>
          </cell>
          <cell r="BP2236">
            <v>0</v>
          </cell>
          <cell r="BQ2236">
            <v>0</v>
          </cell>
          <cell r="BR2236">
            <v>0</v>
          </cell>
          <cell r="BS2236">
            <v>0</v>
          </cell>
          <cell r="BT2236">
            <v>12672</v>
          </cell>
          <cell r="BU2236">
            <v>0</v>
          </cell>
          <cell r="BV2236">
            <v>0</v>
          </cell>
        </row>
        <row r="2237">
          <cell r="A2237" t="str">
            <v>Volvo GPA</v>
          </cell>
          <cell r="B2237" t="str">
            <v>SB</v>
          </cell>
          <cell r="D2237" t="str">
            <v>Stock Target</v>
          </cell>
          <cell r="Z2237"/>
          <cell r="AA2237"/>
          <cell r="AB2237"/>
          <cell r="AC2237"/>
          <cell r="AD2237"/>
          <cell r="AE2237"/>
          <cell r="AF2237"/>
          <cell r="AG2237">
            <v>2547</v>
          </cell>
          <cell r="AH2237">
            <v>2548</v>
          </cell>
          <cell r="AI2237">
            <v>2549</v>
          </cell>
          <cell r="AJ2237">
            <v>2550</v>
          </cell>
          <cell r="AK2237">
            <v>2551</v>
          </cell>
          <cell r="AL2237">
            <v>2552</v>
          </cell>
          <cell r="AM2237">
            <v>2552</v>
          </cell>
          <cell r="AN2237">
            <v>2552</v>
          </cell>
          <cell r="AO2237">
            <v>2552</v>
          </cell>
          <cell r="AP2237">
            <v>2552</v>
          </cell>
          <cell r="AQ2237">
            <v>2552</v>
          </cell>
          <cell r="AR2237">
            <v>2552</v>
          </cell>
          <cell r="AS2237">
            <v>2552</v>
          </cell>
          <cell r="AT2237">
            <v>2552</v>
          </cell>
          <cell r="AU2237">
            <v>2552</v>
          </cell>
          <cell r="AV2237">
            <v>2552</v>
          </cell>
          <cell r="AW2237">
            <v>2552</v>
          </cell>
          <cell r="AX2237">
            <v>2552</v>
          </cell>
          <cell r="AY2237">
            <v>2552</v>
          </cell>
          <cell r="AZ2237">
            <v>2552</v>
          </cell>
          <cell r="BA2237">
            <v>2552</v>
          </cell>
          <cell r="BB2237">
            <v>2552</v>
          </cell>
          <cell r="BC2237">
            <v>2552</v>
          </cell>
          <cell r="BD2237">
            <v>2552</v>
          </cell>
          <cell r="BE2237">
            <v>2552</v>
          </cell>
          <cell r="BF2237">
            <v>2552</v>
          </cell>
          <cell r="BG2237">
            <v>2552</v>
          </cell>
          <cell r="BH2237">
            <v>2552</v>
          </cell>
          <cell r="BI2237">
            <v>2552</v>
          </cell>
          <cell r="BJ2237">
            <v>2552</v>
          </cell>
          <cell r="BK2237">
            <v>2552</v>
          </cell>
          <cell r="BL2237">
            <v>2552</v>
          </cell>
          <cell r="BM2237">
            <v>2552</v>
          </cell>
          <cell r="BN2237">
            <v>2553</v>
          </cell>
          <cell r="BO2237">
            <v>2554</v>
          </cell>
          <cell r="BP2237">
            <v>2555</v>
          </cell>
          <cell r="BQ2237">
            <v>2556</v>
          </cell>
          <cell r="BR2237">
            <v>2557</v>
          </cell>
          <cell r="BS2237">
            <v>2558</v>
          </cell>
          <cell r="BT2237">
            <v>2559</v>
          </cell>
          <cell r="BU2237">
            <v>2560</v>
          </cell>
          <cell r="BV2237">
            <v>2561</v>
          </cell>
        </row>
        <row r="2238">
          <cell r="A2238" t="str">
            <v>Volvo GPA</v>
          </cell>
          <cell r="B2238" t="str">
            <v>SB</v>
          </cell>
          <cell r="D2238">
            <v>0</v>
          </cell>
          <cell r="Z2238">
            <v>-124</v>
          </cell>
          <cell r="AA2238">
            <v>-492</v>
          </cell>
          <cell r="AB2238">
            <v>-492</v>
          </cell>
          <cell r="AC2238">
            <v>-492</v>
          </cell>
          <cell r="AD2238">
            <v>-492</v>
          </cell>
          <cell r="AE2238">
            <v>-492</v>
          </cell>
          <cell r="AF2238">
            <v>-492</v>
          </cell>
          <cell r="AG2238">
            <v>-492</v>
          </cell>
          <cell r="AH2238">
            <v>-492</v>
          </cell>
          <cell r="AI2238">
            <v>-492</v>
          </cell>
          <cell r="AJ2238">
            <v>-684</v>
          </cell>
          <cell r="AK2238">
            <v>-812</v>
          </cell>
          <cell r="AL2238">
            <v>-812</v>
          </cell>
          <cell r="AM2238">
            <v>-1068</v>
          </cell>
          <cell r="AN2238">
            <v>-1324</v>
          </cell>
          <cell r="AO2238">
            <v>-1708</v>
          </cell>
          <cell r="AP2238">
            <v>-2220</v>
          </cell>
          <cell r="AQ2238">
            <v>-2604</v>
          </cell>
          <cell r="AR2238">
            <v>-2988</v>
          </cell>
          <cell r="AS2238">
            <v>-3916</v>
          </cell>
          <cell r="AT2238">
            <v>-4556</v>
          </cell>
          <cell r="AU2238">
            <v>-5484</v>
          </cell>
          <cell r="AV2238">
            <v>-4556</v>
          </cell>
          <cell r="AW2238">
            <v>-5484</v>
          </cell>
          <cell r="AX2238">
            <v>-4556</v>
          </cell>
          <cell r="AY2238">
            <v>-5516</v>
          </cell>
          <cell r="AZ2238">
            <v>-6540</v>
          </cell>
          <cell r="BA2238">
            <v>-7756</v>
          </cell>
          <cell r="BB2238">
            <v>-18444</v>
          </cell>
          <cell r="BC2238">
            <v>-7756</v>
          </cell>
          <cell r="BD2238">
            <v>-18444</v>
          </cell>
          <cell r="BE2238">
            <v>-7756</v>
          </cell>
          <cell r="BF2238">
            <v>-18444</v>
          </cell>
          <cell r="BG2238">
            <v>-24076</v>
          </cell>
          <cell r="BH2238">
            <v>-18444</v>
          </cell>
          <cell r="BI2238">
            <v>-24076</v>
          </cell>
          <cell r="BJ2238">
            <v>-18444</v>
          </cell>
          <cell r="BK2238">
            <v>-48652</v>
          </cell>
          <cell r="BL2238">
            <v>-18444</v>
          </cell>
          <cell r="BM2238">
            <v>-48652</v>
          </cell>
          <cell r="BN2238">
            <v>-18444</v>
          </cell>
          <cell r="BO2238">
            <v>-70604</v>
          </cell>
          <cell r="BP2238">
            <v>-18444</v>
          </cell>
          <cell r="BQ2238">
            <v>-70604</v>
          </cell>
          <cell r="BR2238">
            <v>-18444</v>
          </cell>
          <cell r="BS2238">
            <v>-70604</v>
          </cell>
          <cell r="BT2238">
            <v>-31116</v>
          </cell>
          <cell r="BU2238">
            <v>-70604</v>
          </cell>
          <cell r="BV2238">
            <v>-31116</v>
          </cell>
        </row>
        <row r="2239">
          <cell r="A2239" t="str">
            <v>Volvo GPA</v>
          </cell>
          <cell r="B2239" t="str">
            <v>SB</v>
          </cell>
          <cell r="D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  <cell r="AJ2239">
            <v>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  <cell r="BK2239">
            <v>0</v>
          </cell>
          <cell r="BL2239">
            <v>0</v>
          </cell>
          <cell r="BM2239">
            <v>0</v>
          </cell>
          <cell r="BN2239">
            <v>0</v>
          </cell>
          <cell r="BO2239">
            <v>0</v>
          </cell>
          <cell r="BP2239">
            <v>0</v>
          </cell>
          <cell r="BQ2239">
            <v>0</v>
          </cell>
          <cell r="BR2239">
            <v>0</v>
          </cell>
          <cell r="BS2239">
            <v>0</v>
          </cell>
          <cell r="BT2239">
            <v>0</v>
          </cell>
          <cell r="BU2239">
            <v>0</v>
          </cell>
          <cell r="BV2239">
            <v>0</v>
          </cell>
        </row>
        <row r="2240">
          <cell r="A2240" t="str">
            <v>Volvo GPA</v>
          </cell>
          <cell r="B2240" t="str">
            <v>SB</v>
          </cell>
          <cell r="D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  <cell r="BK2240">
            <v>0</v>
          </cell>
          <cell r="BL2240">
            <v>0</v>
          </cell>
          <cell r="BM2240">
            <v>0</v>
          </cell>
          <cell r="BN2240">
            <v>0</v>
          </cell>
          <cell r="BO2240">
            <v>0</v>
          </cell>
          <cell r="BP2240">
            <v>0</v>
          </cell>
          <cell r="BQ2240">
            <v>0</v>
          </cell>
          <cell r="BR2240">
            <v>0</v>
          </cell>
          <cell r="BS2240">
            <v>0</v>
          </cell>
          <cell r="BT2240">
            <v>0</v>
          </cell>
          <cell r="BU2240">
            <v>0</v>
          </cell>
          <cell r="BV2240">
            <v>0</v>
          </cell>
        </row>
        <row r="2241">
          <cell r="A2241" t="str">
            <v>Volvo GPA</v>
          </cell>
          <cell r="B2241" t="str">
            <v>SB</v>
          </cell>
          <cell r="D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0</v>
          </cell>
          <cell r="AJ2241">
            <v>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  <cell r="BK2241">
            <v>0</v>
          </cell>
          <cell r="BL2241">
            <v>0</v>
          </cell>
          <cell r="BM2241">
            <v>0</v>
          </cell>
          <cell r="BN2241">
            <v>0</v>
          </cell>
          <cell r="BO2241">
            <v>0</v>
          </cell>
          <cell r="BP2241">
            <v>0</v>
          </cell>
          <cell r="BQ2241">
            <v>0</v>
          </cell>
          <cell r="BR2241">
            <v>0</v>
          </cell>
          <cell r="BS2241">
            <v>0</v>
          </cell>
          <cell r="BT2241">
            <v>0</v>
          </cell>
          <cell r="BU2241">
            <v>0</v>
          </cell>
          <cell r="BV2241">
            <v>0</v>
          </cell>
        </row>
        <row r="2242">
          <cell r="A2242" t="str">
            <v>Volvo GPA</v>
          </cell>
          <cell r="B2242" t="str">
            <v>SB</v>
          </cell>
          <cell r="D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0</v>
          </cell>
          <cell r="AJ2242">
            <v>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  <cell r="BK2242">
            <v>0</v>
          </cell>
          <cell r="BL2242">
            <v>0</v>
          </cell>
          <cell r="BM2242">
            <v>0</v>
          </cell>
          <cell r="BN2242">
            <v>0</v>
          </cell>
          <cell r="BO2242">
            <v>0</v>
          </cell>
          <cell r="BP2242">
            <v>0</v>
          </cell>
          <cell r="BQ2242">
            <v>0</v>
          </cell>
          <cell r="BR2242">
            <v>0</v>
          </cell>
          <cell r="BS2242">
            <v>0</v>
          </cell>
          <cell r="BT2242">
            <v>0</v>
          </cell>
          <cell r="BU2242">
            <v>0</v>
          </cell>
          <cell r="BV2242">
            <v>0</v>
          </cell>
        </row>
        <row r="2243">
          <cell r="A2243" t="str">
            <v>Volvo GPA</v>
          </cell>
          <cell r="B2243" t="str">
            <v>SB</v>
          </cell>
          <cell r="D2243" t="str">
            <v>STOCK</v>
          </cell>
          <cell r="Z2243">
            <v>0</v>
          </cell>
          <cell r="AA2243">
            <v>-368</v>
          </cell>
          <cell r="AB2243">
            <v>-368</v>
          </cell>
          <cell r="AC2243">
            <v>-368</v>
          </cell>
          <cell r="AD2243">
            <v>-368</v>
          </cell>
          <cell r="AE2243">
            <v>-368</v>
          </cell>
          <cell r="AF2243">
            <v>-368</v>
          </cell>
          <cell r="AG2243">
            <v>-368</v>
          </cell>
          <cell r="AH2243">
            <v>-368</v>
          </cell>
          <cell r="AI2243">
            <v>-368</v>
          </cell>
          <cell r="AJ2243">
            <v>-560</v>
          </cell>
          <cell r="AK2243">
            <v>-400.94559099437146</v>
          </cell>
          <cell r="AL2243">
            <v>-113.89118198874291</v>
          </cell>
          <cell r="AM2243">
            <v>347.74484052532841</v>
          </cell>
          <cell r="AN2243">
            <v>409.8536585365855</v>
          </cell>
          <cell r="AO2243">
            <v>487.48968105065683</v>
          </cell>
          <cell r="AP2243">
            <v>667.94371482176371</v>
          </cell>
          <cell r="AQ2243">
            <v>848.39774859287058</v>
          </cell>
          <cell r="AR2243">
            <v>1156.8517823639775</v>
          </cell>
          <cell r="AS2243">
            <v>921.30581613508434</v>
          </cell>
          <cell r="AT2243">
            <v>1147.3958724202628</v>
          </cell>
          <cell r="AU2243">
            <v>1373.4859287054412</v>
          </cell>
          <cell r="AV2243">
            <v>3167.5759849906199</v>
          </cell>
          <cell r="AW2243">
            <v>4961.6660412757983</v>
          </cell>
          <cell r="AX2243">
            <v>6755.7560975609767</v>
          </cell>
          <cell r="AY2243">
            <v>8517.8461538461561</v>
          </cell>
          <cell r="AZ2243">
            <v>6533.8461538461561</v>
          </cell>
          <cell r="BA2243">
            <v>4293.8461538461561</v>
          </cell>
          <cell r="BB2243">
            <v>-4021.973733583487</v>
          </cell>
          <cell r="BC2243">
            <v>-433.79362101313018</v>
          </cell>
          <cell r="BD2243">
            <v>3154.3864915572267</v>
          </cell>
          <cell r="BE2243">
            <v>6742.5666041275836</v>
          </cell>
          <cell r="BF2243">
            <v>10330.74671669794</v>
          </cell>
          <cell r="BG2243">
            <v>-2401.0731707317027</v>
          </cell>
          <cell r="BH2243">
            <v>1187.1069418386542</v>
          </cell>
          <cell r="BI2243">
            <v>4775.287054409011</v>
          </cell>
          <cell r="BJ2243">
            <v>8363.4671669793679</v>
          </cell>
          <cell r="BK2243">
            <v>-14692.833020637892</v>
          </cell>
          <cell r="BL2243">
            <v>-55365.013133208246</v>
          </cell>
          <cell r="BM2243">
            <v>-54453.193245778602</v>
          </cell>
          <cell r="BN2243">
            <v>-53541.373358348959</v>
          </cell>
          <cell r="BO2243">
            <v>-74581.553470919316</v>
          </cell>
          <cell r="BP2243">
            <v>-73669.733583489666</v>
          </cell>
          <cell r="BQ2243">
            <v>-72757.913696060015</v>
          </cell>
          <cell r="BR2243">
            <v>-71846.093808630365</v>
          </cell>
          <cell r="BS2243">
            <v>-70934.273921200715</v>
          </cell>
          <cell r="BT2243">
            <v>-82694.454033771064</v>
          </cell>
          <cell r="BU2243">
            <v>-81782.634146341414</v>
          </cell>
          <cell r="BV2243">
            <v>-80870.814258911763</v>
          </cell>
        </row>
        <row r="2244">
          <cell r="A2244" t="str">
            <v>Blank</v>
          </cell>
          <cell r="B2244" t="str">
            <v>Blank</v>
          </cell>
          <cell r="D2244" t="str">
            <v>Blank</v>
          </cell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</row>
        <row r="2245">
          <cell r="A2245" t="str">
            <v>Volvo GPA</v>
          </cell>
          <cell r="B2245" t="str">
            <v>SB</v>
          </cell>
          <cell r="D2245" t="str">
            <v>Work days</v>
          </cell>
          <cell r="Z2245"/>
          <cell r="AA2245"/>
          <cell r="AB2245"/>
          <cell r="AC2245"/>
          <cell r="AD2245">
            <v>0</v>
          </cell>
          <cell r="AE2245">
            <v>0</v>
          </cell>
          <cell r="AF2245">
            <v>5</v>
          </cell>
          <cell r="AG2245">
            <v>5</v>
          </cell>
          <cell r="AH2245">
            <v>5</v>
          </cell>
          <cell r="AI2245">
            <v>5</v>
          </cell>
          <cell r="AJ2245">
            <v>5</v>
          </cell>
          <cell r="AK2245">
            <v>4</v>
          </cell>
          <cell r="AL2245">
            <v>4</v>
          </cell>
          <cell r="AM2245">
            <v>5</v>
          </cell>
          <cell r="AN2245">
            <v>4</v>
          </cell>
          <cell r="AO2245">
            <v>5</v>
          </cell>
          <cell r="AP2245">
            <v>5</v>
          </cell>
          <cell r="AQ2245">
            <v>5</v>
          </cell>
          <cell r="AR2245">
            <v>5</v>
          </cell>
          <cell r="AS2245">
            <v>5</v>
          </cell>
          <cell r="AT2245">
            <v>5</v>
          </cell>
          <cell r="AU2245">
            <v>5</v>
          </cell>
          <cell r="AV2245">
            <v>5</v>
          </cell>
          <cell r="AW2245">
            <v>5</v>
          </cell>
          <cell r="AX2245">
            <v>5</v>
          </cell>
          <cell r="AY2245">
            <v>5</v>
          </cell>
          <cell r="AZ2245">
            <v>0</v>
          </cell>
          <cell r="BA2245">
            <v>0</v>
          </cell>
          <cell r="BB2245">
            <v>5</v>
          </cell>
          <cell r="BC2245">
            <v>5</v>
          </cell>
          <cell r="BD2245">
            <v>5</v>
          </cell>
          <cell r="BE2245">
            <v>5</v>
          </cell>
          <cell r="BF2245">
            <v>5</v>
          </cell>
          <cell r="BG2245">
            <v>5</v>
          </cell>
          <cell r="BH2245">
            <v>5</v>
          </cell>
          <cell r="BI2245">
            <v>5</v>
          </cell>
          <cell r="BJ2245">
            <v>5</v>
          </cell>
          <cell r="BK2245">
            <v>5</v>
          </cell>
          <cell r="BL2245">
            <v>1</v>
          </cell>
          <cell r="BM2245">
            <v>1</v>
          </cell>
          <cell r="BN2245">
            <v>1</v>
          </cell>
          <cell r="BO2245">
            <v>1</v>
          </cell>
          <cell r="BP2245">
            <v>1</v>
          </cell>
          <cell r="BQ2245">
            <v>1</v>
          </cell>
          <cell r="BR2245">
            <v>1</v>
          </cell>
          <cell r="BS2245">
            <v>1</v>
          </cell>
          <cell r="BT2245">
            <v>1</v>
          </cell>
          <cell r="BU2245">
            <v>1</v>
          </cell>
          <cell r="BV2245">
            <v>1</v>
          </cell>
        </row>
        <row r="2246">
          <cell r="A2246" t="str">
            <v>Volvo GPA</v>
          </cell>
          <cell r="B2246" t="str">
            <v>SB</v>
          </cell>
          <cell r="D2246" t="str">
            <v>SHIFT A HC - operators</v>
          </cell>
          <cell r="Z2246"/>
          <cell r="AA2246"/>
          <cell r="AB2246"/>
          <cell r="AC2246"/>
          <cell r="AD2246">
            <v>1</v>
          </cell>
          <cell r="AE2246">
            <v>1</v>
          </cell>
          <cell r="AF2246">
            <v>1</v>
          </cell>
          <cell r="AG2246">
            <v>1</v>
          </cell>
          <cell r="AH2246">
            <v>1</v>
          </cell>
          <cell r="AI2246">
            <v>1</v>
          </cell>
          <cell r="AJ2246">
            <v>1</v>
          </cell>
          <cell r="AK2246">
            <v>1</v>
          </cell>
          <cell r="AL2246">
            <v>1</v>
          </cell>
          <cell r="AM2246">
            <v>1</v>
          </cell>
          <cell r="AN2246">
            <v>1</v>
          </cell>
          <cell r="AO2246">
            <v>1</v>
          </cell>
          <cell r="AP2246">
            <v>2</v>
          </cell>
          <cell r="AQ2246">
            <v>2</v>
          </cell>
          <cell r="AR2246">
            <v>2</v>
          </cell>
          <cell r="AS2246">
            <v>2</v>
          </cell>
          <cell r="AT2246">
            <v>2</v>
          </cell>
          <cell r="AU2246">
            <v>2</v>
          </cell>
          <cell r="AV2246">
            <v>2</v>
          </cell>
          <cell r="AW2246">
            <v>3</v>
          </cell>
          <cell r="AX2246">
            <v>3</v>
          </cell>
          <cell r="AY2246">
            <v>3</v>
          </cell>
          <cell r="AZ2246">
            <v>3</v>
          </cell>
          <cell r="BA2246">
            <v>3</v>
          </cell>
          <cell r="BB2246">
            <v>4</v>
          </cell>
          <cell r="BC2246">
            <v>4</v>
          </cell>
          <cell r="BD2246">
            <v>4</v>
          </cell>
          <cell r="BE2246">
            <v>4</v>
          </cell>
          <cell r="BF2246">
            <v>4</v>
          </cell>
          <cell r="BG2246">
            <v>4</v>
          </cell>
          <cell r="BH2246">
            <v>4</v>
          </cell>
          <cell r="BI2246">
            <v>1</v>
          </cell>
          <cell r="BJ2246">
            <v>1</v>
          </cell>
          <cell r="BK2246">
            <v>1</v>
          </cell>
          <cell r="BL2246">
            <v>1</v>
          </cell>
          <cell r="BM2246">
            <v>1</v>
          </cell>
          <cell r="BN2246">
            <v>1</v>
          </cell>
          <cell r="BO2246">
            <v>1</v>
          </cell>
          <cell r="BP2246">
            <v>1</v>
          </cell>
          <cell r="BQ2246">
            <v>1</v>
          </cell>
          <cell r="BR2246">
            <v>1</v>
          </cell>
          <cell r="BS2246">
            <v>1</v>
          </cell>
          <cell r="BT2246">
            <v>1</v>
          </cell>
          <cell r="BU2246">
            <v>1</v>
          </cell>
          <cell r="BV2246">
            <v>1</v>
          </cell>
        </row>
        <row r="2247">
          <cell r="A2247" t="str">
            <v>Volvo GPA</v>
          </cell>
          <cell r="B2247" t="str">
            <v>SB</v>
          </cell>
          <cell r="D2247" t="str">
            <v>SHIFT B HC  - operators</v>
          </cell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  <cell r="BK2247">
            <v>0</v>
          </cell>
          <cell r="BL2247">
            <v>0</v>
          </cell>
          <cell r="BM2247">
            <v>0</v>
          </cell>
          <cell r="BN2247">
            <v>0</v>
          </cell>
          <cell r="BO2247">
            <v>0</v>
          </cell>
          <cell r="BP2247">
            <v>0</v>
          </cell>
          <cell r="BQ2247">
            <v>0</v>
          </cell>
          <cell r="BR2247">
            <v>0</v>
          </cell>
          <cell r="BS2247">
            <v>0</v>
          </cell>
          <cell r="BT2247">
            <v>0</v>
          </cell>
          <cell r="BU2247">
            <v>0</v>
          </cell>
          <cell r="BV2247">
            <v>0</v>
          </cell>
        </row>
        <row r="2248">
          <cell r="A2248" t="str">
            <v>Volvo GPA</v>
          </cell>
          <cell r="B2248" t="str">
            <v>SB</v>
          </cell>
          <cell r="D2248" t="str">
            <v>SHIFT C HC  - operators</v>
          </cell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>
            <v>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  <cell r="BK2248">
            <v>0</v>
          </cell>
          <cell r="BL2248">
            <v>0</v>
          </cell>
          <cell r="BM2248">
            <v>0</v>
          </cell>
          <cell r="BN2248">
            <v>0</v>
          </cell>
          <cell r="BO2248">
            <v>0</v>
          </cell>
          <cell r="BP2248">
            <v>0</v>
          </cell>
          <cell r="BQ2248">
            <v>0</v>
          </cell>
          <cell r="BR2248">
            <v>0</v>
          </cell>
          <cell r="BS2248">
            <v>0</v>
          </cell>
          <cell r="BT2248">
            <v>0</v>
          </cell>
          <cell r="BU2248">
            <v>0</v>
          </cell>
          <cell r="BV2248">
            <v>0</v>
          </cell>
        </row>
        <row r="2249">
          <cell r="A2249" t="str">
            <v>Volvo GPA</v>
          </cell>
          <cell r="B2249" t="str">
            <v>SB</v>
          </cell>
          <cell r="D2249" t="str">
            <v>Total HC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1</v>
          </cell>
          <cell r="AE2249">
            <v>1</v>
          </cell>
          <cell r="AF2249">
            <v>1</v>
          </cell>
          <cell r="AG2249">
            <v>1</v>
          </cell>
          <cell r="AH2249">
            <v>1</v>
          </cell>
          <cell r="AI2249">
            <v>1</v>
          </cell>
          <cell r="AJ2249">
            <v>1</v>
          </cell>
          <cell r="AK2249">
            <v>1</v>
          </cell>
          <cell r="AL2249">
            <v>1</v>
          </cell>
          <cell r="AM2249">
            <v>1</v>
          </cell>
          <cell r="AN2249">
            <v>1</v>
          </cell>
          <cell r="AO2249">
            <v>1</v>
          </cell>
          <cell r="AP2249">
            <v>2</v>
          </cell>
          <cell r="AQ2249">
            <v>2</v>
          </cell>
          <cell r="AR2249">
            <v>2</v>
          </cell>
          <cell r="AS2249">
            <v>2</v>
          </cell>
          <cell r="AT2249">
            <v>2</v>
          </cell>
          <cell r="AU2249">
            <v>2</v>
          </cell>
          <cell r="AV2249">
            <v>2</v>
          </cell>
          <cell r="AW2249">
            <v>3</v>
          </cell>
          <cell r="AX2249">
            <v>3</v>
          </cell>
          <cell r="AY2249">
            <v>3</v>
          </cell>
          <cell r="AZ2249">
            <v>3</v>
          </cell>
          <cell r="BA2249">
            <v>3</v>
          </cell>
          <cell r="BB2249">
            <v>4</v>
          </cell>
          <cell r="BC2249">
            <v>4</v>
          </cell>
          <cell r="BD2249">
            <v>4</v>
          </cell>
          <cell r="BE2249">
            <v>4</v>
          </cell>
          <cell r="BF2249">
            <v>4</v>
          </cell>
          <cell r="BG2249">
            <v>4</v>
          </cell>
          <cell r="BH2249">
            <v>4</v>
          </cell>
          <cell r="BI2249">
            <v>1</v>
          </cell>
          <cell r="BJ2249">
            <v>1</v>
          </cell>
          <cell r="BK2249">
            <v>1</v>
          </cell>
          <cell r="BL2249">
            <v>1</v>
          </cell>
          <cell r="BM2249">
            <v>1</v>
          </cell>
          <cell r="BN2249">
            <v>1</v>
          </cell>
          <cell r="BO2249">
            <v>1</v>
          </cell>
          <cell r="BP2249">
            <v>1</v>
          </cell>
          <cell r="BQ2249">
            <v>1</v>
          </cell>
          <cell r="BR2249">
            <v>1</v>
          </cell>
          <cell r="BS2249">
            <v>1</v>
          </cell>
          <cell r="BT2249">
            <v>1</v>
          </cell>
          <cell r="BU2249">
            <v>1</v>
          </cell>
          <cell r="BV2249">
            <v>1</v>
          </cell>
        </row>
        <row r="2250">
          <cell r="A2250" t="str">
            <v>Volvo GPA</v>
          </cell>
          <cell r="B2250" t="str">
            <v>SB</v>
          </cell>
          <cell r="D2250" t="str">
            <v>SHIFT A HC  - efficiency</v>
          </cell>
          <cell r="Z2250"/>
          <cell r="AA2250"/>
          <cell r="AB2250"/>
          <cell r="AC2250"/>
          <cell r="AD2250">
            <v>0</v>
          </cell>
          <cell r="AE2250">
            <v>0</v>
          </cell>
          <cell r="AF2250">
            <v>0.5</v>
          </cell>
          <cell r="AG2250">
            <v>0.55000000000000004</v>
          </cell>
          <cell r="AH2250">
            <v>0.60000000000000009</v>
          </cell>
          <cell r="AI2250">
            <v>0.65000000000000013</v>
          </cell>
          <cell r="AJ2250">
            <v>0.70000000000000018</v>
          </cell>
          <cell r="AK2250">
            <v>0.75000000000000022</v>
          </cell>
          <cell r="AL2250">
            <v>0.80000000000000027</v>
          </cell>
          <cell r="AM2250">
            <v>0.85000000000000031</v>
          </cell>
          <cell r="AN2250">
            <v>0.90000000000000036</v>
          </cell>
          <cell r="AO2250">
            <v>0.9500000000000004</v>
          </cell>
          <cell r="AP2250">
            <v>1.0000000000000004</v>
          </cell>
          <cell r="AQ2250">
            <v>1</v>
          </cell>
          <cell r="AR2250">
            <v>1</v>
          </cell>
          <cell r="AS2250">
            <v>1</v>
          </cell>
          <cell r="AT2250">
            <v>1</v>
          </cell>
          <cell r="AU2250">
            <v>1</v>
          </cell>
          <cell r="AV2250">
            <v>1</v>
          </cell>
          <cell r="AW2250">
            <v>1</v>
          </cell>
          <cell r="AX2250">
            <v>1</v>
          </cell>
          <cell r="AY2250">
            <v>1</v>
          </cell>
          <cell r="AZ2250">
            <v>1</v>
          </cell>
          <cell r="BA2250">
            <v>1</v>
          </cell>
          <cell r="BB2250">
            <v>1</v>
          </cell>
          <cell r="BC2250">
            <v>1</v>
          </cell>
          <cell r="BD2250">
            <v>1</v>
          </cell>
          <cell r="BE2250">
            <v>1</v>
          </cell>
          <cell r="BF2250">
            <v>1</v>
          </cell>
          <cell r="BG2250">
            <v>1</v>
          </cell>
          <cell r="BH2250">
            <v>1</v>
          </cell>
          <cell r="BI2250">
            <v>1</v>
          </cell>
          <cell r="BJ2250">
            <v>1</v>
          </cell>
          <cell r="BK2250">
            <v>1.2</v>
          </cell>
          <cell r="BL2250">
            <v>1.2</v>
          </cell>
          <cell r="BM2250">
            <v>1.2</v>
          </cell>
          <cell r="BN2250">
            <v>1.2</v>
          </cell>
          <cell r="BO2250">
            <v>1.2</v>
          </cell>
          <cell r="BP2250">
            <v>1.2</v>
          </cell>
          <cell r="BQ2250">
            <v>1.2</v>
          </cell>
          <cell r="BR2250">
            <v>1.2</v>
          </cell>
          <cell r="BS2250">
            <v>1.2</v>
          </cell>
          <cell r="BT2250">
            <v>1.2</v>
          </cell>
          <cell r="BU2250">
            <v>1.2</v>
          </cell>
          <cell r="BV2250">
            <v>1.2</v>
          </cell>
        </row>
        <row r="2251">
          <cell r="A2251" t="str">
            <v>Volvo GPA</v>
          </cell>
          <cell r="B2251" t="str">
            <v>SB</v>
          </cell>
          <cell r="D2251" t="str">
            <v>SHIFT B HC  - efficiency</v>
          </cell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>
            <v>1</v>
          </cell>
          <cell r="AK2251">
            <v>1</v>
          </cell>
          <cell r="AL2251">
            <v>1</v>
          </cell>
          <cell r="AM2251">
            <v>1</v>
          </cell>
          <cell r="AN2251">
            <v>1</v>
          </cell>
          <cell r="AO2251">
            <v>1</v>
          </cell>
          <cell r="AP2251">
            <v>1</v>
          </cell>
          <cell r="AQ2251">
            <v>1</v>
          </cell>
          <cell r="AR2251">
            <v>1</v>
          </cell>
          <cell r="AS2251">
            <v>1</v>
          </cell>
          <cell r="AT2251">
            <v>1</v>
          </cell>
          <cell r="AU2251">
            <v>1</v>
          </cell>
          <cell r="AV2251">
            <v>1</v>
          </cell>
          <cell r="AW2251">
            <v>1</v>
          </cell>
          <cell r="AX2251">
            <v>1</v>
          </cell>
          <cell r="AY2251">
            <v>1</v>
          </cell>
          <cell r="AZ2251">
            <v>1</v>
          </cell>
          <cell r="BA2251">
            <v>1</v>
          </cell>
          <cell r="BB2251">
            <v>1</v>
          </cell>
          <cell r="BC2251">
            <v>1</v>
          </cell>
          <cell r="BD2251">
            <v>1</v>
          </cell>
          <cell r="BE2251">
            <v>1</v>
          </cell>
          <cell r="BF2251">
            <v>1</v>
          </cell>
          <cell r="BG2251">
            <v>1</v>
          </cell>
          <cell r="BH2251">
            <v>1</v>
          </cell>
          <cell r="BI2251">
            <v>1</v>
          </cell>
          <cell r="BJ2251">
            <v>1</v>
          </cell>
          <cell r="BK2251">
            <v>1</v>
          </cell>
          <cell r="BL2251">
            <v>1</v>
          </cell>
          <cell r="BM2251">
            <v>1</v>
          </cell>
          <cell r="BN2251">
            <v>1</v>
          </cell>
          <cell r="BO2251">
            <v>1</v>
          </cell>
          <cell r="BP2251">
            <v>1</v>
          </cell>
          <cell r="BQ2251">
            <v>1</v>
          </cell>
          <cell r="BR2251">
            <v>1</v>
          </cell>
          <cell r="BS2251">
            <v>1</v>
          </cell>
          <cell r="BT2251">
            <v>1</v>
          </cell>
          <cell r="BU2251">
            <v>1</v>
          </cell>
          <cell r="BV2251">
            <v>1</v>
          </cell>
        </row>
        <row r="2252">
          <cell r="A2252" t="str">
            <v>Volvo GPA</v>
          </cell>
          <cell r="B2252" t="str">
            <v>SB</v>
          </cell>
          <cell r="D2252" t="str">
            <v>SHIFT C HC  - efficiency</v>
          </cell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>
            <v>1</v>
          </cell>
          <cell r="AK2252">
            <v>1</v>
          </cell>
          <cell r="AL2252">
            <v>1</v>
          </cell>
          <cell r="AM2252">
            <v>1</v>
          </cell>
          <cell r="AN2252">
            <v>1</v>
          </cell>
          <cell r="AO2252">
            <v>1</v>
          </cell>
          <cell r="AP2252">
            <v>1</v>
          </cell>
          <cell r="AQ2252">
            <v>1</v>
          </cell>
          <cell r="AR2252">
            <v>1</v>
          </cell>
          <cell r="AS2252">
            <v>1</v>
          </cell>
          <cell r="AT2252">
            <v>1</v>
          </cell>
          <cell r="AU2252">
            <v>1</v>
          </cell>
          <cell r="AV2252">
            <v>1</v>
          </cell>
          <cell r="AW2252">
            <v>1</v>
          </cell>
          <cell r="AX2252">
            <v>1</v>
          </cell>
          <cell r="AY2252">
            <v>1</v>
          </cell>
          <cell r="AZ2252">
            <v>1</v>
          </cell>
          <cell r="BA2252">
            <v>1</v>
          </cell>
          <cell r="BB2252">
            <v>1</v>
          </cell>
          <cell r="BC2252">
            <v>1</v>
          </cell>
          <cell r="BD2252">
            <v>1</v>
          </cell>
          <cell r="BE2252">
            <v>1</v>
          </cell>
          <cell r="BF2252">
            <v>1</v>
          </cell>
          <cell r="BG2252">
            <v>1</v>
          </cell>
          <cell r="BH2252">
            <v>1</v>
          </cell>
          <cell r="BI2252">
            <v>1</v>
          </cell>
          <cell r="BJ2252">
            <v>1</v>
          </cell>
          <cell r="BK2252">
            <v>1</v>
          </cell>
          <cell r="BL2252">
            <v>1</v>
          </cell>
          <cell r="BM2252">
            <v>1</v>
          </cell>
          <cell r="BN2252">
            <v>1</v>
          </cell>
          <cell r="BO2252">
            <v>1</v>
          </cell>
          <cell r="BP2252">
            <v>1</v>
          </cell>
          <cell r="BQ2252">
            <v>1</v>
          </cell>
          <cell r="BR2252">
            <v>1</v>
          </cell>
          <cell r="BS2252">
            <v>1</v>
          </cell>
          <cell r="BT2252">
            <v>1</v>
          </cell>
          <cell r="BU2252">
            <v>1</v>
          </cell>
          <cell r="BV2252">
            <v>1</v>
          </cell>
        </row>
        <row r="2253">
          <cell r="A2253" t="str">
            <v>Volvo GPA</v>
          </cell>
          <cell r="B2253" t="str">
            <v>SB</v>
          </cell>
          <cell r="D2253" t="str">
            <v>Total efficiency</v>
          </cell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</row>
        <row r="2254">
          <cell r="A2254" t="str">
            <v>Volvo GPA</v>
          </cell>
          <cell r="B2254" t="str">
            <v>SB</v>
          </cell>
          <cell r="D2254" t="str">
            <v>SHIFT A - output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39.130434782608695</v>
          </cell>
          <cell r="AG2254">
            <v>43.04347826086957</v>
          </cell>
          <cell r="AH2254">
            <v>46.956521739130444</v>
          </cell>
          <cell r="AI2254">
            <v>50.869565217391312</v>
          </cell>
          <cell r="AJ2254">
            <v>54.782608695652186</v>
          </cell>
          <cell r="AK2254">
            <v>58.695652173913061</v>
          </cell>
          <cell r="AL2254">
            <v>62.608695652173935</v>
          </cell>
          <cell r="AM2254">
            <v>66.52173913043481</v>
          </cell>
          <cell r="AN2254">
            <v>70.434782608695684</v>
          </cell>
          <cell r="AO2254">
            <v>74.347826086956559</v>
          </cell>
          <cell r="AP2254">
            <v>156.52173913043484</v>
          </cell>
          <cell r="AQ2254">
            <v>156.52173913043478</v>
          </cell>
          <cell r="AR2254">
            <v>156.52173913043478</v>
          </cell>
          <cell r="AS2254">
            <v>156.52173913043478</v>
          </cell>
          <cell r="AT2254">
            <v>156.52173913043478</v>
          </cell>
          <cell r="AU2254">
            <v>156.52173913043478</v>
          </cell>
          <cell r="AV2254">
            <v>156.52173913043478</v>
          </cell>
          <cell r="AW2254">
            <v>234.78260869565219</v>
          </cell>
          <cell r="AX2254">
            <v>234.78260869565219</v>
          </cell>
          <cell r="AY2254">
            <v>234.78260869565219</v>
          </cell>
          <cell r="AZ2254">
            <v>234.78260869565219</v>
          </cell>
          <cell r="BA2254">
            <v>234.78260869565219</v>
          </cell>
          <cell r="BB2254">
            <v>313.04347826086956</v>
          </cell>
          <cell r="BC2254">
            <v>313.04347826086956</v>
          </cell>
          <cell r="BD2254">
            <v>313.04347826086956</v>
          </cell>
          <cell r="BE2254">
            <v>313.04347826086956</v>
          </cell>
          <cell r="BF2254">
            <v>313.04347826086956</v>
          </cell>
          <cell r="BG2254">
            <v>313.04347826086956</v>
          </cell>
          <cell r="BH2254">
            <v>313.04347826086956</v>
          </cell>
          <cell r="BI2254">
            <v>78.260869565217391</v>
          </cell>
          <cell r="BJ2254">
            <v>78.260869565217391</v>
          </cell>
          <cell r="BK2254">
            <v>93.91304347826086</v>
          </cell>
          <cell r="BL2254">
            <v>93.91304347826086</v>
          </cell>
          <cell r="BM2254">
            <v>93.91304347826086</v>
          </cell>
          <cell r="BN2254">
            <v>93.91304347826086</v>
          </cell>
          <cell r="BO2254">
            <v>93.91304347826086</v>
          </cell>
          <cell r="BP2254">
            <v>93.91304347826086</v>
          </cell>
          <cell r="BQ2254">
            <v>93.91304347826086</v>
          </cell>
          <cell r="BR2254">
            <v>93.91304347826086</v>
          </cell>
          <cell r="BS2254">
            <v>93.91304347826086</v>
          </cell>
          <cell r="BT2254">
            <v>93.91304347826086</v>
          </cell>
          <cell r="BU2254">
            <v>93.91304347826086</v>
          </cell>
          <cell r="BV2254">
            <v>93.91304347826086</v>
          </cell>
        </row>
        <row r="2255">
          <cell r="A2255" t="str">
            <v>Volvo GPA</v>
          </cell>
          <cell r="B2255" t="str">
            <v>SB</v>
          </cell>
          <cell r="D2255" t="str">
            <v>SHIFT B  - output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  <cell r="BK2255">
            <v>0</v>
          </cell>
          <cell r="BL2255">
            <v>0</v>
          </cell>
          <cell r="BM2255">
            <v>0</v>
          </cell>
          <cell r="BN2255">
            <v>0</v>
          </cell>
          <cell r="BO2255">
            <v>0</v>
          </cell>
          <cell r="BP2255">
            <v>0</v>
          </cell>
          <cell r="BQ2255">
            <v>0</v>
          </cell>
          <cell r="BR2255">
            <v>0</v>
          </cell>
          <cell r="BS2255">
            <v>0</v>
          </cell>
          <cell r="BT2255">
            <v>0</v>
          </cell>
          <cell r="BU2255">
            <v>0</v>
          </cell>
          <cell r="BV2255">
            <v>0</v>
          </cell>
        </row>
        <row r="2256">
          <cell r="A2256" t="str">
            <v>Volvo GPA</v>
          </cell>
          <cell r="B2256" t="str">
            <v>SB</v>
          </cell>
          <cell r="D2256" t="str">
            <v>SHIFT C  - output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>
            <v>0</v>
          </cell>
          <cell r="AJ2256">
            <v>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  <cell r="BK2256">
            <v>0</v>
          </cell>
          <cell r="BL2256">
            <v>0</v>
          </cell>
          <cell r="BM2256">
            <v>0</v>
          </cell>
          <cell r="BN2256">
            <v>0</v>
          </cell>
          <cell r="BO2256">
            <v>0</v>
          </cell>
          <cell r="BP2256">
            <v>0</v>
          </cell>
          <cell r="BQ2256">
            <v>0</v>
          </cell>
          <cell r="BR2256">
            <v>0</v>
          </cell>
          <cell r="BS2256">
            <v>0</v>
          </cell>
          <cell r="BT2256">
            <v>0</v>
          </cell>
          <cell r="BU2256">
            <v>0</v>
          </cell>
          <cell r="BV2256">
            <v>0</v>
          </cell>
        </row>
        <row r="2257">
          <cell r="A2257" t="str">
            <v>Volvo GPA</v>
          </cell>
          <cell r="B2257" t="str">
            <v>SB</v>
          </cell>
          <cell r="D2257" t="str">
            <v>Est. Output (Pcs day)</v>
          </cell>
          <cell r="E2257">
            <v>2.69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83.643122676579921</v>
          </cell>
          <cell r="AG2257">
            <v>92.007434944237914</v>
          </cell>
          <cell r="AH2257">
            <v>100.37174721189592</v>
          </cell>
          <cell r="AI2257">
            <v>108.73605947955392</v>
          </cell>
          <cell r="AJ2257">
            <v>117.10037174721192</v>
          </cell>
          <cell r="AK2257">
            <v>125.46468401486992</v>
          </cell>
          <cell r="AL2257">
            <v>133.82899628252792</v>
          </cell>
          <cell r="AM2257">
            <v>142.19330855018592</v>
          </cell>
          <cell r="AN2257">
            <v>150.55762081784391</v>
          </cell>
          <cell r="AO2257">
            <v>158.92193308550191</v>
          </cell>
          <cell r="AP2257">
            <v>334.57249070631985</v>
          </cell>
          <cell r="AQ2257">
            <v>334.57249070631968</v>
          </cell>
          <cell r="AR2257">
            <v>334.57249070631968</v>
          </cell>
          <cell r="AS2257">
            <v>334.57249070631968</v>
          </cell>
          <cell r="AT2257">
            <v>334.57249070631968</v>
          </cell>
          <cell r="AU2257">
            <v>334.57249070631968</v>
          </cell>
          <cell r="AV2257">
            <v>334.57249070631968</v>
          </cell>
          <cell r="AW2257">
            <v>501.8587360594795</v>
          </cell>
          <cell r="AX2257">
            <v>501.8587360594795</v>
          </cell>
          <cell r="AY2257">
            <v>501.8587360594795</v>
          </cell>
          <cell r="AZ2257">
            <v>501.8587360594795</v>
          </cell>
          <cell r="BA2257">
            <v>501.8587360594795</v>
          </cell>
          <cell r="BB2257">
            <v>669.14498141263937</v>
          </cell>
          <cell r="BC2257">
            <v>669.14498141263937</v>
          </cell>
          <cell r="BD2257">
            <v>669.14498141263937</v>
          </cell>
          <cell r="BE2257">
            <v>669.14498141263937</v>
          </cell>
          <cell r="BF2257">
            <v>669.14498141263937</v>
          </cell>
          <cell r="BG2257">
            <v>669.14498141263937</v>
          </cell>
          <cell r="BH2257">
            <v>669.14498141263937</v>
          </cell>
          <cell r="BI2257">
            <v>167.28624535315984</v>
          </cell>
          <cell r="BJ2257">
            <v>167.28624535315984</v>
          </cell>
          <cell r="BK2257">
            <v>200.74349442379182</v>
          </cell>
          <cell r="BL2257">
            <v>200.74349442379182</v>
          </cell>
          <cell r="BM2257">
            <v>200.74349442379182</v>
          </cell>
          <cell r="BN2257">
            <v>200.74349442379182</v>
          </cell>
          <cell r="BO2257">
            <v>200.74349442379182</v>
          </cell>
          <cell r="BP2257">
            <v>200.74349442379182</v>
          </cell>
          <cell r="BQ2257">
            <v>200.74349442379182</v>
          </cell>
          <cell r="BR2257">
            <v>200.74349442379182</v>
          </cell>
          <cell r="BS2257">
            <v>200.74349442379182</v>
          </cell>
          <cell r="BT2257">
            <v>200.74349442379182</v>
          </cell>
          <cell r="BU2257">
            <v>200.74349442379182</v>
          </cell>
          <cell r="BV2257">
            <v>200.74349442379182</v>
          </cell>
        </row>
        <row r="2258">
          <cell r="A2258" t="str">
            <v>Volvo GPA</v>
          </cell>
          <cell r="B2258" t="str">
            <v>SB</v>
          </cell>
          <cell r="D2258" t="str">
            <v>Weekly Output PLAN</v>
          </cell>
          <cell r="E2258" t="str">
            <v>SEW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418.21561338289962</v>
          </cell>
          <cell r="AG2258">
            <v>460.03717472118956</v>
          </cell>
          <cell r="AH2258">
            <v>501.85873605947961</v>
          </cell>
          <cell r="AI2258">
            <v>543.68029739776955</v>
          </cell>
          <cell r="AJ2258">
            <v>585.5018587360596</v>
          </cell>
          <cell r="AK2258">
            <v>501.85873605947967</v>
          </cell>
          <cell r="AL2258">
            <v>535.3159851301117</v>
          </cell>
          <cell r="AM2258">
            <v>710.96654275092965</v>
          </cell>
          <cell r="AN2258">
            <v>602.23048327137565</v>
          </cell>
          <cell r="AO2258">
            <v>794.60966542750953</v>
          </cell>
          <cell r="AP2258">
            <v>1672.8624535315994</v>
          </cell>
          <cell r="AQ2258">
            <v>1672.8624535315985</v>
          </cell>
          <cell r="AR2258">
            <v>1672.8624535315985</v>
          </cell>
          <cell r="AS2258">
            <v>1672.8624535315985</v>
          </cell>
          <cell r="AT2258">
            <v>1672.8624535315985</v>
          </cell>
          <cell r="AU2258">
            <v>1672.8624535315985</v>
          </cell>
          <cell r="AV2258">
            <v>1672.8624535315985</v>
          </cell>
          <cell r="AW2258">
            <v>2509.2936802973973</v>
          </cell>
          <cell r="AX2258">
            <v>2509.2936802973973</v>
          </cell>
          <cell r="AY2258">
            <v>2509.2936802973973</v>
          </cell>
          <cell r="AZ2258">
            <v>0</v>
          </cell>
          <cell r="BA2258">
            <v>0</v>
          </cell>
          <cell r="BB2258">
            <v>3345.724907063197</v>
          </cell>
          <cell r="BC2258">
            <v>3345.724907063197</v>
          </cell>
          <cell r="BD2258">
            <v>3345.724907063197</v>
          </cell>
          <cell r="BE2258">
            <v>3345.724907063197</v>
          </cell>
          <cell r="BF2258">
            <v>3345.724907063197</v>
          </cell>
          <cell r="BG2258">
            <v>3345.724907063197</v>
          </cell>
          <cell r="BH2258">
            <v>3345.724907063197</v>
          </cell>
          <cell r="BI2258">
            <v>836.43122676579924</v>
          </cell>
          <cell r="BJ2258">
            <v>836.43122676579924</v>
          </cell>
          <cell r="BK2258">
            <v>1003.7174721189591</v>
          </cell>
          <cell r="BL2258">
            <v>200.74349442379182</v>
          </cell>
          <cell r="BM2258">
            <v>200.74349442379182</v>
          </cell>
          <cell r="BN2258">
            <v>200.74349442379182</v>
          </cell>
          <cell r="BO2258">
            <v>200.74349442379182</v>
          </cell>
          <cell r="BP2258">
            <v>200.74349442379182</v>
          </cell>
          <cell r="BQ2258">
            <v>200.74349442379182</v>
          </cell>
          <cell r="BR2258">
            <v>200.74349442379182</v>
          </cell>
          <cell r="BS2258">
            <v>200.74349442379182</v>
          </cell>
          <cell r="BT2258">
            <v>200.74349442379182</v>
          </cell>
          <cell r="BU2258">
            <v>200.74349442379182</v>
          </cell>
          <cell r="BV2258">
            <v>200.74349442379182</v>
          </cell>
        </row>
        <row r="2259">
          <cell r="A2259" t="str">
            <v>Volvo GPA</v>
          </cell>
          <cell r="B2259" t="str">
            <v>SB</v>
          </cell>
          <cell r="D2259" t="str">
            <v>FAB</v>
          </cell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</row>
        <row r="2260">
          <cell r="A2260" t="str">
            <v>Volvo GPA</v>
          </cell>
          <cell r="B2260" t="str">
            <v>SB</v>
          </cell>
          <cell r="D2260" t="str">
            <v>PVC</v>
          </cell>
          <cell r="E2260">
            <v>2.6882999999999999</v>
          </cell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</row>
        <row r="2261">
          <cell r="A2261" t="str">
            <v>Volvo GPA</v>
          </cell>
          <cell r="B2261" t="str">
            <v>SB</v>
          </cell>
          <cell r="D2261" t="str">
            <v>LTH</v>
          </cell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</row>
        <row r="2262">
          <cell r="A2262" t="str">
            <v>Volvo GPA</v>
          </cell>
          <cell r="B2262" t="str">
            <v>SB</v>
          </cell>
          <cell r="D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</row>
        <row r="2263">
          <cell r="A2263" t="str">
            <v>Volvo GPA</v>
          </cell>
          <cell r="B2263" t="str">
            <v>SB</v>
          </cell>
          <cell r="D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</row>
        <row r="2264">
          <cell r="A2264" t="str">
            <v>Volvo GPA</v>
          </cell>
          <cell r="B2264" t="str">
            <v>SB</v>
          </cell>
          <cell r="D2264" t="str">
            <v>Weekly Output PLAN - SUM of models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>
            <v>0</v>
          </cell>
          <cell r="AJ2264">
            <v>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  <cell r="BK2264">
            <v>0</v>
          </cell>
          <cell r="BL2264">
            <v>0</v>
          </cell>
          <cell r="BM2264">
            <v>0</v>
          </cell>
          <cell r="BN2264">
            <v>0</v>
          </cell>
          <cell r="BO2264">
            <v>0</v>
          </cell>
          <cell r="BP2264">
            <v>0</v>
          </cell>
          <cell r="BQ2264">
            <v>0</v>
          </cell>
          <cell r="BR2264">
            <v>0</v>
          </cell>
          <cell r="BS2264">
            <v>0</v>
          </cell>
          <cell r="BT2264">
            <v>0</v>
          </cell>
          <cell r="BU2264">
            <v>0</v>
          </cell>
          <cell r="BV2264">
            <v>0</v>
          </cell>
        </row>
        <row r="2265">
          <cell r="A2265" t="str">
            <v>Volvo GPA</v>
          </cell>
          <cell r="B2265" t="str">
            <v>SB</v>
          </cell>
          <cell r="D2265" t="str">
            <v>Weekly Output CHECK with TO time multiple</v>
          </cell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</row>
        <row r="2266">
          <cell r="A2266" t="str">
            <v>Volvo GPA</v>
          </cell>
          <cell r="B2266" t="str">
            <v>SB</v>
          </cell>
          <cell r="D2266" t="str">
            <v>Weekly Output ACT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418.21561338289962</v>
          </cell>
          <cell r="AG2266">
            <v>460.03717472118956</v>
          </cell>
          <cell r="AH2266">
            <v>501.85873605947961</v>
          </cell>
          <cell r="AI2266">
            <v>543.68029739776955</v>
          </cell>
          <cell r="AJ2266">
            <v>585.5018587360596</v>
          </cell>
          <cell r="AK2266">
            <v>501.85873605947967</v>
          </cell>
          <cell r="AL2266">
            <v>535.3159851301117</v>
          </cell>
          <cell r="AM2266">
            <v>710.96654275092965</v>
          </cell>
          <cell r="AN2266">
            <v>602.23048327137565</v>
          </cell>
          <cell r="AO2266">
            <v>794.60966542750953</v>
          </cell>
          <cell r="AP2266">
            <v>1672.8624535315994</v>
          </cell>
          <cell r="AQ2266">
            <v>1672.8624535315985</v>
          </cell>
          <cell r="AR2266">
            <v>1672.8624535315985</v>
          </cell>
          <cell r="AS2266">
            <v>1672.8624535315985</v>
          </cell>
          <cell r="AT2266">
            <v>1672.8624535315985</v>
          </cell>
          <cell r="AU2266">
            <v>1672.8624535315985</v>
          </cell>
          <cell r="AV2266">
            <v>1672.8624535315985</v>
          </cell>
          <cell r="AW2266">
            <v>2509.2936802973973</v>
          </cell>
          <cell r="AX2266">
            <v>2509.2936802973973</v>
          </cell>
          <cell r="AY2266">
            <v>2509.2936802973973</v>
          </cell>
          <cell r="AZ2266">
            <v>0</v>
          </cell>
          <cell r="BA2266">
            <v>0</v>
          </cell>
          <cell r="BB2266">
            <v>3345.724907063197</v>
          </cell>
          <cell r="BC2266">
            <v>3345.724907063197</v>
          </cell>
          <cell r="BD2266">
            <v>3345.724907063197</v>
          </cell>
          <cell r="BE2266">
            <v>3345.724907063197</v>
          </cell>
          <cell r="BF2266">
            <v>3345.724907063197</v>
          </cell>
          <cell r="BG2266">
            <v>3345.724907063197</v>
          </cell>
          <cell r="BH2266">
            <v>3345.724907063197</v>
          </cell>
          <cell r="BI2266">
            <v>836.43122676579924</v>
          </cell>
          <cell r="BJ2266">
            <v>836.43122676579924</v>
          </cell>
          <cell r="BK2266">
            <v>1003.7174721189591</v>
          </cell>
          <cell r="BL2266">
            <v>200.74349442379182</v>
          </cell>
          <cell r="BM2266">
            <v>200.74349442379182</v>
          </cell>
          <cell r="BN2266">
            <v>200.74349442379182</v>
          </cell>
          <cell r="BO2266">
            <v>200.74349442379182</v>
          </cell>
          <cell r="BP2266">
            <v>200.74349442379182</v>
          </cell>
          <cell r="BQ2266">
            <v>200.74349442379182</v>
          </cell>
          <cell r="BR2266">
            <v>200.74349442379182</v>
          </cell>
          <cell r="BS2266">
            <v>200.74349442379182</v>
          </cell>
          <cell r="BT2266">
            <v>200.74349442379182</v>
          </cell>
          <cell r="BU2266">
            <v>200.74349442379182</v>
          </cell>
          <cell r="BV2266">
            <v>200.74349442379182</v>
          </cell>
        </row>
        <row r="2267">
          <cell r="A2267" t="str">
            <v>Volvo GPA</v>
          </cell>
          <cell r="B2267" t="str">
            <v>SB</v>
          </cell>
          <cell r="D2267" t="str">
            <v>FAB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>
            <v>0</v>
          </cell>
          <cell r="AJ2267">
            <v>0</v>
          </cell>
          <cell r="AK2267">
            <v>287.05440900562854</v>
          </cell>
          <cell r="AL2267">
            <v>287.05440900562854</v>
          </cell>
          <cell r="AM2267">
            <v>717.63602251407133</v>
          </cell>
          <cell r="AN2267">
            <v>574.10881801125709</v>
          </cell>
          <cell r="AO2267">
            <v>717.63602251407133</v>
          </cell>
          <cell r="AP2267">
            <v>1076.4540337711069</v>
          </cell>
          <cell r="AQ2267">
            <v>1076.4540337711069</v>
          </cell>
          <cell r="AR2267">
            <v>1076.4540337711069</v>
          </cell>
          <cell r="AS2267">
            <v>1076.4540337711069</v>
          </cell>
          <cell r="AT2267">
            <v>1794.0900562851784</v>
          </cell>
          <cell r="AU2267">
            <v>1794.0900562851784</v>
          </cell>
          <cell r="AV2267">
            <v>1794.0900562851784</v>
          </cell>
          <cell r="AW2267">
            <v>1794.0900562851784</v>
          </cell>
          <cell r="AX2267">
            <v>1794.0900562851784</v>
          </cell>
          <cell r="AY2267">
            <v>1794.0900562851784</v>
          </cell>
          <cell r="AZ2267">
            <v>0</v>
          </cell>
          <cell r="BA2267">
            <v>0</v>
          </cell>
          <cell r="BB2267">
            <v>3588.1801125703569</v>
          </cell>
          <cell r="BC2267">
            <v>3588.1801125703569</v>
          </cell>
          <cell r="BD2267">
            <v>3588.1801125703569</v>
          </cell>
          <cell r="BE2267">
            <v>3588.1801125703569</v>
          </cell>
          <cell r="BF2267">
            <v>3588.1801125703569</v>
          </cell>
          <cell r="BG2267">
            <v>3588.1801125703569</v>
          </cell>
          <cell r="BH2267">
            <v>3588.1801125703569</v>
          </cell>
          <cell r="BI2267">
            <v>3588.1801125703569</v>
          </cell>
          <cell r="BJ2267">
            <v>3588.1801125703569</v>
          </cell>
          <cell r="BK2267">
            <v>0</v>
          </cell>
          <cell r="BL2267">
            <v>0</v>
          </cell>
          <cell r="BM2267">
            <v>0</v>
          </cell>
          <cell r="BN2267">
            <v>0</v>
          </cell>
          <cell r="BO2267">
            <v>0</v>
          </cell>
          <cell r="BP2267">
            <v>0</v>
          </cell>
          <cell r="BQ2267">
            <v>0</v>
          </cell>
          <cell r="BR2267">
            <v>0</v>
          </cell>
          <cell r="BS2267">
            <v>0</v>
          </cell>
          <cell r="BT2267">
            <v>0</v>
          </cell>
          <cell r="BU2267">
            <v>0</v>
          </cell>
          <cell r="BV2267">
            <v>0</v>
          </cell>
        </row>
        <row r="2268">
          <cell r="A2268" t="str">
            <v>Volvo GPA</v>
          </cell>
          <cell r="B2268" t="str">
            <v>SB</v>
          </cell>
          <cell r="D2268" t="str">
            <v>PVC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>
            <v>0</v>
          </cell>
          <cell r="AJ2268">
            <v>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  <cell r="BK2268">
            <v>0</v>
          </cell>
          <cell r="BL2268">
            <v>0</v>
          </cell>
          <cell r="BM2268">
            <v>0</v>
          </cell>
          <cell r="BN2268">
            <v>0</v>
          </cell>
          <cell r="BO2268">
            <v>0</v>
          </cell>
          <cell r="BP2268">
            <v>0</v>
          </cell>
          <cell r="BQ2268">
            <v>0</v>
          </cell>
          <cell r="BR2268">
            <v>0</v>
          </cell>
          <cell r="BS2268">
            <v>0</v>
          </cell>
          <cell r="BT2268">
            <v>0</v>
          </cell>
          <cell r="BU2268">
            <v>0</v>
          </cell>
          <cell r="BV2268">
            <v>0</v>
          </cell>
        </row>
        <row r="2269">
          <cell r="A2269" t="str">
            <v>Volvo GPA</v>
          </cell>
          <cell r="B2269" t="str">
            <v>SB</v>
          </cell>
          <cell r="D2269" t="str">
            <v>LTH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0</v>
          </cell>
          <cell r="AI2269">
            <v>0</v>
          </cell>
          <cell r="AJ2269">
            <v>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  <cell r="BK2269">
            <v>0</v>
          </cell>
          <cell r="BL2269">
            <v>0</v>
          </cell>
          <cell r="BM2269">
            <v>0</v>
          </cell>
          <cell r="BN2269">
            <v>0</v>
          </cell>
          <cell r="BO2269">
            <v>0</v>
          </cell>
          <cell r="BP2269">
            <v>0</v>
          </cell>
          <cell r="BQ2269">
            <v>0</v>
          </cell>
          <cell r="BR2269">
            <v>0</v>
          </cell>
          <cell r="BS2269">
            <v>0</v>
          </cell>
          <cell r="BT2269">
            <v>0</v>
          </cell>
          <cell r="BU2269">
            <v>0</v>
          </cell>
          <cell r="BV2269">
            <v>0</v>
          </cell>
        </row>
        <row r="2270">
          <cell r="A2270" t="str">
            <v>Volvo GPA</v>
          </cell>
          <cell r="B2270" t="str">
            <v>SB</v>
          </cell>
          <cell r="D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>
            <v>0</v>
          </cell>
          <cell r="AJ2270">
            <v>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  <cell r="BK2270">
            <v>0</v>
          </cell>
          <cell r="BL2270">
            <v>0</v>
          </cell>
          <cell r="BM2270">
            <v>0</v>
          </cell>
          <cell r="BN2270">
            <v>0</v>
          </cell>
          <cell r="BO2270">
            <v>0</v>
          </cell>
          <cell r="BP2270">
            <v>0</v>
          </cell>
          <cell r="BQ2270">
            <v>0</v>
          </cell>
          <cell r="BR2270">
            <v>0</v>
          </cell>
          <cell r="BS2270">
            <v>0</v>
          </cell>
          <cell r="BT2270">
            <v>0</v>
          </cell>
          <cell r="BU2270">
            <v>0</v>
          </cell>
          <cell r="BV2270">
            <v>0</v>
          </cell>
        </row>
        <row r="2271">
          <cell r="A2271" t="str">
            <v>Volvo GPA</v>
          </cell>
          <cell r="B2271" t="str">
            <v>SB</v>
          </cell>
          <cell r="D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0</v>
          </cell>
          <cell r="AJ2271">
            <v>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  <cell r="BK2271">
            <v>0</v>
          </cell>
          <cell r="BL2271">
            <v>0</v>
          </cell>
          <cell r="BM2271">
            <v>0</v>
          </cell>
          <cell r="BN2271">
            <v>0</v>
          </cell>
          <cell r="BO2271">
            <v>0</v>
          </cell>
          <cell r="BP2271">
            <v>0</v>
          </cell>
          <cell r="BQ2271">
            <v>0</v>
          </cell>
          <cell r="BR2271">
            <v>0</v>
          </cell>
          <cell r="BS2271">
            <v>0</v>
          </cell>
          <cell r="BT2271">
            <v>0</v>
          </cell>
          <cell r="BU2271">
            <v>0</v>
          </cell>
          <cell r="BV2271">
            <v>0</v>
          </cell>
        </row>
        <row r="2272">
          <cell r="A2272" t="str">
            <v>Volvo GPA</v>
          </cell>
          <cell r="B2272" t="str">
            <v>SB</v>
          </cell>
          <cell r="D2272" t="str">
            <v>Weekly demand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0</v>
          </cell>
          <cell r="AJ2272">
            <v>0</v>
          </cell>
          <cell r="AK2272">
            <v>287.05440900562854</v>
          </cell>
          <cell r="AL2272">
            <v>287.05440900562854</v>
          </cell>
          <cell r="AM2272">
            <v>717.63602251407133</v>
          </cell>
          <cell r="AN2272">
            <v>574.10881801125709</v>
          </cell>
          <cell r="AO2272">
            <v>717.63602251407133</v>
          </cell>
          <cell r="AP2272">
            <v>1076.4540337711069</v>
          </cell>
          <cell r="AQ2272">
            <v>1076.4540337711069</v>
          </cell>
          <cell r="AR2272">
            <v>1076.4540337711069</v>
          </cell>
          <cell r="AS2272">
            <v>1076.4540337711069</v>
          </cell>
          <cell r="AT2272">
            <v>1794.0900562851784</v>
          </cell>
          <cell r="AU2272">
            <v>1794.0900562851784</v>
          </cell>
          <cell r="AV2272">
            <v>1794.0900562851784</v>
          </cell>
          <cell r="AW2272">
            <v>1794.0900562851784</v>
          </cell>
          <cell r="AX2272">
            <v>1794.0900562851784</v>
          </cell>
          <cell r="AY2272">
            <v>1794.0900562851784</v>
          </cell>
          <cell r="AZ2272">
            <v>0</v>
          </cell>
          <cell r="BA2272">
            <v>0</v>
          </cell>
          <cell r="BB2272">
            <v>3588.1801125703569</v>
          </cell>
          <cell r="BC2272">
            <v>3588.1801125703569</v>
          </cell>
          <cell r="BD2272">
            <v>3588.1801125703569</v>
          </cell>
          <cell r="BE2272">
            <v>3588.1801125703569</v>
          </cell>
          <cell r="BF2272">
            <v>3588.1801125703569</v>
          </cell>
          <cell r="BG2272">
            <v>3588.1801125703569</v>
          </cell>
          <cell r="BH2272">
            <v>3588.1801125703569</v>
          </cell>
          <cell r="BI2272">
            <v>3588.1801125703569</v>
          </cell>
          <cell r="BJ2272">
            <v>3588.1801125703569</v>
          </cell>
          <cell r="BK2272">
            <v>0</v>
          </cell>
          <cell r="BL2272">
            <v>0</v>
          </cell>
          <cell r="BM2272">
            <v>0</v>
          </cell>
          <cell r="BN2272">
            <v>0</v>
          </cell>
          <cell r="BO2272">
            <v>0</v>
          </cell>
          <cell r="BP2272">
            <v>0</v>
          </cell>
          <cell r="BQ2272">
            <v>0</v>
          </cell>
          <cell r="BR2272">
            <v>0</v>
          </cell>
          <cell r="BS2272">
            <v>0</v>
          </cell>
          <cell r="BT2272">
            <v>0</v>
          </cell>
          <cell r="BU2272">
            <v>0</v>
          </cell>
          <cell r="BV2272">
            <v>0</v>
          </cell>
        </row>
        <row r="2273">
          <cell r="A2273" t="str">
            <v>Volvo GPA</v>
          </cell>
          <cell r="B2273" t="str">
            <v>SB</v>
          </cell>
          <cell r="D2273" t="str">
            <v>Stock Target</v>
          </cell>
          <cell r="Z2273"/>
          <cell r="AA2273"/>
          <cell r="AB2273"/>
          <cell r="AC2273"/>
          <cell r="AD2273"/>
          <cell r="AE2273"/>
          <cell r="AF2273"/>
          <cell r="AG2273">
            <v>2547</v>
          </cell>
          <cell r="AH2273">
            <v>2548</v>
          </cell>
          <cell r="AI2273">
            <v>2549</v>
          </cell>
          <cell r="AJ2273">
            <v>2550</v>
          </cell>
          <cell r="AK2273">
            <v>2551</v>
          </cell>
          <cell r="AL2273">
            <v>2552</v>
          </cell>
          <cell r="AM2273">
            <v>2552</v>
          </cell>
          <cell r="AN2273">
            <v>2552</v>
          </cell>
          <cell r="AO2273">
            <v>2552</v>
          </cell>
          <cell r="AP2273">
            <v>2552</v>
          </cell>
          <cell r="AQ2273">
            <v>2552</v>
          </cell>
          <cell r="AR2273">
            <v>2552</v>
          </cell>
          <cell r="AS2273">
            <v>2552</v>
          </cell>
          <cell r="AT2273">
            <v>2552</v>
          </cell>
          <cell r="AU2273">
            <v>2552</v>
          </cell>
          <cell r="AV2273">
            <v>2552</v>
          </cell>
          <cell r="AW2273">
            <v>2552</v>
          </cell>
          <cell r="AX2273">
            <v>2552</v>
          </cell>
          <cell r="AY2273">
            <v>2552</v>
          </cell>
          <cell r="AZ2273">
            <v>2552</v>
          </cell>
          <cell r="BA2273">
            <v>2552</v>
          </cell>
          <cell r="BB2273">
            <v>2552</v>
          </cell>
          <cell r="BC2273">
            <v>2552</v>
          </cell>
          <cell r="BD2273">
            <v>2552</v>
          </cell>
          <cell r="BE2273">
            <v>2552</v>
          </cell>
          <cell r="BF2273">
            <v>2552</v>
          </cell>
          <cell r="BG2273">
            <v>2552</v>
          </cell>
          <cell r="BH2273">
            <v>2552</v>
          </cell>
          <cell r="BI2273">
            <v>2552</v>
          </cell>
          <cell r="BJ2273">
            <v>2552</v>
          </cell>
          <cell r="BK2273">
            <v>2552</v>
          </cell>
          <cell r="BL2273">
            <v>2552</v>
          </cell>
          <cell r="BM2273">
            <v>2552</v>
          </cell>
          <cell r="BN2273">
            <v>2553</v>
          </cell>
          <cell r="BO2273">
            <v>2554</v>
          </cell>
          <cell r="BP2273">
            <v>2555</v>
          </cell>
          <cell r="BQ2273">
            <v>2556</v>
          </cell>
          <cell r="BR2273">
            <v>2557</v>
          </cell>
          <cell r="BS2273">
            <v>2558</v>
          </cell>
          <cell r="BT2273">
            <v>2559</v>
          </cell>
          <cell r="BU2273">
            <v>2560</v>
          </cell>
          <cell r="BV2273">
            <v>2561</v>
          </cell>
        </row>
        <row r="2274">
          <cell r="A2274" t="str">
            <v>Volvo GPA</v>
          </cell>
          <cell r="B2274" t="str">
            <v>SB</v>
          </cell>
          <cell r="D2274" t="str">
            <v>FAB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>
            <v>0</v>
          </cell>
          <cell r="AJ2274">
            <v>0</v>
          </cell>
          <cell r="AK2274">
            <v>-287.05440900562854</v>
          </cell>
          <cell r="AL2274">
            <v>-574.10881801125709</v>
          </cell>
          <cell r="AM2274">
            <v>-1291.7448405253285</v>
          </cell>
          <cell r="AN2274">
            <v>-1148.2176360225142</v>
          </cell>
          <cell r="AO2274">
            <v>-2009.3808630393999</v>
          </cell>
          <cell r="AP2274">
            <v>-2224.6716697936208</v>
          </cell>
          <cell r="AQ2274">
            <v>-3085.8348968105065</v>
          </cell>
          <cell r="AR2274">
            <v>-3301.1257035647277</v>
          </cell>
          <cell r="AS2274">
            <v>-4162.2889305816134</v>
          </cell>
          <cell r="AT2274">
            <v>-5095.2157598499061</v>
          </cell>
          <cell r="AU2274">
            <v>-5956.3789868667918</v>
          </cell>
          <cell r="AV2274">
            <v>-6889.3058161350846</v>
          </cell>
          <cell r="AW2274">
            <v>-7750.4690431519703</v>
          </cell>
          <cell r="AX2274">
            <v>-8683.3958724202639</v>
          </cell>
          <cell r="AY2274">
            <v>-9544.5590994371487</v>
          </cell>
          <cell r="AZ2274">
            <v>-8683.3958724202639</v>
          </cell>
          <cell r="BA2274">
            <v>-9544.5590994371487</v>
          </cell>
          <cell r="BB2274">
            <v>-12271.575984990621</v>
          </cell>
          <cell r="BC2274">
            <v>-13132.739212007506</v>
          </cell>
          <cell r="BD2274">
            <v>-15859.756097560978</v>
          </cell>
          <cell r="BE2274">
            <v>-16720.919324577862</v>
          </cell>
          <cell r="BF2274">
            <v>-19447.936210131335</v>
          </cell>
          <cell r="BG2274">
            <v>-20309.099437148219</v>
          </cell>
          <cell r="BH2274">
            <v>-23036.116322701691</v>
          </cell>
          <cell r="BI2274">
            <v>-23897.279549718576</v>
          </cell>
          <cell r="BJ2274">
            <v>-26624.296435272048</v>
          </cell>
          <cell r="BK2274">
            <v>-23897.279549718576</v>
          </cell>
          <cell r="BL2274">
            <v>-26624.296435272048</v>
          </cell>
          <cell r="BM2274">
            <v>-23897.279549718576</v>
          </cell>
          <cell r="BN2274">
            <v>-26624.296435272048</v>
          </cell>
          <cell r="BO2274">
            <v>-23897.279549718576</v>
          </cell>
          <cell r="BP2274">
            <v>-26624.296435272048</v>
          </cell>
          <cell r="BQ2274">
            <v>-23897.279549718576</v>
          </cell>
          <cell r="BR2274">
            <v>-26624.296435272048</v>
          </cell>
          <cell r="BS2274">
            <v>-23897.279549718576</v>
          </cell>
          <cell r="BT2274">
            <v>-26624.296435272048</v>
          </cell>
          <cell r="BU2274">
            <v>-23897.279549718576</v>
          </cell>
          <cell r="BV2274">
            <v>-26624.296435272048</v>
          </cell>
        </row>
        <row r="2275">
          <cell r="A2275" t="str">
            <v>Volvo GPA</v>
          </cell>
          <cell r="B2275" t="str">
            <v>SB</v>
          </cell>
          <cell r="D2275" t="str">
            <v>PVC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0</v>
          </cell>
          <cell r="AJ2275">
            <v>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  <cell r="BK2275">
            <v>0</v>
          </cell>
          <cell r="BL2275">
            <v>0</v>
          </cell>
          <cell r="BM2275">
            <v>0</v>
          </cell>
          <cell r="BN2275">
            <v>0</v>
          </cell>
          <cell r="BO2275">
            <v>0</v>
          </cell>
          <cell r="BP2275">
            <v>0</v>
          </cell>
          <cell r="BQ2275">
            <v>0</v>
          </cell>
          <cell r="BR2275">
            <v>0</v>
          </cell>
          <cell r="BS2275">
            <v>0</v>
          </cell>
          <cell r="BT2275">
            <v>0</v>
          </cell>
          <cell r="BU2275">
            <v>0</v>
          </cell>
          <cell r="BV2275">
            <v>0</v>
          </cell>
        </row>
        <row r="2276">
          <cell r="A2276" t="str">
            <v>Volvo GPA</v>
          </cell>
          <cell r="B2276" t="str">
            <v>SB</v>
          </cell>
          <cell r="D2276" t="str">
            <v>LTH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0</v>
          </cell>
          <cell r="AJ2276">
            <v>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  <cell r="BK2276">
            <v>0</v>
          </cell>
          <cell r="BL2276">
            <v>0</v>
          </cell>
          <cell r="BM2276">
            <v>0</v>
          </cell>
          <cell r="BN2276">
            <v>0</v>
          </cell>
          <cell r="BO2276">
            <v>0</v>
          </cell>
          <cell r="BP2276">
            <v>0</v>
          </cell>
          <cell r="BQ2276">
            <v>0</v>
          </cell>
          <cell r="BR2276">
            <v>0</v>
          </cell>
          <cell r="BS2276">
            <v>0</v>
          </cell>
          <cell r="BT2276">
            <v>0</v>
          </cell>
          <cell r="BU2276">
            <v>0</v>
          </cell>
          <cell r="BV2276">
            <v>0</v>
          </cell>
        </row>
        <row r="2277">
          <cell r="A2277" t="str">
            <v>Volvo GPA</v>
          </cell>
          <cell r="B2277" t="str">
            <v>SB</v>
          </cell>
          <cell r="D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>
            <v>0</v>
          </cell>
          <cell r="AJ2277">
            <v>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  <cell r="BK2277">
            <v>0</v>
          </cell>
          <cell r="BL2277">
            <v>0</v>
          </cell>
          <cell r="BM2277">
            <v>0</v>
          </cell>
          <cell r="BN2277">
            <v>0</v>
          </cell>
          <cell r="BO2277">
            <v>0</v>
          </cell>
          <cell r="BP2277">
            <v>0</v>
          </cell>
          <cell r="BQ2277">
            <v>0</v>
          </cell>
          <cell r="BR2277">
            <v>0</v>
          </cell>
          <cell r="BS2277">
            <v>0</v>
          </cell>
          <cell r="BT2277">
            <v>0</v>
          </cell>
          <cell r="BU2277">
            <v>0</v>
          </cell>
          <cell r="BV2277">
            <v>0</v>
          </cell>
        </row>
        <row r="2278">
          <cell r="A2278" t="str">
            <v>Volvo GPA</v>
          </cell>
          <cell r="B2278" t="str">
            <v>SB</v>
          </cell>
          <cell r="D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>
            <v>0</v>
          </cell>
          <cell r="AJ2278">
            <v>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  <cell r="BK2278">
            <v>0</v>
          </cell>
          <cell r="BL2278">
            <v>0</v>
          </cell>
          <cell r="BM2278">
            <v>0</v>
          </cell>
          <cell r="BN2278">
            <v>0</v>
          </cell>
          <cell r="BO2278">
            <v>0</v>
          </cell>
          <cell r="BP2278">
            <v>0</v>
          </cell>
          <cell r="BQ2278">
            <v>0</v>
          </cell>
          <cell r="BR2278">
            <v>0</v>
          </cell>
          <cell r="BS2278">
            <v>0</v>
          </cell>
          <cell r="BT2278">
            <v>0</v>
          </cell>
          <cell r="BU2278">
            <v>0</v>
          </cell>
          <cell r="BV2278">
            <v>0</v>
          </cell>
        </row>
        <row r="2279">
          <cell r="A2279" t="str">
            <v>Volvo GPA</v>
          </cell>
          <cell r="B2279" t="str">
            <v>SB</v>
          </cell>
          <cell r="D2279" t="str">
            <v>STOCK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418.21561338289962</v>
          </cell>
          <cell r="AG2279">
            <v>878.25278810408918</v>
          </cell>
          <cell r="AH2279">
            <v>1380.1115241635689</v>
          </cell>
          <cell r="AI2279">
            <v>1923.7918215613386</v>
          </cell>
          <cell r="AJ2279">
            <v>2509.2936802973982</v>
          </cell>
          <cell r="AK2279">
            <v>2724.0980073512492</v>
          </cell>
          <cell r="AL2279">
            <v>2972.3595834757321</v>
          </cell>
          <cell r="AM2279">
            <v>2965.6901037125908</v>
          </cell>
          <cell r="AN2279">
            <v>2993.8117689727096</v>
          </cell>
          <cell r="AO2279">
            <v>3070.7854118861478</v>
          </cell>
          <cell r="AP2279">
            <v>3667.1938316466403</v>
          </cell>
          <cell r="AQ2279">
            <v>4263.6022514071319</v>
          </cell>
          <cell r="AR2279">
            <v>4860.0106711676235</v>
          </cell>
          <cell r="AS2279">
            <v>5456.4190909281151</v>
          </cell>
          <cell r="AT2279">
            <v>5335.1914881745352</v>
          </cell>
          <cell r="AU2279">
            <v>5213.9638854209552</v>
          </cell>
          <cell r="AV2279">
            <v>5092.7362826673752</v>
          </cell>
          <cell r="AW2279">
            <v>5807.9399066795941</v>
          </cell>
          <cell r="AX2279">
            <v>6523.1435306918129</v>
          </cell>
          <cell r="AY2279">
            <v>7238.3471547040317</v>
          </cell>
          <cell r="AZ2279">
            <v>7238.3471547040317</v>
          </cell>
          <cell r="BA2279">
            <v>7238.3471547040317</v>
          </cell>
          <cell r="BB2279">
            <v>6995.8919491968718</v>
          </cell>
          <cell r="BC2279">
            <v>6753.4367436897119</v>
          </cell>
          <cell r="BD2279">
            <v>6510.981538182552</v>
          </cell>
          <cell r="BE2279">
            <v>6268.526332675392</v>
          </cell>
          <cell r="BF2279">
            <v>6026.0711271682321</v>
          </cell>
          <cell r="BG2279">
            <v>5783.6159216610722</v>
          </cell>
          <cell r="BH2279">
            <v>5541.1607161539123</v>
          </cell>
          <cell r="BI2279">
            <v>2789.4118303493547</v>
          </cell>
          <cell r="BJ2279">
            <v>37.662944544797028</v>
          </cell>
          <cell r="BK2279">
            <v>1041.380416663756</v>
          </cell>
          <cell r="BL2279">
            <v>1242.1239110875479</v>
          </cell>
          <cell r="BM2279">
            <v>1442.8674055113397</v>
          </cell>
          <cell r="BN2279">
            <v>1643.6108999351316</v>
          </cell>
          <cell r="BO2279">
            <v>1844.3543943589234</v>
          </cell>
          <cell r="BP2279">
            <v>2045.0978887827152</v>
          </cell>
          <cell r="BQ2279">
            <v>2245.8413832065071</v>
          </cell>
          <cell r="BR2279">
            <v>2446.5848776302987</v>
          </cell>
          <cell r="BS2279">
            <v>2647.3283720540903</v>
          </cell>
          <cell r="BT2279">
            <v>2848.0718664778819</v>
          </cell>
          <cell r="BU2279">
            <v>3048.8153609016736</v>
          </cell>
          <cell r="BV2279">
            <v>3249.5588553254652</v>
          </cell>
        </row>
        <row r="2280">
          <cell r="A2280" t="str">
            <v>Blank</v>
          </cell>
          <cell r="B2280" t="str">
            <v>Blank</v>
          </cell>
          <cell r="D2280" t="str">
            <v>Blank</v>
          </cell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</row>
        <row r="2281">
          <cell r="A2281" t="str">
            <v>JLR</v>
          </cell>
          <cell r="B2281" t="str">
            <v>EMA</v>
          </cell>
          <cell r="D2281" t="str">
            <v>Work days</v>
          </cell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>
            <v>4</v>
          </cell>
          <cell r="AN2281">
            <v>4</v>
          </cell>
          <cell r="AO2281">
            <v>5</v>
          </cell>
          <cell r="AP2281">
            <v>5</v>
          </cell>
          <cell r="AQ2281">
            <v>5</v>
          </cell>
          <cell r="AR2281">
            <v>5</v>
          </cell>
          <cell r="AS2281">
            <v>5</v>
          </cell>
          <cell r="AT2281">
            <v>5</v>
          </cell>
          <cell r="AU2281">
            <v>5</v>
          </cell>
          <cell r="AV2281">
            <v>5</v>
          </cell>
          <cell r="AW2281">
            <v>5</v>
          </cell>
          <cell r="AX2281">
            <v>5</v>
          </cell>
          <cell r="AY2281">
            <v>5</v>
          </cell>
          <cell r="AZ2281">
            <v>0</v>
          </cell>
          <cell r="BA2281">
            <v>0</v>
          </cell>
          <cell r="BB2281">
            <v>5</v>
          </cell>
          <cell r="BC2281">
            <v>5</v>
          </cell>
          <cell r="BD2281">
            <v>5</v>
          </cell>
          <cell r="BE2281">
            <v>5</v>
          </cell>
          <cell r="BF2281">
            <v>5</v>
          </cell>
          <cell r="BG2281">
            <v>5</v>
          </cell>
          <cell r="BH2281">
            <v>5</v>
          </cell>
          <cell r="BI2281">
            <v>5</v>
          </cell>
          <cell r="BJ2281">
            <v>5</v>
          </cell>
          <cell r="BK2281">
            <v>5</v>
          </cell>
          <cell r="BL2281">
            <v>3</v>
          </cell>
          <cell r="BM2281">
            <v>3</v>
          </cell>
          <cell r="BN2281">
            <v>3</v>
          </cell>
          <cell r="BO2281">
            <v>3</v>
          </cell>
          <cell r="BP2281">
            <v>3</v>
          </cell>
          <cell r="BQ2281">
            <v>3</v>
          </cell>
          <cell r="BR2281">
            <v>3</v>
          </cell>
          <cell r="BS2281">
            <v>3</v>
          </cell>
          <cell r="BT2281">
            <v>3</v>
          </cell>
          <cell r="BU2281">
            <v>3</v>
          </cell>
          <cell r="BV2281">
            <v>3</v>
          </cell>
        </row>
        <row r="2282">
          <cell r="A2282" t="str">
            <v>JLR</v>
          </cell>
          <cell r="B2282" t="str">
            <v>EMA</v>
          </cell>
          <cell r="D2282" t="str">
            <v>SHIFT A HC - operators</v>
          </cell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>
            <v>1</v>
          </cell>
          <cell r="AN2282">
            <v>1</v>
          </cell>
          <cell r="AO2282">
            <v>1</v>
          </cell>
          <cell r="AP2282">
            <v>1</v>
          </cell>
          <cell r="AQ2282">
            <v>2</v>
          </cell>
          <cell r="AR2282">
            <v>2</v>
          </cell>
          <cell r="AS2282">
            <v>2</v>
          </cell>
          <cell r="AT2282">
            <v>2</v>
          </cell>
          <cell r="AU2282">
            <v>2</v>
          </cell>
          <cell r="AV2282">
            <v>2</v>
          </cell>
          <cell r="AW2282">
            <v>2</v>
          </cell>
          <cell r="AX2282">
            <v>2</v>
          </cell>
          <cell r="AY2282">
            <v>2</v>
          </cell>
          <cell r="AZ2282">
            <v>2</v>
          </cell>
          <cell r="BA2282">
            <v>2</v>
          </cell>
          <cell r="BB2282">
            <v>2</v>
          </cell>
          <cell r="BC2282">
            <v>3</v>
          </cell>
          <cell r="BD2282">
            <v>3</v>
          </cell>
          <cell r="BE2282">
            <v>3</v>
          </cell>
          <cell r="BF2282">
            <v>3</v>
          </cell>
          <cell r="BG2282">
            <v>3</v>
          </cell>
          <cell r="BH2282">
            <v>3</v>
          </cell>
          <cell r="BI2282">
            <v>3</v>
          </cell>
          <cell r="BJ2282">
            <v>3</v>
          </cell>
          <cell r="BK2282">
            <v>3</v>
          </cell>
          <cell r="BL2282">
            <v>3</v>
          </cell>
          <cell r="BM2282">
            <v>3</v>
          </cell>
          <cell r="BN2282">
            <v>3</v>
          </cell>
          <cell r="BO2282">
            <v>3</v>
          </cell>
          <cell r="BP2282">
            <v>3</v>
          </cell>
          <cell r="BQ2282">
            <v>3</v>
          </cell>
          <cell r="BR2282">
            <v>3</v>
          </cell>
          <cell r="BS2282">
            <v>3</v>
          </cell>
          <cell r="BT2282">
            <v>3</v>
          </cell>
          <cell r="BU2282">
            <v>3</v>
          </cell>
          <cell r="BV2282">
            <v>3</v>
          </cell>
        </row>
        <row r="2283">
          <cell r="A2283" t="str">
            <v>JLR</v>
          </cell>
          <cell r="B2283" t="str">
            <v>EMA</v>
          </cell>
          <cell r="D2283" t="str">
            <v>SHIFT B HC  - operators</v>
          </cell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  <cell r="BK2283">
            <v>0</v>
          </cell>
          <cell r="BL2283">
            <v>0</v>
          </cell>
          <cell r="BM2283">
            <v>0</v>
          </cell>
          <cell r="BN2283">
            <v>0</v>
          </cell>
          <cell r="BO2283">
            <v>0</v>
          </cell>
          <cell r="BP2283">
            <v>0</v>
          </cell>
          <cell r="BQ2283">
            <v>0</v>
          </cell>
          <cell r="BR2283">
            <v>0</v>
          </cell>
          <cell r="BS2283">
            <v>0</v>
          </cell>
          <cell r="BT2283">
            <v>0</v>
          </cell>
          <cell r="BU2283">
            <v>0</v>
          </cell>
          <cell r="BV2283">
            <v>0</v>
          </cell>
        </row>
        <row r="2284">
          <cell r="A2284" t="str">
            <v>JLR</v>
          </cell>
          <cell r="B2284" t="str">
            <v>EMA</v>
          </cell>
          <cell r="D2284" t="str">
            <v>SHIFT C HC  - operators</v>
          </cell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  <cell r="BK2284">
            <v>0</v>
          </cell>
          <cell r="BL2284">
            <v>0</v>
          </cell>
          <cell r="BM2284">
            <v>0</v>
          </cell>
          <cell r="BN2284">
            <v>0</v>
          </cell>
          <cell r="BO2284">
            <v>0</v>
          </cell>
          <cell r="BP2284">
            <v>0</v>
          </cell>
          <cell r="BQ2284">
            <v>0</v>
          </cell>
          <cell r="BR2284">
            <v>0</v>
          </cell>
          <cell r="BS2284">
            <v>0</v>
          </cell>
          <cell r="BT2284">
            <v>0</v>
          </cell>
          <cell r="BU2284">
            <v>0</v>
          </cell>
          <cell r="BV2284">
            <v>0</v>
          </cell>
        </row>
        <row r="2285">
          <cell r="A2285" t="str">
            <v>JLR</v>
          </cell>
          <cell r="B2285" t="str">
            <v>EMA</v>
          </cell>
          <cell r="D2285" t="str">
            <v>Total HC</v>
          </cell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>
            <v>1</v>
          </cell>
          <cell r="AN2285">
            <v>1</v>
          </cell>
          <cell r="AO2285">
            <v>1</v>
          </cell>
          <cell r="AP2285">
            <v>1</v>
          </cell>
          <cell r="AQ2285">
            <v>2</v>
          </cell>
          <cell r="AR2285">
            <v>2</v>
          </cell>
          <cell r="AS2285">
            <v>2</v>
          </cell>
          <cell r="AT2285">
            <v>2</v>
          </cell>
          <cell r="AU2285">
            <v>2</v>
          </cell>
          <cell r="AV2285">
            <v>2</v>
          </cell>
          <cell r="AW2285">
            <v>2</v>
          </cell>
          <cell r="AX2285">
            <v>2</v>
          </cell>
          <cell r="AY2285">
            <v>2</v>
          </cell>
          <cell r="AZ2285">
            <v>2</v>
          </cell>
          <cell r="BA2285">
            <v>2</v>
          </cell>
          <cell r="BB2285">
            <v>2</v>
          </cell>
          <cell r="BC2285">
            <v>3</v>
          </cell>
          <cell r="BD2285">
            <v>3</v>
          </cell>
          <cell r="BE2285">
            <v>3</v>
          </cell>
          <cell r="BF2285">
            <v>3</v>
          </cell>
          <cell r="BG2285">
            <v>3</v>
          </cell>
          <cell r="BH2285">
            <v>3</v>
          </cell>
          <cell r="BI2285">
            <v>3</v>
          </cell>
          <cell r="BJ2285">
            <v>3</v>
          </cell>
          <cell r="BK2285">
            <v>3</v>
          </cell>
          <cell r="BL2285">
            <v>3</v>
          </cell>
          <cell r="BM2285">
            <v>3</v>
          </cell>
          <cell r="BN2285">
            <v>3</v>
          </cell>
          <cell r="BO2285">
            <v>3</v>
          </cell>
          <cell r="BP2285">
            <v>3</v>
          </cell>
          <cell r="BQ2285">
            <v>3</v>
          </cell>
          <cell r="BR2285">
            <v>3</v>
          </cell>
          <cell r="BS2285">
            <v>3</v>
          </cell>
          <cell r="BT2285">
            <v>3</v>
          </cell>
          <cell r="BU2285">
            <v>3</v>
          </cell>
          <cell r="BV2285">
            <v>3</v>
          </cell>
        </row>
        <row r="2286">
          <cell r="A2286" t="str">
            <v>JLR</v>
          </cell>
          <cell r="B2286" t="str">
            <v>EMA</v>
          </cell>
          <cell r="D2286" t="str">
            <v>SHIFT A HC  - efficiency</v>
          </cell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>
            <v>0.85</v>
          </cell>
          <cell r="AN2286">
            <v>0.85</v>
          </cell>
          <cell r="AO2286">
            <v>0.85</v>
          </cell>
          <cell r="AP2286">
            <v>0.85</v>
          </cell>
          <cell r="AQ2286">
            <v>0.85</v>
          </cell>
          <cell r="AR2286">
            <v>0.85</v>
          </cell>
          <cell r="AS2286">
            <v>0.85</v>
          </cell>
          <cell r="AT2286">
            <v>0.85</v>
          </cell>
          <cell r="AU2286">
            <v>0.85</v>
          </cell>
          <cell r="AV2286">
            <v>0.85</v>
          </cell>
          <cell r="AW2286">
            <v>0.85</v>
          </cell>
          <cell r="AX2286">
            <v>0.85</v>
          </cell>
          <cell r="AY2286">
            <v>0.85</v>
          </cell>
          <cell r="AZ2286">
            <v>0.85</v>
          </cell>
          <cell r="BA2286">
            <v>0.85</v>
          </cell>
          <cell r="BB2286">
            <v>0.85</v>
          </cell>
          <cell r="BC2286">
            <v>0.85</v>
          </cell>
          <cell r="BD2286">
            <v>0.85</v>
          </cell>
          <cell r="BE2286">
            <v>0.85</v>
          </cell>
          <cell r="BF2286">
            <v>0.85</v>
          </cell>
          <cell r="BG2286">
            <v>0.85</v>
          </cell>
          <cell r="BH2286">
            <v>0.85</v>
          </cell>
          <cell r="BI2286">
            <v>0.85</v>
          </cell>
          <cell r="BJ2286">
            <v>0.85</v>
          </cell>
          <cell r="BK2286">
            <v>1.2</v>
          </cell>
          <cell r="BL2286">
            <v>1.2</v>
          </cell>
          <cell r="BM2286">
            <v>1.2</v>
          </cell>
          <cell r="BN2286">
            <v>1.2</v>
          </cell>
          <cell r="BO2286">
            <v>1.2</v>
          </cell>
          <cell r="BP2286">
            <v>1.2</v>
          </cell>
          <cell r="BQ2286">
            <v>1.2</v>
          </cell>
          <cell r="BR2286">
            <v>1.2</v>
          </cell>
          <cell r="BS2286">
            <v>1.2</v>
          </cell>
          <cell r="BT2286">
            <v>1.2</v>
          </cell>
          <cell r="BU2286">
            <v>1.2</v>
          </cell>
          <cell r="BV2286">
            <v>1.2</v>
          </cell>
        </row>
        <row r="2287">
          <cell r="A2287" t="str">
            <v>JLR</v>
          </cell>
          <cell r="B2287" t="str">
            <v>EMA</v>
          </cell>
          <cell r="D2287" t="str">
            <v>SHIFT B HC  - efficiency</v>
          </cell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>
            <v>1</v>
          </cell>
          <cell r="BL2287">
            <v>1</v>
          </cell>
          <cell r="BM2287">
            <v>1</v>
          </cell>
          <cell r="BN2287">
            <v>1</v>
          </cell>
          <cell r="BO2287">
            <v>1</v>
          </cell>
          <cell r="BP2287">
            <v>1</v>
          </cell>
          <cell r="BQ2287">
            <v>1</v>
          </cell>
          <cell r="BR2287">
            <v>1</v>
          </cell>
          <cell r="BS2287">
            <v>1</v>
          </cell>
          <cell r="BT2287">
            <v>1</v>
          </cell>
          <cell r="BU2287">
            <v>1</v>
          </cell>
          <cell r="BV2287">
            <v>1</v>
          </cell>
        </row>
        <row r="2288">
          <cell r="A2288" t="str">
            <v>JLR</v>
          </cell>
          <cell r="B2288" t="str">
            <v>EMA</v>
          </cell>
          <cell r="D2288" t="str">
            <v>SHIFT C HC  - efficiency</v>
          </cell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>
            <v>1</v>
          </cell>
          <cell r="BL2288">
            <v>1</v>
          </cell>
          <cell r="BM2288">
            <v>1</v>
          </cell>
          <cell r="BN2288">
            <v>1</v>
          </cell>
          <cell r="BO2288">
            <v>1</v>
          </cell>
          <cell r="BP2288">
            <v>1</v>
          </cell>
          <cell r="BQ2288">
            <v>1</v>
          </cell>
          <cell r="BR2288">
            <v>1</v>
          </cell>
          <cell r="BS2288">
            <v>1</v>
          </cell>
          <cell r="BT2288">
            <v>1</v>
          </cell>
          <cell r="BU2288">
            <v>1</v>
          </cell>
          <cell r="BV2288">
            <v>1</v>
          </cell>
        </row>
        <row r="2289">
          <cell r="A2289" t="str">
            <v>JLR</v>
          </cell>
          <cell r="B2289" t="str">
            <v>EMA</v>
          </cell>
          <cell r="D2289" t="str">
            <v>Total efficiency</v>
          </cell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</row>
        <row r="2290">
          <cell r="A2290" t="str">
            <v>JLR</v>
          </cell>
          <cell r="B2290" t="str">
            <v>EMA</v>
          </cell>
          <cell r="D2290" t="str">
            <v>SHIFT A - output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66.521739130434781</v>
          </cell>
          <cell r="AN2290">
            <v>66.521739130434781</v>
          </cell>
          <cell r="AO2290">
            <v>66.521739130434781</v>
          </cell>
          <cell r="AP2290">
            <v>66.521739130434781</v>
          </cell>
          <cell r="AQ2290">
            <v>133.04347826086956</v>
          </cell>
          <cell r="AR2290">
            <v>133.04347826086956</v>
          </cell>
          <cell r="AS2290">
            <v>133.04347826086956</v>
          </cell>
          <cell r="AT2290">
            <v>133.04347826086956</v>
          </cell>
          <cell r="AU2290">
            <v>133.04347826086956</v>
          </cell>
          <cell r="AV2290">
            <v>133.04347826086956</v>
          </cell>
          <cell r="AW2290">
            <v>133.04347826086956</v>
          </cell>
          <cell r="AX2290">
            <v>133.04347826086956</v>
          </cell>
          <cell r="AY2290">
            <v>133.04347826086956</v>
          </cell>
          <cell r="AZ2290">
            <v>133.04347826086956</v>
          </cell>
          <cell r="BA2290">
            <v>133.04347826086956</v>
          </cell>
          <cell r="BB2290">
            <v>133.04347826086956</v>
          </cell>
          <cell r="BC2290">
            <v>199.56521739130434</v>
          </cell>
          <cell r="BD2290">
            <v>199.56521739130434</v>
          </cell>
          <cell r="BE2290">
            <v>199.56521739130434</v>
          </cell>
          <cell r="BF2290">
            <v>199.56521739130434</v>
          </cell>
          <cell r="BG2290">
            <v>199.56521739130434</v>
          </cell>
          <cell r="BH2290">
            <v>199.56521739130434</v>
          </cell>
          <cell r="BI2290">
            <v>199.56521739130434</v>
          </cell>
          <cell r="BJ2290">
            <v>199.56521739130434</v>
          </cell>
          <cell r="BK2290">
            <v>281.73913043478262</v>
          </cell>
          <cell r="BL2290">
            <v>281.73913043478262</v>
          </cell>
          <cell r="BM2290">
            <v>281.73913043478262</v>
          </cell>
          <cell r="BN2290">
            <v>281.73913043478262</v>
          </cell>
          <cell r="BO2290">
            <v>281.73913043478262</v>
          </cell>
          <cell r="BP2290">
            <v>281.73913043478262</v>
          </cell>
          <cell r="BQ2290">
            <v>281.73913043478262</v>
          </cell>
          <cell r="BR2290">
            <v>281.73913043478262</v>
          </cell>
          <cell r="BS2290">
            <v>281.73913043478262</v>
          </cell>
          <cell r="BT2290">
            <v>281.73913043478262</v>
          </cell>
          <cell r="BU2290">
            <v>281.73913043478262</v>
          </cell>
          <cell r="BV2290">
            <v>281.73913043478262</v>
          </cell>
        </row>
        <row r="2291">
          <cell r="A2291" t="str">
            <v>JLR</v>
          </cell>
          <cell r="B2291" t="str">
            <v>EMA</v>
          </cell>
          <cell r="D2291" t="str">
            <v>SHIFT B  - output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  <cell r="BK2291">
            <v>0</v>
          </cell>
          <cell r="BL2291">
            <v>0</v>
          </cell>
          <cell r="BM2291">
            <v>0</v>
          </cell>
          <cell r="BN2291">
            <v>0</v>
          </cell>
          <cell r="BO2291">
            <v>0</v>
          </cell>
          <cell r="BP2291">
            <v>0</v>
          </cell>
          <cell r="BQ2291">
            <v>0</v>
          </cell>
          <cell r="BR2291">
            <v>0</v>
          </cell>
          <cell r="BS2291">
            <v>0</v>
          </cell>
          <cell r="BT2291">
            <v>0</v>
          </cell>
          <cell r="BU2291">
            <v>0</v>
          </cell>
          <cell r="BV2291">
            <v>0</v>
          </cell>
        </row>
        <row r="2292">
          <cell r="A2292" t="str">
            <v>JLR</v>
          </cell>
          <cell r="B2292" t="str">
            <v>EMA</v>
          </cell>
          <cell r="D2292" t="str">
            <v>SHIFT C  - output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  <cell r="BK2292">
            <v>0</v>
          </cell>
          <cell r="BL2292">
            <v>0</v>
          </cell>
          <cell r="BM2292">
            <v>0</v>
          </cell>
          <cell r="BN2292">
            <v>0</v>
          </cell>
          <cell r="BO2292">
            <v>0</v>
          </cell>
          <cell r="BP2292">
            <v>0</v>
          </cell>
          <cell r="BQ2292">
            <v>0</v>
          </cell>
          <cell r="BR2292">
            <v>0</v>
          </cell>
          <cell r="BS2292">
            <v>0</v>
          </cell>
          <cell r="BT2292">
            <v>0</v>
          </cell>
          <cell r="BU2292">
            <v>0</v>
          </cell>
          <cell r="BV2292">
            <v>0</v>
          </cell>
        </row>
        <row r="2293">
          <cell r="A2293" t="str">
            <v>JLR</v>
          </cell>
          <cell r="B2293" t="str">
            <v>EMA</v>
          </cell>
          <cell r="D2293" t="str">
            <v>Est. Output (Pcs day)</v>
          </cell>
          <cell r="E2293">
            <v>5.33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71.763602251407136</v>
          </cell>
          <cell r="AN2293">
            <v>71.763602251407136</v>
          </cell>
          <cell r="AO2293">
            <v>71.763602251407136</v>
          </cell>
          <cell r="AP2293">
            <v>71.763602251407136</v>
          </cell>
          <cell r="AQ2293">
            <v>143.52720450281427</v>
          </cell>
          <cell r="AR2293">
            <v>143.52720450281427</v>
          </cell>
          <cell r="AS2293">
            <v>143.52720450281427</v>
          </cell>
          <cell r="AT2293">
            <v>143.52720450281427</v>
          </cell>
          <cell r="AU2293">
            <v>143.52720450281427</v>
          </cell>
          <cell r="AV2293">
            <v>143.52720450281427</v>
          </cell>
          <cell r="AW2293">
            <v>143.52720450281427</v>
          </cell>
          <cell r="AX2293">
            <v>143.52720450281427</v>
          </cell>
          <cell r="AY2293">
            <v>143.52720450281427</v>
          </cell>
          <cell r="AZ2293">
            <v>143.52720450281427</v>
          </cell>
          <cell r="BA2293">
            <v>143.52720450281427</v>
          </cell>
          <cell r="BB2293">
            <v>143.52720450281427</v>
          </cell>
          <cell r="BC2293">
            <v>215.29080675422139</v>
          </cell>
          <cell r="BD2293">
            <v>215.29080675422139</v>
          </cell>
          <cell r="BE2293">
            <v>215.29080675422139</v>
          </cell>
          <cell r="BF2293">
            <v>215.29080675422139</v>
          </cell>
          <cell r="BG2293">
            <v>215.29080675422139</v>
          </cell>
          <cell r="BH2293">
            <v>215.29080675422139</v>
          </cell>
          <cell r="BI2293">
            <v>215.29080675422139</v>
          </cell>
          <cell r="BJ2293">
            <v>215.29080675422139</v>
          </cell>
          <cell r="BK2293">
            <v>303.93996247654786</v>
          </cell>
          <cell r="BL2293">
            <v>303.93996247654786</v>
          </cell>
          <cell r="BM2293">
            <v>303.93996247654786</v>
          </cell>
          <cell r="BN2293">
            <v>303.93996247654786</v>
          </cell>
          <cell r="BO2293">
            <v>303.93996247654786</v>
          </cell>
          <cell r="BP2293">
            <v>303.93996247654786</v>
          </cell>
          <cell r="BQ2293">
            <v>303.93996247654786</v>
          </cell>
          <cell r="BR2293">
            <v>303.93996247654786</v>
          </cell>
          <cell r="BS2293">
            <v>303.93996247654786</v>
          </cell>
          <cell r="BT2293">
            <v>303.93996247654786</v>
          </cell>
          <cell r="BU2293">
            <v>303.93996247654786</v>
          </cell>
          <cell r="BV2293">
            <v>303.93996247654786</v>
          </cell>
        </row>
        <row r="2294">
          <cell r="A2294" t="str">
            <v>JLR</v>
          </cell>
          <cell r="B2294" t="str">
            <v>EMA</v>
          </cell>
          <cell r="D2294" t="str">
            <v>Weekly Output PLAN</v>
          </cell>
          <cell r="E2294" t="str">
            <v>ASSY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287.05440900562854</v>
          </cell>
          <cell r="AN2294">
            <v>287.05440900562854</v>
          </cell>
          <cell r="AO2294">
            <v>358.81801125703566</v>
          </cell>
          <cell r="AP2294">
            <v>358.81801125703566</v>
          </cell>
          <cell r="AQ2294">
            <v>717.63602251407133</v>
          </cell>
          <cell r="AR2294">
            <v>717.63602251407133</v>
          </cell>
          <cell r="AS2294">
            <v>717.63602251407133</v>
          </cell>
          <cell r="AT2294">
            <v>717.63602251407133</v>
          </cell>
          <cell r="AU2294">
            <v>717.63602251407133</v>
          </cell>
          <cell r="AV2294">
            <v>717.63602251407133</v>
          </cell>
          <cell r="AW2294">
            <v>717.63602251407133</v>
          </cell>
          <cell r="AX2294">
            <v>717.63602251407133</v>
          </cell>
          <cell r="AY2294">
            <v>717.63602251407133</v>
          </cell>
          <cell r="AZ2294">
            <v>0</v>
          </cell>
          <cell r="BA2294">
            <v>0</v>
          </cell>
          <cell r="BB2294">
            <v>717.63602251407133</v>
          </cell>
          <cell r="BC2294">
            <v>1076.4540337711069</v>
          </cell>
          <cell r="BD2294">
            <v>1076.4540337711069</v>
          </cell>
          <cell r="BE2294">
            <v>1076.4540337711069</v>
          </cell>
          <cell r="BF2294">
            <v>1076.4540337711069</v>
          </cell>
          <cell r="BG2294">
            <v>1076.4540337711069</v>
          </cell>
          <cell r="BH2294">
            <v>1076.4540337711069</v>
          </cell>
          <cell r="BI2294">
            <v>1076.4540337711069</v>
          </cell>
          <cell r="BJ2294">
            <v>1076.4540337711069</v>
          </cell>
          <cell r="BK2294">
            <v>1519.6998123827393</v>
          </cell>
          <cell r="BL2294">
            <v>911.81988742964359</v>
          </cell>
          <cell r="BM2294">
            <v>911.81988742964359</v>
          </cell>
          <cell r="BN2294">
            <v>911.81988742964359</v>
          </cell>
          <cell r="BO2294">
            <v>911.81988742964359</v>
          </cell>
          <cell r="BP2294">
            <v>911.81988742964359</v>
          </cell>
          <cell r="BQ2294">
            <v>911.81988742964359</v>
          </cell>
          <cell r="BR2294">
            <v>911.81988742964359</v>
          </cell>
          <cell r="BS2294">
            <v>911.81988742964359</v>
          </cell>
          <cell r="BT2294">
            <v>911.81988742964359</v>
          </cell>
          <cell r="BU2294">
            <v>911.81988742964359</v>
          </cell>
          <cell r="BV2294">
            <v>911.81988742964359</v>
          </cell>
        </row>
        <row r="2295">
          <cell r="A2295" t="str">
            <v>JLR</v>
          </cell>
          <cell r="B2295" t="str">
            <v>EMA</v>
          </cell>
          <cell r="D2295" t="str">
            <v>RAR Taurus</v>
          </cell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</row>
        <row r="2296">
          <cell r="A2296" t="str">
            <v>JLR</v>
          </cell>
          <cell r="B2296" t="str">
            <v>EMA</v>
          </cell>
          <cell r="D2296" t="str">
            <v>RAR Windsor</v>
          </cell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</row>
        <row r="2297">
          <cell r="A2297" t="str">
            <v>JLR</v>
          </cell>
          <cell r="B2297" t="str">
            <v>EMA</v>
          </cell>
          <cell r="D2297" t="str">
            <v>RAR Premium Tekstil</v>
          </cell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</row>
        <row r="2298">
          <cell r="A2298" t="str">
            <v>JLR</v>
          </cell>
          <cell r="B2298" t="str">
            <v>EMA</v>
          </cell>
          <cell r="D2298" t="str">
            <v>RAR Sustainable</v>
          </cell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</row>
        <row r="2299">
          <cell r="A2299" t="str">
            <v>JLR</v>
          </cell>
          <cell r="B2299" t="str">
            <v>EMA</v>
          </cell>
          <cell r="D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</row>
        <row r="2300">
          <cell r="A2300" t="str">
            <v>JLR</v>
          </cell>
          <cell r="B2300" t="str">
            <v>EMA</v>
          </cell>
          <cell r="D2300" t="str">
            <v>Weekly Output PLAN - SUM of models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>
            <v>0</v>
          </cell>
          <cell r="AJ2300">
            <v>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  <cell r="BK2300">
            <v>0</v>
          </cell>
          <cell r="BL2300">
            <v>0</v>
          </cell>
          <cell r="BM2300">
            <v>0</v>
          </cell>
          <cell r="BN2300">
            <v>0</v>
          </cell>
          <cell r="BO2300">
            <v>0</v>
          </cell>
          <cell r="BP2300">
            <v>0</v>
          </cell>
          <cell r="BQ2300">
            <v>0</v>
          </cell>
          <cell r="BR2300">
            <v>0</v>
          </cell>
          <cell r="BS2300">
            <v>0</v>
          </cell>
          <cell r="BT2300">
            <v>0</v>
          </cell>
          <cell r="BU2300">
            <v>0</v>
          </cell>
          <cell r="BV2300">
            <v>0</v>
          </cell>
        </row>
        <row r="2301">
          <cell r="A2301" t="str">
            <v>JLR</v>
          </cell>
          <cell r="B2301" t="str">
            <v>EMA</v>
          </cell>
          <cell r="D2301" t="str">
            <v>Weekly Output CHECK with TO time multiple</v>
          </cell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</row>
        <row r="2302">
          <cell r="A2302" t="str">
            <v>JLR</v>
          </cell>
          <cell r="B2302" t="str">
            <v>EMA</v>
          </cell>
          <cell r="D2302" t="str">
            <v>Weekly Output ACT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>
            <v>0</v>
          </cell>
          <cell r="AJ2302">
            <v>0</v>
          </cell>
          <cell r="AK2302">
            <v>0</v>
          </cell>
          <cell r="AL2302">
            <v>0</v>
          </cell>
          <cell r="AM2302">
            <v>287.05440900562854</v>
          </cell>
          <cell r="AN2302">
            <v>287.05440900562854</v>
          </cell>
          <cell r="AO2302">
            <v>358.81801125703566</v>
          </cell>
          <cell r="AP2302">
            <v>358.81801125703566</v>
          </cell>
          <cell r="AQ2302">
            <v>717.63602251407133</v>
          </cell>
          <cell r="AR2302">
            <v>717.63602251407133</v>
          </cell>
          <cell r="AS2302">
            <v>717.63602251407133</v>
          </cell>
          <cell r="AT2302">
            <v>717.63602251407133</v>
          </cell>
          <cell r="AU2302">
            <v>717.63602251407133</v>
          </cell>
          <cell r="AV2302">
            <v>717.63602251407133</v>
          </cell>
          <cell r="AW2302">
            <v>717.63602251407133</v>
          </cell>
          <cell r="AX2302">
            <v>717.63602251407133</v>
          </cell>
          <cell r="AY2302">
            <v>717.63602251407133</v>
          </cell>
          <cell r="AZ2302">
            <v>0</v>
          </cell>
          <cell r="BA2302">
            <v>0</v>
          </cell>
          <cell r="BB2302">
            <v>717.63602251407133</v>
          </cell>
          <cell r="BC2302">
            <v>1076.4540337711069</v>
          </cell>
          <cell r="BD2302">
            <v>1076.4540337711069</v>
          </cell>
          <cell r="BE2302">
            <v>1076.4540337711069</v>
          </cell>
          <cell r="BF2302">
            <v>1076.4540337711069</v>
          </cell>
          <cell r="BG2302">
            <v>1076.4540337711069</v>
          </cell>
          <cell r="BH2302">
            <v>1076.4540337711069</v>
          </cell>
          <cell r="BI2302">
            <v>1076.4540337711069</v>
          </cell>
          <cell r="BJ2302">
            <v>1076.4540337711069</v>
          </cell>
          <cell r="BK2302">
            <v>1519.6998123827393</v>
          </cell>
          <cell r="BL2302">
            <v>911.81988742964359</v>
          </cell>
          <cell r="BM2302">
            <v>911.81988742964359</v>
          </cell>
          <cell r="BN2302">
            <v>911.81988742964359</v>
          </cell>
          <cell r="BO2302">
            <v>911.81988742964359</v>
          </cell>
          <cell r="BP2302">
            <v>911.81988742964359</v>
          </cell>
          <cell r="BQ2302">
            <v>911.81988742964359</v>
          </cell>
          <cell r="BR2302">
            <v>911.81988742964359</v>
          </cell>
          <cell r="BS2302">
            <v>911.81988742964359</v>
          </cell>
          <cell r="BT2302">
            <v>911.81988742964359</v>
          </cell>
          <cell r="BU2302">
            <v>911.81988742964359</v>
          </cell>
          <cell r="BV2302">
            <v>911.81988742964359</v>
          </cell>
        </row>
        <row r="2303">
          <cell r="A2303" t="str">
            <v>JLR</v>
          </cell>
          <cell r="B2303" t="str">
            <v>EMA</v>
          </cell>
          <cell r="D2303" t="str">
            <v>RAR Taurus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  <cell r="AI2303">
            <v>0</v>
          </cell>
          <cell r="AJ2303">
            <v>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313.25</v>
          </cell>
          <cell r="AP2303">
            <v>313.25</v>
          </cell>
          <cell r="AQ2303">
            <v>313.25</v>
          </cell>
          <cell r="AR2303">
            <v>313.25</v>
          </cell>
          <cell r="AS2303">
            <v>634.66666666666663</v>
          </cell>
          <cell r="AT2303">
            <v>634.66666666666663</v>
          </cell>
          <cell r="AU2303">
            <v>634.66666666666663</v>
          </cell>
          <cell r="AV2303">
            <v>634.66666666666663</v>
          </cell>
          <cell r="AW2303">
            <v>634.66666666666663</v>
          </cell>
          <cell r="AX2303">
            <v>537.77777777777783</v>
          </cell>
          <cell r="AY2303">
            <v>537.77777777777783</v>
          </cell>
          <cell r="AZ2303">
            <v>537.77777777777783</v>
          </cell>
          <cell r="BA2303">
            <v>537.77777777777783</v>
          </cell>
          <cell r="BB2303">
            <v>1047</v>
          </cell>
          <cell r="BC2303">
            <v>1047</v>
          </cell>
          <cell r="BD2303">
            <v>1047</v>
          </cell>
          <cell r="BE2303">
            <v>1047</v>
          </cell>
          <cell r="BF2303">
            <v>1269.3333333333333</v>
          </cell>
          <cell r="BG2303">
            <v>1269.3333333333333</v>
          </cell>
          <cell r="BH2303">
            <v>1269.3333333333333</v>
          </cell>
          <cell r="BI2303">
            <v>1269.3333333333333</v>
          </cell>
          <cell r="BJ2303">
            <v>634.66666666666504</v>
          </cell>
          <cell r="BK2303">
            <v>0</v>
          </cell>
          <cell r="BL2303">
            <v>0</v>
          </cell>
          <cell r="BM2303">
            <v>0</v>
          </cell>
          <cell r="BN2303">
            <v>0</v>
          </cell>
          <cell r="BO2303">
            <v>0</v>
          </cell>
          <cell r="BP2303">
            <v>0</v>
          </cell>
          <cell r="BQ2303">
            <v>0</v>
          </cell>
          <cell r="BR2303">
            <v>0</v>
          </cell>
          <cell r="BS2303">
            <v>0</v>
          </cell>
          <cell r="BT2303">
            <v>0</v>
          </cell>
          <cell r="BU2303">
            <v>0</v>
          </cell>
          <cell r="BV2303">
            <v>0</v>
          </cell>
        </row>
        <row r="2304">
          <cell r="A2304" t="str">
            <v>JLR</v>
          </cell>
          <cell r="B2304" t="str">
            <v>EMA</v>
          </cell>
          <cell r="D2304" t="str">
            <v>RAR Windsor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  <cell r="BK2304">
            <v>0</v>
          </cell>
          <cell r="BL2304">
            <v>0</v>
          </cell>
          <cell r="BM2304">
            <v>0</v>
          </cell>
          <cell r="BN2304">
            <v>0</v>
          </cell>
          <cell r="BO2304">
            <v>0</v>
          </cell>
          <cell r="BP2304">
            <v>0</v>
          </cell>
          <cell r="BQ2304">
            <v>0</v>
          </cell>
          <cell r="BR2304">
            <v>0</v>
          </cell>
          <cell r="BS2304">
            <v>0</v>
          </cell>
          <cell r="BT2304">
            <v>0</v>
          </cell>
          <cell r="BU2304">
            <v>0</v>
          </cell>
          <cell r="BV2304">
            <v>0</v>
          </cell>
        </row>
        <row r="2305">
          <cell r="A2305" t="str">
            <v>JLR</v>
          </cell>
          <cell r="B2305" t="str">
            <v>EMA</v>
          </cell>
          <cell r="D2305" t="str">
            <v>RAR Premium Tekstil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  <cell r="AI2305">
            <v>0</v>
          </cell>
          <cell r="AJ2305">
            <v>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  <cell r="BK2305">
            <v>0</v>
          </cell>
          <cell r="BL2305">
            <v>0</v>
          </cell>
          <cell r="BM2305">
            <v>0</v>
          </cell>
          <cell r="BN2305">
            <v>0</v>
          </cell>
          <cell r="BO2305">
            <v>0</v>
          </cell>
          <cell r="BP2305">
            <v>0</v>
          </cell>
          <cell r="BQ2305">
            <v>0</v>
          </cell>
          <cell r="BR2305">
            <v>0</v>
          </cell>
          <cell r="BS2305">
            <v>0</v>
          </cell>
          <cell r="BT2305">
            <v>0</v>
          </cell>
          <cell r="BU2305">
            <v>0</v>
          </cell>
          <cell r="BV2305">
            <v>0</v>
          </cell>
        </row>
        <row r="2306">
          <cell r="A2306" t="str">
            <v>JLR</v>
          </cell>
          <cell r="B2306" t="str">
            <v>EMA</v>
          </cell>
          <cell r="D2306" t="str">
            <v>RAR Sustainable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>
            <v>0</v>
          </cell>
          <cell r="AJ2306">
            <v>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  <cell r="BK2306">
            <v>0</v>
          </cell>
          <cell r="BL2306">
            <v>0</v>
          </cell>
          <cell r="BM2306">
            <v>0</v>
          </cell>
          <cell r="BN2306">
            <v>0</v>
          </cell>
          <cell r="BO2306">
            <v>0</v>
          </cell>
          <cell r="BP2306">
            <v>0</v>
          </cell>
          <cell r="BQ2306">
            <v>0</v>
          </cell>
          <cell r="BR2306">
            <v>0</v>
          </cell>
          <cell r="BS2306">
            <v>0</v>
          </cell>
          <cell r="BT2306">
            <v>0</v>
          </cell>
          <cell r="BU2306">
            <v>0</v>
          </cell>
          <cell r="BV2306">
            <v>0</v>
          </cell>
        </row>
        <row r="2307">
          <cell r="A2307" t="str">
            <v>JLR</v>
          </cell>
          <cell r="B2307" t="str">
            <v>EMA</v>
          </cell>
          <cell r="D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  <cell r="AI2307">
            <v>0</v>
          </cell>
          <cell r="AJ2307">
            <v>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  <cell r="BK2307">
            <v>0</v>
          </cell>
          <cell r="BL2307">
            <v>0</v>
          </cell>
          <cell r="BM2307">
            <v>0</v>
          </cell>
          <cell r="BN2307">
            <v>0</v>
          </cell>
          <cell r="BO2307">
            <v>0</v>
          </cell>
          <cell r="BP2307">
            <v>0</v>
          </cell>
          <cell r="BQ2307">
            <v>0</v>
          </cell>
          <cell r="BR2307">
            <v>0</v>
          </cell>
          <cell r="BS2307">
            <v>0</v>
          </cell>
          <cell r="BT2307">
            <v>0</v>
          </cell>
          <cell r="BU2307">
            <v>0</v>
          </cell>
          <cell r="BV2307">
            <v>0</v>
          </cell>
        </row>
        <row r="2308">
          <cell r="A2308" t="str">
            <v>JLR</v>
          </cell>
          <cell r="B2308" t="str">
            <v>EMA</v>
          </cell>
          <cell r="D2308" t="str">
            <v>Weekly demand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  <cell r="AI2308">
            <v>0</v>
          </cell>
          <cell r="AJ2308">
            <v>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313.25</v>
          </cell>
          <cell r="AP2308">
            <v>313.25</v>
          </cell>
          <cell r="AQ2308">
            <v>313.25</v>
          </cell>
          <cell r="AR2308">
            <v>313.25</v>
          </cell>
          <cell r="AS2308">
            <v>634.66666666666663</v>
          </cell>
          <cell r="AT2308">
            <v>634.66666666666663</v>
          </cell>
          <cell r="AU2308">
            <v>634.66666666666663</v>
          </cell>
          <cell r="AV2308">
            <v>634.66666666666663</v>
          </cell>
          <cell r="AW2308">
            <v>634.66666666666663</v>
          </cell>
          <cell r="AX2308">
            <v>537.77777777777783</v>
          </cell>
          <cell r="AY2308">
            <v>537.77777777777783</v>
          </cell>
          <cell r="AZ2308">
            <v>537.77777777777783</v>
          </cell>
          <cell r="BA2308">
            <v>537.77777777777783</v>
          </cell>
          <cell r="BB2308">
            <v>1047</v>
          </cell>
          <cell r="BC2308">
            <v>1047</v>
          </cell>
          <cell r="BD2308">
            <v>1047</v>
          </cell>
          <cell r="BE2308">
            <v>1047</v>
          </cell>
          <cell r="BF2308">
            <v>1269.3333333333333</v>
          </cell>
          <cell r="BG2308">
            <v>1269.3333333333333</v>
          </cell>
          <cell r="BH2308">
            <v>1269.3333333333333</v>
          </cell>
          <cell r="BI2308">
            <v>1269.3333333333333</v>
          </cell>
          <cell r="BJ2308">
            <v>634.66666666666504</v>
          </cell>
          <cell r="BK2308">
            <v>0</v>
          </cell>
          <cell r="BL2308">
            <v>16477.444444444445</v>
          </cell>
          <cell r="BM2308">
            <v>0</v>
          </cell>
          <cell r="BN2308">
            <v>0</v>
          </cell>
          <cell r="BO2308">
            <v>0</v>
          </cell>
          <cell r="BP2308">
            <v>0</v>
          </cell>
          <cell r="BQ2308">
            <v>0</v>
          </cell>
          <cell r="BR2308">
            <v>0</v>
          </cell>
          <cell r="BS2308">
            <v>0</v>
          </cell>
          <cell r="BT2308">
            <v>0</v>
          </cell>
          <cell r="BU2308">
            <v>0</v>
          </cell>
          <cell r="BV2308">
            <v>0</v>
          </cell>
        </row>
        <row r="2309">
          <cell r="A2309" t="str">
            <v>JLR</v>
          </cell>
          <cell r="B2309" t="str">
            <v>EMA</v>
          </cell>
          <cell r="D2309" t="str">
            <v>Stock Target</v>
          </cell>
          <cell r="Z2309"/>
          <cell r="AA2309"/>
          <cell r="AB2309"/>
          <cell r="AC2309"/>
          <cell r="AD2309"/>
          <cell r="AE2309"/>
          <cell r="AF2309"/>
          <cell r="AG2309">
            <v>2547</v>
          </cell>
          <cell r="AH2309">
            <v>2548</v>
          </cell>
          <cell r="AI2309">
            <v>2549</v>
          </cell>
          <cell r="AJ2309">
            <v>2550</v>
          </cell>
          <cell r="AK2309">
            <v>2551</v>
          </cell>
          <cell r="AL2309">
            <v>2552</v>
          </cell>
          <cell r="AM2309">
            <v>2552</v>
          </cell>
          <cell r="AN2309">
            <v>2552</v>
          </cell>
          <cell r="AO2309">
            <v>2552</v>
          </cell>
          <cell r="AP2309">
            <v>2552</v>
          </cell>
          <cell r="AQ2309">
            <v>2552</v>
          </cell>
          <cell r="AR2309">
            <v>2552</v>
          </cell>
          <cell r="AS2309">
            <v>2552</v>
          </cell>
          <cell r="AT2309">
            <v>2552</v>
          </cell>
          <cell r="AU2309">
            <v>2552</v>
          </cell>
          <cell r="AV2309">
            <v>2552</v>
          </cell>
          <cell r="AW2309">
            <v>2552</v>
          </cell>
          <cell r="AX2309">
            <v>2552</v>
          </cell>
          <cell r="AY2309">
            <v>2552</v>
          </cell>
          <cell r="AZ2309">
            <v>2552</v>
          </cell>
          <cell r="BA2309">
            <v>2552</v>
          </cell>
          <cell r="BB2309">
            <v>2552</v>
          </cell>
          <cell r="BC2309">
            <v>2552</v>
          </cell>
          <cell r="BD2309">
            <v>2552</v>
          </cell>
          <cell r="BE2309">
            <v>2552</v>
          </cell>
          <cell r="BF2309">
            <v>2552</v>
          </cell>
          <cell r="BG2309">
            <v>2552</v>
          </cell>
          <cell r="BH2309">
            <v>2552</v>
          </cell>
          <cell r="BI2309">
            <v>2552</v>
          </cell>
          <cell r="BJ2309">
            <v>2552</v>
          </cell>
          <cell r="BK2309">
            <v>2552</v>
          </cell>
          <cell r="BL2309">
            <v>2552</v>
          </cell>
          <cell r="BM2309">
            <v>2552</v>
          </cell>
          <cell r="BN2309">
            <v>2553</v>
          </cell>
          <cell r="BO2309">
            <v>2554</v>
          </cell>
          <cell r="BP2309">
            <v>2555</v>
          </cell>
          <cell r="BQ2309">
            <v>2556</v>
          </cell>
          <cell r="BR2309">
            <v>2557</v>
          </cell>
          <cell r="BS2309">
            <v>2558</v>
          </cell>
          <cell r="BT2309">
            <v>2559</v>
          </cell>
          <cell r="BU2309">
            <v>2560</v>
          </cell>
          <cell r="BV2309">
            <v>2561</v>
          </cell>
        </row>
        <row r="2310">
          <cell r="A2310" t="str">
            <v>JLR</v>
          </cell>
          <cell r="B2310" t="str">
            <v>EMA</v>
          </cell>
          <cell r="D2310" t="str">
            <v>RAR Taurus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>
            <v>0</v>
          </cell>
          <cell r="AJ2310">
            <v>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-313.25</v>
          </cell>
          <cell r="AP2310">
            <v>-313.25</v>
          </cell>
          <cell r="AQ2310">
            <v>-626.5</v>
          </cell>
          <cell r="AR2310">
            <v>-626.5</v>
          </cell>
          <cell r="AS2310">
            <v>-1261.1666666666665</v>
          </cell>
          <cell r="AT2310">
            <v>-1261.1666666666665</v>
          </cell>
          <cell r="AU2310">
            <v>-1895.833333333333</v>
          </cell>
          <cell r="AV2310">
            <v>-1895.833333333333</v>
          </cell>
          <cell r="AW2310">
            <v>-2530.4999999999995</v>
          </cell>
          <cell r="AX2310">
            <v>-2433.6111111111109</v>
          </cell>
          <cell r="AY2310">
            <v>-3068.2777777777774</v>
          </cell>
          <cell r="AZ2310">
            <v>-2971.3888888888887</v>
          </cell>
          <cell r="BA2310">
            <v>-3606.0555555555552</v>
          </cell>
          <cell r="BB2310">
            <v>-4018.3888888888887</v>
          </cell>
          <cell r="BC2310">
            <v>-4653.0555555555547</v>
          </cell>
          <cell r="BD2310">
            <v>-5065.3888888888887</v>
          </cell>
          <cell r="BE2310">
            <v>-5700.0555555555547</v>
          </cell>
          <cell r="BF2310">
            <v>-6334.7222222222217</v>
          </cell>
          <cell r="BG2310">
            <v>-6969.3888888888878</v>
          </cell>
          <cell r="BH2310">
            <v>-7604.0555555555547</v>
          </cell>
          <cell r="BI2310">
            <v>-8238.7222222222208</v>
          </cell>
          <cell r="BJ2310">
            <v>-8238.722222222219</v>
          </cell>
          <cell r="BK2310">
            <v>-8238.7222222222208</v>
          </cell>
          <cell r="BL2310">
            <v>-8238.722222222219</v>
          </cell>
          <cell r="BM2310">
            <v>-8238.7222222222208</v>
          </cell>
          <cell r="BN2310">
            <v>-8238.722222222219</v>
          </cell>
          <cell r="BO2310">
            <v>-8238.7222222222208</v>
          </cell>
          <cell r="BP2310">
            <v>-8238.722222222219</v>
          </cell>
          <cell r="BQ2310">
            <v>-8238.7222222222208</v>
          </cell>
          <cell r="BR2310">
            <v>-8238.722222222219</v>
          </cell>
          <cell r="BS2310">
            <v>-8238.7222222222208</v>
          </cell>
          <cell r="BT2310">
            <v>-8238.722222222219</v>
          </cell>
          <cell r="BU2310">
            <v>-8238.7222222222208</v>
          </cell>
          <cell r="BV2310">
            <v>-8238.722222222219</v>
          </cell>
        </row>
        <row r="2311">
          <cell r="A2311" t="str">
            <v>JLR</v>
          </cell>
          <cell r="B2311" t="str">
            <v>EMA</v>
          </cell>
          <cell r="D2311" t="str">
            <v>RAR Windsor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  <cell r="BK2311">
            <v>0</v>
          </cell>
          <cell r="BL2311">
            <v>0</v>
          </cell>
          <cell r="BM2311">
            <v>0</v>
          </cell>
          <cell r="BN2311">
            <v>0</v>
          </cell>
          <cell r="BO2311">
            <v>0</v>
          </cell>
          <cell r="BP2311">
            <v>0</v>
          </cell>
          <cell r="BQ2311">
            <v>0</v>
          </cell>
          <cell r="BR2311">
            <v>0</v>
          </cell>
          <cell r="BS2311">
            <v>0</v>
          </cell>
          <cell r="BT2311">
            <v>0</v>
          </cell>
          <cell r="BU2311">
            <v>0</v>
          </cell>
          <cell r="BV2311">
            <v>0</v>
          </cell>
        </row>
        <row r="2312">
          <cell r="A2312" t="str">
            <v>JLR</v>
          </cell>
          <cell r="B2312" t="str">
            <v>EMA</v>
          </cell>
          <cell r="D2312" t="str">
            <v>RAR Premium Tekstil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>
            <v>0</v>
          </cell>
          <cell r="AJ2312">
            <v>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  <cell r="BK2312">
            <v>0</v>
          </cell>
          <cell r="BL2312">
            <v>0</v>
          </cell>
          <cell r="BM2312">
            <v>0</v>
          </cell>
          <cell r="BN2312">
            <v>0</v>
          </cell>
          <cell r="BO2312">
            <v>0</v>
          </cell>
          <cell r="BP2312">
            <v>0</v>
          </cell>
          <cell r="BQ2312">
            <v>0</v>
          </cell>
          <cell r="BR2312">
            <v>0</v>
          </cell>
          <cell r="BS2312">
            <v>0</v>
          </cell>
          <cell r="BT2312">
            <v>0</v>
          </cell>
          <cell r="BU2312">
            <v>0</v>
          </cell>
          <cell r="BV2312">
            <v>0</v>
          </cell>
        </row>
        <row r="2313">
          <cell r="A2313" t="str">
            <v>JLR</v>
          </cell>
          <cell r="B2313" t="str">
            <v>EMA</v>
          </cell>
          <cell r="D2313" t="str">
            <v>RAR Sustainable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>
            <v>0</v>
          </cell>
          <cell r="AJ2313">
            <v>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  <cell r="BK2313">
            <v>0</v>
          </cell>
          <cell r="BL2313">
            <v>0</v>
          </cell>
          <cell r="BM2313">
            <v>0</v>
          </cell>
          <cell r="BN2313">
            <v>0</v>
          </cell>
          <cell r="BO2313">
            <v>0</v>
          </cell>
          <cell r="BP2313">
            <v>0</v>
          </cell>
          <cell r="BQ2313">
            <v>0</v>
          </cell>
          <cell r="BR2313">
            <v>0</v>
          </cell>
          <cell r="BS2313">
            <v>0</v>
          </cell>
          <cell r="BT2313">
            <v>0</v>
          </cell>
          <cell r="BU2313">
            <v>0</v>
          </cell>
          <cell r="BV2313">
            <v>0</v>
          </cell>
        </row>
        <row r="2314">
          <cell r="A2314" t="str">
            <v>JLR</v>
          </cell>
          <cell r="B2314" t="str">
            <v>EMA</v>
          </cell>
          <cell r="D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  <cell r="BK2314">
            <v>0</v>
          </cell>
          <cell r="BL2314">
            <v>0</v>
          </cell>
          <cell r="BM2314">
            <v>0</v>
          </cell>
          <cell r="BN2314">
            <v>0</v>
          </cell>
          <cell r="BO2314">
            <v>0</v>
          </cell>
          <cell r="BP2314">
            <v>0</v>
          </cell>
          <cell r="BQ2314">
            <v>0</v>
          </cell>
          <cell r="BR2314">
            <v>0</v>
          </cell>
          <cell r="BS2314">
            <v>0</v>
          </cell>
          <cell r="BT2314">
            <v>0</v>
          </cell>
          <cell r="BU2314">
            <v>0</v>
          </cell>
          <cell r="BV2314">
            <v>0</v>
          </cell>
        </row>
        <row r="2315">
          <cell r="A2315" t="str">
            <v>JLR</v>
          </cell>
          <cell r="B2315" t="str">
            <v>EMA</v>
          </cell>
          <cell r="D2315" t="str">
            <v>STOCK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287.05440900562854</v>
          </cell>
          <cell r="AN2315">
            <v>574.10881801125709</v>
          </cell>
          <cell r="AO2315">
            <v>619.67682926829275</v>
          </cell>
          <cell r="AP2315">
            <v>665.24484052532841</v>
          </cell>
          <cell r="AQ2315">
            <v>1069.6308630393996</v>
          </cell>
          <cell r="AR2315">
            <v>1474.016885553471</v>
          </cell>
          <cell r="AS2315">
            <v>1556.9862414008758</v>
          </cell>
          <cell r="AT2315">
            <v>1639.9555972482804</v>
          </cell>
          <cell r="AU2315">
            <v>1722.9249530956849</v>
          </cell>
          <cell r="AV2315">
            <v>1805.8943089430898</v>
          </cell>
          <cell r="AW2315">
            <v>1888.8636647904943</v>
          </cell>
          <cell r="AX2315">
            <v>2068.7219095267878</v>
          </cell>
          <cell r="AY2315">
            <v>2248.5801542630816</v>
          </cell>
          <cell r="AZ2315">
            <v>1710.8023764853037</v>
          </cell>
          <cell r="BA2315">
            <v>1173.0245987075259</v>
          </cell>
          <cell r="BB2315">
            <v>843.66062122159724</v>
          </cell>
          <cell r="BC2315">
            <v>873.11465499270412</v>
          </cell>
          <cell r="BD2315">
            <v>902.568688763811</v>
          </cell>
          <cell r="BE2315">
            <v>932.02272253491788</v>
          </cell>
          <cell r="BF2315">
            <v>739.1434229726915</v>
          </cell>
          <cell r="BG2315">
            <v>546.26412341046512</v>
          </cell>
          <cell r="BH2315">
            <v>353.38482384823874</v>
          </cell>
          <cell r="BI2315">
            <v>160.50552428601236</v>
          </cell>
          <cell r="BJ2315">
            <v>602.2928913904542</v>
          </cell>
          <cell r="BK2315">
            <v>2121.9927037731936</v>
          </cell>
          <cell r="BL2315">
            <v>-13443.631853241608</v>
          </cell>
          <cell r="BM2315">
            <v>-12531.811965811965</v>
          </cell>
          <cell r="BN2315">
            <v>-11619.992078382322</v>
          </cell>
          <cell r="BO2315">
            <v>-10708.172190952679</v>
          </cell>
          <cell r="BP2315">
            <v>-9796.3523035230355</v>
          </cell>
          <cell r="BQ2315">
            <v>-8884.5324160933924</v>
          </cell>
          <cell r="BR2315">
            <v>-7972.7125286637493</v>
          </cell>
          <cell r="BS2315">
            <v>-7060.8926412341061</v>
          </cell>
          <cell r="BT2315">
            <v>-6149.072753804463</v>
          </cell>
          <cell r="BU2315">
            <v>-5237.2528663748199</v>
          </cell>
          <cell r="BV2315">
            <v>-4325.4329789451767</v>
          </cell>
        </row>
        <row r="2316">
          <cell r="A2316"/>
          <cell r="D2316" t="str">
            <v>Blank</v>
          </cell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</row>
        <row r="2317">
          <cell r="A2317" t="str">
            <v>JLR</v>
          </cell>
          <cell r="B2317" t="str">
            <v>EMA</v>
          </cell>
          <cell r="D2317" t="str">
            <v>Work days</v>
          </cell>
          <cell r="Z2317"/>
          <cell r="AA2317"/>
          <cell r="AB2317"/>
          <cell r="AC2317"/>
          <cell r="AD2317"/>
          <cell r="AE2317"/>
          <cell r="AF2317"/>
          <cell r="AG2317">
            <v>5</v>
          </cell>
          <cell r="AH2317">
            <v>5</v>
          </cell>
          <cell r="AI2317">
            <v>5</v>
          </cell>
          <cell r="AJ2317">
            <v>5</v>
          </cell>
          <cell r="AK2317">
            <v>4</v>
          </cell>
          <cell r="AL2317">
            <v>4</v>
          </cell>
          <cell r="AM2317">
            <v>5</v>
          </cell>
          <cell r="AN2317">
            <v>4</v>
          </cell>
          <cell r="AO2317">
            <v>5</v>
          </cell>
          <cell r="AP2317">
            <v>5</v>
          </cell>
          <cell r="AQ2317">
            <v>5</v>
          </cell>
          <cell r="AR2317">
            <v>5</v>
          </cell>
          <cell r="AS2317">
            <v>5</v>
          </cell>
          <cell r="AT2317">
            <v>5</v>
          </cell>
          <cell r="AU2317">
            <v>5</v>
          </cell>
          <cell r="AV2317">
            <v>5</v>
          </cell>
          <cell r="AW2317">
            <v>5</v>
          </cell>
          <cell r="AX2317">
            <v>5</v>
          </cell>
          <cell r="AY2317">
            <v>5</v>
          </cell>
          <cell r="AZ2317">
            <v>0</v>
          </cell>
          <cell r="BA2317">
            <v>0</v>
          </cell>
          <cell r="BB2317">
            <v>5</v>
          </cell>
          <cell r="BC2317">
            <v>5</v>
          </cell>
          <cell r="BD2317">
            <v>5</v>
          </cell>
          <cell r="BE2317">
            <v>5</v>
          </cell>
          <cell r="BF2317">
            <v>5</v>
          </cell>
          <cell r="BG2317">
            <v>5</v>
          </cell>
          <cell r="BH2317">
            <v>5</v>
          </cell>
          <cell r="BI2317">
            <v>5</v>
          </cell>
          <cell r="BJ2317">
            <v>5</v>
          </cell>
          <cell r="BK2317">
            <v>5</v>
          </cell>
          <cell r="BL2317">
            <v>3</v>
          </cell>
          <cell r="BM2317">
            <v>3</v>
          </cell>
          <cell r="BN2317">
            <v>3</v>
          </cell>
          <cell r="BO2317">
            <v>3</v>
          </cell>
          <cell r="BP2317">
            <v>3</v>
          </cell>
          <cell r="BQ2317">
            <v>3</v>
          </cell>
          <cell r="BR2317">
            <v>3</v>
          </cell>
          <cell r="BS2317">
            <v>3</v>
          </cell>
          <cell r="BT2317">
            <v>3</v>
          </cell>
          <cell r="BU2317">
            <v>3</v>
          </cell>
          <cell r="BV2317">
            <v>3</v>
          </cell>
        </row>
        <row r="2318">
          <cell r="A2318" t="str">
            <v>JLR</v>
          </cell>
          <cell r="B2318" t="str">
            <v>EMA</v>
          </cell>
          <cell r="D2318" t="str">
            <v>SHIFT A HC - operators</v>
          </cell>
          <cell r="Z2318"/>
          <cell r="AA2318"/>
          <cell r="AB2318"/>
          <cell r="AC2318"/>
          <cell r="AD2318"/>
          <cell r="AE2318"/>
          <cell r="AF2318"/>
          <cell r="AG2318">
            <v>1</v>
          </cell>
          <cell r="AH2318">
            <v>1</v>
          </cell>
          <cell r="AI2318">
            <v>2</v>
          </cell>
          <cell r="AJ2318">
            <v>2</v>
          </cell>
          <cell r="AK2318">
            <v>2</v>
          </cell>
          <cell r="AL2318">
            <v>2</v>
          </cell>
          <cell r="AM2318">
            <v>2</v>
          </cell>
          <cell r="AN2318">
            <v>2</v>
          </cell>
          <cell r="AO2318">
            <v>4</v>
          </cell>
          <cell r="AP2318">
            <v>4</v>
          </cell>
          <cell r="AQ2318">
            <v>4</v>
          </cell>
          <cell r="AR2318">
            <v>4</v>
          </cell>
          <cell r="AS2318">
            <v>4</v>
          </cell>
          <cell r="AT2318">
            <v>4</v>
          </cell>
          <cell r="AU2318">
            <v>4</v>
          </cell>
          <cell r="AV2318">
            <v>4</v>
          </cell>
          <cell r="AW2318">
            <v>4</v>
          </cell>
          <cell r="AX2318">
            <v>4</v>
          </cell>
          <cell r="AY2318">
            <v>4</v>
          </cell>
          <cell r="AZ2318">
            <v>4</v>
          </cell>
          <cell r="BA2318">
            <v>4</v>
          </cell>
          <cell r="BB2318">
            <v>4</v>
          </cell>
          <cell r="BC2318">
            <v>4</v>
          </cell>
          <cell r="BD2318">
            <v>4</v>
          </cell>
          <cell r="BE2318">
            <v>4</v>
          </cell>
          <cell r="BF2318">
            <v>4</v>
          </cell>
          <cell r="BG2318">
            <v>4</v>
          </cell>
          <cell r="BH2318">
            <v>4</v>
          </cell>
          <cell r="BI2318">
            <v>4</v>
          </cell>
          <cell r="BJ2318">
            <v>4</v>
          </cell>
          <cell r="BK2318">
            <v>3</v>
          </cell>
          <cell r="BL2318">
            <v>3</v>
          </cell>
          <cell r="BM2318">
            <v>3</v>
          </cell>
          <cell r="BN2318">
            <v>3</v>
          </cell>
          <cell r="BO2318">
            <v>3</v>
          </cell>
          <cell r="BP2318">
            <v>3</v>
          </cell>
          <cell r="BQ2318">
            <v>3</v>
          </cell>
          <cell r="BR2318">
            <v>3</v>
          </cell>
          <cell r="BS2318">
            <v>3</v>
          </cell>
          <cell r="BT2318">
            <v>3</v>
          </cell>
          <cell r="BU2318">
            <v>3</v>
          </cell>
          <cell r="BV2318">
            <v>3</v>
          </cell>
        </row>
        <row r="2319">
          <cell r="A2319" t="str">
            <v>JLR</v>
          </cell>
          <cell r="B2319" t="str">
            <v>EMA</v>
          </cell>
          <cell r="D2319" t="str">
            <v>SHIFT B HC  - operators</v>
          </cell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  <cell r="BK2319">
            <v>0</v>
          </cell>
          <cell r="BL2319">
            <v>0</v>
          </cell>
          <cell r="BM2319">
            <v>0</v>
          </cell>
          <cell r="BN2319">
            <v>0</v>
          </cell>
          <cell r="BO2319">
            <v>0</v>
          </cell>
          <cell r="BP2319">
            <v>0</v>
          </cell>
          <cell r="BQ2319">
            <v>0</v>
          </cell>
          <cell r="BR2319">
            <v>0</v>
          </cell>
          <cell r="BS2319">
            <v>0</v>
          </cell>
          <cell r="BT2319">
            <v>0</v>
          </cell>
          <cell r="BU2319">
            <v>0</v>
          </cell>
          <cell r="BV2319">
            <v>0</v>
          </cell>
        </row>
        <row r="2320">
          <cell r="A2320" t="str">
            <v>JLR</v>
          </cell>
          <cell r="B2320" t="str">
            <v>EMA</v>
          </cell>
          <cell r="D2320" t="str">
            <v>SHIFT C HC  - operators</v>
          </cell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  <cell r="BK2320">
            <v>0</v>
          </cell>
          <cell r="BL2320">
            <v>0</v>
          </cell>
          <cell r="BM2320">
            <v>0</v>
          </cell>
          <cell r="BN2320">
            <v>0</v>
          </cell>
          <cell r="BO2320">
            <v>0</v>
          </cell>
          <cell r="BP2320">
            <v>0</v>
          </cell>
          <cell r="BQ2320">
            <v>0</v>
          </cell>
          <cell r="BR2320">
            <v>0</v>
          </cell>
          <cell r="BS2320">
            <v>0</v>
          </cell>
          <cell r="BT2320">
            <v>0</v>
          </cell>
          <cell r="BU2320">
            <v>0</v>
          </cell>
          <cell r="BV2320">
            <v>0</v>
          </cell>
        </row>
        <row r="2321">
          <cell r="A2321" t="str">
            <v>JLR</v>
          </cell>
          <cell r="B2321" t="str">
            <v>EMA</v>
          </cell>
          <cell r="D2321" t="str">
            <v>Total HC</v>
          </cell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>
            <v>2</v>
          </cell>
          <cell r="AL2321">
            <v>2</v>
          </cell>
          <cell r="AM2321">
            <v>2</v>
          </cell>
          <cell r="AN2321">
            <v>2</v>
          </cell>
          <cell r="AO2321">
            <v>4</v>
          </cell>
          <cell r="AP2321">
            <v>4</v>
          </cell>
          <cell r="AQ2321">
            <v>4</v>
          </cell>
          <cell r="AR2321">
            <v>4</v>
          </cell>
          <cell r="AS2321">
            <v>4</v>
          </cell>
          <cell r="AT2321">
            <v>4</v>
          </cell>
          <cell r="AU2321">
            <v>4</v>
          </cell>
          <cell r="AV2321">
            <v>4</v>
          </cell>
          <cell r="AW2321">
            <v>4</v>
          </cell>
          <cell r="AX2321">
            <v>4</v>
          </cell>
          <cell r="AY2321">
            <v>4</v>
          </cell>
          <cell r="AZ2321">
            <v>4</v>
          </cell>
          <cell r="BA2321">
            <v>4</v>
          </cell>
          <cell r="BB2321">
            <v>4</v>
          </cell>
          <cell r="BC2321">
            <v>4</v>
          </cell>
          <cell r="BD2321">
            <v>4</v>
          </cell>
          <cell r="BE2321">
            <v>4</v>
          </cell>
          <cell r="BF2321">
            <v>4</v>
          </cell>
          <cell r="BG2321">
            <v>4</v>
          </cell>
          <cell r="BH2321">
            <v>4</v>
          </cell>
          <cell r="BI2321">
            <v>4</v>
          </cell>
          <cell r="BJ2321">
            <v>4</v>
          </cell>
          <cell r="BK2321">
            <v>3</v>
          </cell>
          <cell r="BL2321">
            <v>3</v>
          </cell>
          <cell r="BM2321">
            <v>3</v>
          </cell>
          <cell r="BN2321">
            <v>3</v>
          </cell>
          <cell r="BO2321">
            <v>3</v>
          </cell>
          <cell r="BP2321">
            <v>3</v>
          </cell>
          <cell r="BQ2321">
            <v>3</v>
          </cell>
          <cell r="BR2321">
            <v>3</v>
          </cell>
          <cell r="BS2321">
            <v>3</v>
          </cell>
          <cell r="BT2321">
            <v>3</v>
          </cell>
          <cell r="BU2321">
            <v>3</v>
          </cell>
          <cell r="BV2321">
            <v>3</v>
          </cell>
        </row>
        <row r="2322">
          <cell r="A2322" t="str">
            <v>JLR</v>
          </cell>
          <cell r="B2322" t="str">
            <v>EMA</v>
          </cell>
          <cell r="D2322" t="str">
            <v>SHIFT A HC  - efficiency</v>
          </cell>
          <cell r="E2322">
            <v>9.7829999999999995</v>
          </cell>
          <cell r="Z2322"/>
          <cell r="AA2322"/>
          <cell r="AB2322"/>
          <cell r="AC2322"/>
          <cell r="AD2322"/>
          <cell r="AE2322"/>
          <cell r="AF2322"/>
          <cell r="AG2322">
            <v>0.7</v>
          </cell>
          <cell r="AH2322">
            <v>0.7</v>
          </cell>
          <cell r="AI2322">
            <v>0.75</v>
          </cell>
          <cell r="AJ2322">
            <v>0.8</v>
          </cell>
          <cell r="AK2322">
            <v>0.85</v>
          </cell>
          <cell r="AL2322">
            <v>0.9</v>
          </cell>
          <cell r="AM2322">
            <v>0.95</v>
          </cell>
          <cell r="AN2322">
            <v>1</v>
          </cell>
          <cell r="AO2322">
            <v>1</v>
          </cell>
          <cell r="AP2322">
            <v>1</v>
          </cell>
          <cell r="AQ2322">
            <v>1</v>
          </cell>
          <cell r="AR2322">
            <v>1</v>
          </cell>
          <cell r="AS2322">
            <v>1</v>
          </cell>
          <cell r="AT2322">
            <v>1</v>
          </cell>
          <cell r="AU2322">
            <v>1</v>
          </cell>
          <cell r="AV2322">
            <v>1</v>
          </cell>
          <cell r="AW2322">
            <v>1</v>
          </cell>
          <cell r="AX2322">
            <v>1</v>
          </cell>
          <cell r="AY2322">
            <v>1</v>
          </cell>
          <cell r="AZ2322">
            <v>1</v>
          </cell>
          <cell r="BA2322">
            <v>1</v>
          </cell>
          <cell r="BB2322">
            <v>1</v>
          </cell>
          <cell r="BC2322">
            <v>1</v>
          </cell>
          <cell r="BD2322">
            <v>1</v>
          </cell>
          <cell r="BE2322">
            <v>1</v>
          </cell>
          <cell r="BF2322">
            <v>1</v>
          </cell>
          <cell r="BG2322">
            <v>1</v>
          </cell>
          <cell r="BH2322">
            <v>1</v>
          </cell>
          <cell r="BI2322">
            <v>1</v>
          </cell>
          <cell r="BJ2322">
            <v>1</v>
          </cell>
          <cell r="BK2322">
            <v>1.2</v>
          </cell>
          <cell r="BL2322">
            <v>1.2</v>
          </cell>
          <cell r="BM2322">
            <v>1.2</v>
          </cell>
          <cell r="BN2322">
            <v>1.2</v>
          </cell>
          <cell r="BO2322">
            <v>1.2</v>
          </cell>
          <cell r="BP2322">
            <v>1.2</v>
          </cell>
          <cell r="BQ2322">
            <v>1.2</v>
          </cell>
          <cell r="BR2322">
            <v>1.2</v>
          </cell>
          <cell r="BS2322">
            <v>1.2</v>
          </cell>
          <cell r="BT2322">
            <v>1.2</v>
          </cell>
          <cell r="BU2322">
            <v>1.2</v>
          </cell>
          <cell r="BV2322">
            <v>1.2</v>
          </cell>
        </row>
        <row r="2323">
          <cell r="A2323" t="str">
            <v>JLR</v>
          </cell>
          <cell r="B2323" t="str">
            <v>EMA</v>
          </cell>
          <cell r="D2323" t="str">
            <v>SHIFT B HC  - efficiency</v>
          </cell>
          <cell r="E2323">
            <v>8.9909999999999997</v>
          </cell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>
            <v>1</v>
          </cell>
          <cell r="AL2323">
            <v>1</v>
          </cell>
          <cell r="AM2323">
            <v>1</v>
          </cell>
          <cell r="AN2323">
            <v>1</v>
          </cell>
          <cell r="AO2323">
            <v>1</v>
          </cell>
          <cell r="AP2323">
            <v>1</v>
          </cell>
          <cell r="AQ2323">
            <v>1</v>
          </cell>
          <cell r="AR2323">
            <v>1</v>
          </cell>
          <cell r="AS2323">
            <v>1</v>
          </cell>
          <cell r="AT2323">
            <v>1</v>
          </cell>
          <cell r="AU2323">
            <v>1</v>
          </cell>
          <cell r="AV2323">
            <v>1</v>
          </cell>
          <cell r="AW2323">
            <v>1</v>
          </cell>
          <cell r="AX2323">
            <v>1</v>
          </cell>
          <cell r="AY2323">
            <v>1</v>
          </cell>
          <cell r="AZ2323">
            <v>1</v>
          </cell>
          <cell r="BA2323">
            <v>1</v>
          </cell>
          <cell r="BB2323">
            <v>1</v>
          </cell>
          <cell r="BC2323">
            <v>1</v>
          </cell>
          <cell r="BD2323">
            <v>1</v>
          </cell>
          <cell r="BE2323">
            <v>1</v>
          </cell>
          <cell r="BF2323">
            <v>1</v>
          </cell>
          <cell r="BG2323">
            <v>1</v>
          </cell>
          <cell r="BH2323">
            <v>1</v>
          </cell>
          <cell r="BI2323">
            <v>1</v>
          </cell>
          <cell r="BJ2323">
            <v>1</v>
          </cell>
          <cell r="BK2323">
            <v>1</v>
          </cell>
          <cell r="BL2323">
            <v>1</v>
          </cell>
          <cell r="BM2323">
            <v>1</v>
          </cell>
          <cell r="BN2323">
            <v>1</v>
          </cell>
          <cell r="BO2323">
            <v>1</v>
          </cell>
          <cell r="BP2323">
            <v>1</v>
          </cell>
          <cell r="BQ2323">
            <v>1</v>
          </cell>
          <cell r="BR2323">
            <v>1</v>
          </cell>
          <cell r="BS2323">
            <v>1</v>
          </cell>
          <cell r="BT2323">
            <v>1</v>
          </cell>
          <cell r="BU2323">
            <v>1</v>
          </cell>
          <cell r="BV2323">
            <v>1</v>
          </cell>
        </row>
        <row r="2324">
          <cell r="A2324" t="str">
            <v>JLR</v>
          </cell>
          <cell r="B2324" t="str">
            <v>EMA</v>
          </cell>
          <cell r="D2324" t="str">
            <v>SHIFT C HC  - efficiency</v>
          </cell>
          <cell r="E2324">
            <v>11.948</v>
          </cell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>
            <v>1</v>
          </cell>
          <cell r="AL2324">
            <v>1</v>
          </cell>
          <cell r="AM2324">
            <v>1</v>
          </cell>
          <cell r="AN2324">
            <v>1</v>
          </cell>
          <cell r="AO2324">
            <v>1</v>
          </cell>
          <cell r="AP2324">
            <v>1</v>
          </cell>
          <cell r="AQ2324">
            <v>1</v>
          </cell>
          <cell r="AR2324">
            <v>1</v>
          </cell>
          <cell r="AS2324">
            <v>1</v>
          </cell>
          <cell r="AT2324">
            <v>1</v>
          </cell>
          <cell r="AU2324">
            <v>1</v>
          </cell>
          <cell r="AV2324">
            <v>1</v>
          </cell>
          <cell r="AW2324">
            <v>1</v>
          </cell>
          <cell r="AX2324">
            <v>1</v>
          </cell>
          <cell r="AY2324">
            <v>1</v>
          </cell>
          <cell r="AZ2324">
            <v>1</v>
          </cell>
          <cell r="BA2324">
            <v>1</v>
          </cell>
          <cell r="BB2324">
            <v>1</v>
          </cell>
          <cell r="BC2324">
            <v>1</v>
          </cell>
          <cell r="BD2324">
            <v>1</v>
          </cell>
          <cell r="BE2324">
            <v>1</v>
          </cell>
          <cell r="BF2324">
            <v>1</v>
          </cell>
          <cell r="BG2324">
            <v>1</v>
          </cell>
          <cell r="BH2324">
            <v>1</v>
          </cell>
          <cell r="BI2324">
            <v>1</v>
          </cell>
          <cell r="BJ2324">
            <v>1</v>
          </cell>
          <cell r="BK2324">
            <v>1</v>
          </cell>
          <cell r="BL2324">
            <v>1</v>
          </cell>
          <cell r="BM2324">
            <v>1</v>
          </cell>
          <cell r="BN2324">
            <v>1</v>
          </cell>
          <cell r="BO2324">
            <v>1</v>
          </cell>
          <cell r="BP2324">
            <v>1</v>
          </cell>
          <cell r="BQ2324">
            <v>1</v>
          </cell>
          <cell r="BR2324">
            <v>1</v>
          </cell>
          <cell r="BS2324">
            <v>1</v>
          </cell>
          <cell r="BT2324">
            <v>1</v>
          </cell>
          <cell r="BU2324">
            <v>1</v>
          </cell>
          <cell r="BV2324">
            <v>1</v>
          </cell>
        </row>
        <row r="2325">
          <cell r="A2325" t="str">
            <v>JLR</v>
          </cell>
          <cell r="B2325" t="str">
            <v>EMA</v>
          </cell>
          <cell r="D2325" t="str">
            <v>Total efficiency</v>
          </cell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</row>
        <row r="2326">
          <cell r="A2326" t="str">
            <v>JLR</v>
          </cell>
          <cell r="B2326" t="str">
            <v>EMA</v>
          </cell>
          <cell r="D2326" t="str">
            <v>SHIFT A - output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54.782608695652172</v>
          </cell>
          <cell r="AH2326">
            <v>54.782608695652172</v>
          </cell>
          <cell r="AI2326">
            <v>117.39130434782609</v>
          </cell>
          <cell r="AJ2326">
            <v>125.21739130434783</v>
          </cell>
          <cell r="AK2326">
            <v>133.04347826086956</v>
          </cell>
          <cell r="AL2326">
            <v>140.86956521739131</v>
          </cell>
          <cell r="AM2326">
            <v>148.69565217391303</v>
          </cell>
          <cell r="AN2326">
            <v>156.52173913043478</v>
          </cell>
          <cell r="AO2326">
            <v>313.04347826086956</v>
          </cell>
          <cell r="AP2326">
            <v>313.04347826086956</v>
          </cell>
          <cell r="AQ2326">
            <v>313.04347826086956</v>
          </cell>
          <cell r="AR2326">
            <v>313.04347826086956</v>
          </cell>
          <cell r="AS2326">
            <v>313.04347826086956</v>
          </cell>
          <cell r="AT2326">
            <v>313.04347826086956</v>
          </cell>
          <cell r="AU2326">
            <v>313.04347826086956</v>
          </cell>
          <cell r="AV2326">
            <v>313.04347826086956</v>
          </cell>
          <cell r="AW2326">
            <v>313.04347826086956</v>
          </cell>
          <cell r="AX2326">
            <v>313.04347826086956</v>
          </cell>
          <cell r="AY2326">
            <v>313.04347826086956</v>
          </cell>
          <cell r="AZ2326">
            <v>313.04347826086956</v>
          </cell>
          <cell r="BA2326">
            <v>313.04347826086956</v>
          </cell>
          <cell r="BB2326">
            <v>313.04347826086956</v>
          </cell>
          <cell r="BC2326">
            <v>313.04347826086956</v>
          </cell>
          <cell r="BD2326">
            <v>313.04347826086956</v>
          </cell>
          <cell r="BE2326">
            <v>313.04347826086956</v>
          </cell>
          <cell r="BF2326">
            <v>313.04347826086956</v>
          </cell>
          <cell r="BG2326">
            <v>313.04347826086956</v>
          </cell>
          <cell r="BH2326">
            <v>313.04347826086956</v>
          </cell>
          <cell r="BI2326">
            <v>313.04347826086956</v>
          </cell>
          <cell r="BJ2326">
            <v>313.04347826086956</v>
          </cell>
          <cell r="BK2326">
            <v>281.73913043478262</v>
          </cell>
          <cell r="BL2326">
            <v>281.73913043478262</v>
          </cell>
          <cell r="BM2326">
            <v>281.73913043478262</v>
          </cell>
          <cell r="BN2326">
            <v>281.73913043478262</v>
          </cell>
          <cell r="BO2326">
            <v>281.73913043478262</v>
          </cell>
          <cell r="BP2326">
            <v>281.73913043478262</v>
          </cell>
          <cell r="BQ2326">
            <v>281.73913043478262</v>
          </cell>
          <cell r="BR2326">
            <v>281.73913043478262</v>
          </cell>
          <cell r="BS2326">
            <v>281.73913043478262</v>
          </cell>
          <cell r="BT2326">
            <v>281.73913043478262</v>
          </cell>
          <cell r="BU2326">
            <v>281.73913043478262</v>
          </cell>
          <cell r="BV2326">
            <v>281.73913043478262</v>
          </cell>
        </row>
        <row r="2327">
          <cell r="A2327" t="str">
            <v>JLR</v>
          </cell>
          <cell r="B2327" t="str">
            <v>EMA</v>
          </cell>
          <cell r="D2327" t="str">
            <v>SHIFT B  - output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0</v>
          </cell>
          <cell r="AJ2327">
            <v>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  <cell r="BK2327">
            <v>0</v>
          </cell>
          <cell r="BL2327">
            <v>0</v>
          </cell>
          <cell r="BM2327">
            <v>0</v>
          </cell>
          <cell r="BN2327">
            <v>0</v>
          </cell>
          <cell r="BO2327">
            <v>0</v>
          </cell>
          <cell r="BP2327">
            <v>0</v>
          </cell>
          <cell r="BQ2327">
            <v>0</v>
          </cell>
          <cell r="BR2327">
            <v>0</v>
          </cell>
          <cell r="BS2327">
            <v>0</v>
          </cell>
          <cell r="BT2327">
            <v>0</v>
          </cell>
          <cell r="BU2327">
            <v>0</v>
          </cell>
          <cell r="BV2327">
            <v>0</v>
          </cell>
        </row>
        <row r="2328">
          <cell r="A2328" t="str">
            <v>JLR</v>
          </cell>
          <cell r="B2328" t="str">
            <v>EMA</v>
          </cell>
          <cell r="D2328" t="str">
            <v>SHIFT C  - output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  <cell r="BK2328">
            <v>0</v>
          </cell>
          <cell r="BL2328">
            <v>0</v>
          </cell>
          <cell r="BM2328">
            <v>0</v>
          </cell>
          <cell r="BN2328">
            <v>0</v>
          </cell>
          <cell r="BO2328">
            <v>0</v>
          </cell>
          <cell r="BP2328">
            <v>0</v>
          </cell>
          <cell r="BQ2328">
            <v>0</v>
          </cell>
          <cell r="BR2328">
            <v>0</v>
          </cell>
          <cell r="BS2328">
            <v>0</v>
          </cell>
          <cell r="BT2328">
            <v>0</v>
          </cell>
          <cell r="BU2328">
            <v>0</v>
          </cell>
          <cell r="BV2328">
            <v>0</v>
          </cell>
        </row>
        <row r="2329">
          <cell r="A2329" t="str">
            <v>JLR</v>
          </cell>
          <cell r="B2329" t="str">
            <v>EMA</v>
          </cell>
          <cell r="D2329" t="str">
            <v>Est. Output (Pcs day)</v>
          </cell>
          <cell r="E2329">
            <v>9.8000000000000007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32.142857142857139</v>
          </cell>
          <cell r="AH2329">
            <v>32.142857142857139</v>
          </cell>
          <cell r="AI2329">
            <v>68.877551020408163</v>
          </cell>
          <cell r="AJ2329">
            <v>73.469387755102034</v>
          </cell>
          <cell r="AK2329">
            <v>78.061224489795919</v>
          </cell>
          <cell r="AL2329">
            <v>82.65306122448979</v>
          </cell>
          <cell r="AM2329">
            <v>87.24489795918366</v>
          </cell>
          <cell r="AN2329">
            <v>91.836734693877546</v>
          </cell>
          <cell r="AO2329">
            <v>183.67346938775509</v>
          </cell>
          <cell r="AP2329">
            <v>183.67346938775509</v>
          </cell>
          <cell r="AQ2329">
            <v>183.67346938775509</v>
          </cell>
          <cell r="AR2329">
            <v>183.67346938775509</v>
          </cell>
          <cell r="AS2329">
            <v>183.67346938775509</v>
          </cell>
          <cell r="AT2329">
            <v>183.67346938775509</v>
          </cell>
          <cell r="AU2329">
            <v>183.67346938775509</v>
          </cell>
          <cell r="AV2329">
            <v>183.67346938775509</v>
          </cell>
          <cell r="AW2329">
            <v>183.67346938775509</v>
          </cell>
          <cell r="AX2329">
            <v>183.67346938775509</v>
          </cell>
          <cell r="AY2329">
            <v>183.67346938775509</v>
          </cell>
          <cell r="AZ2329">
            <v>183.67346938775509</v>
          </cell>
          <cell r="BA2329">
            <v>183.67346938775509</v>
          </cell>
          <cell r="BB2329">
            <v>183.67346938775509</v>
          </cell>
          <cell r="BC2329">
            <v>183.67346938775509</v>
          </cell>
          <cell r="BD2329">
            <v>183.67346938775509</v>
          </cell>
          <cell r="BE2329">
            <v>183.67346938775509</v>
          </cell>
          <cell r="BF2329">
            <v>183.67346938775509</v>
          </cell>
          <cell r="BG2329">
            <v>183.67346938775509</v>
          </cell>
          <cell r="BH2329">
            <v>183.67346938775509</v>
          </cell>
          <cell r="BI2329">
            <v>183.67346938775509</v>
          </cell>
          <cell r="BJ2329">
            <v>183.67346938775509</v>
          </cell>
          <cell r="BK2329">
            <v>165.30612244897958</v>
          </cell>
          <cell r="BL2329">
            <v>165.30612244897958</v>
          </cell>
          <cell r="BM2329">
            <v>165.30612244897958</v>
          </cell>
          <cell r="BN2329">
            <v>165.30612244897958</v>
          </cell>
          <cell r="BO2329">
            <v>165.30612244897958</v>
          </cell>
          <cell r="BP2329">
            <v>165.30612244897958</v>
          </cell>
          <cell r="BQ2329">
            <v>165.30612244897958</v>
          </cell>
          <cell r="BR2329">
            <v>165.30612244897958</v>
          </cell>
          <cell r="BS2329">
            <v>165.30612244897958</v>
          </cell>
          <cell r="BT2329">
            <v>165.30612244897958</v>
          </cell>
          <cell r="BU2329">
            <v>165.30612244897958</v>
          </cell>
          <cell r="BV2329">
            <v>165.30612244897958</v>
          </cell>
        </row>
        <row r="2330">
          <cell r="A2330" t="str">
            <v>JLR</v>
          </cell>
          <cell r="B2330" t="str">
            <v>EMA</v>
          </cell>
          <cell r="D2330" t="str">
            <v>Weekly Output PLAN</v>
          </cell>
          <cell r="E2330" t="str">
            <v>SEW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160.71428571428569</v>
          </cell>
          <cell r="AH2330">
            <v>160.71428571428569</v>
          </cell>
          <cell r="AI2330">
            <v>344.38775510204084</v>
          </cell>
          <cell r="AJ2330">
            <v>367.34693877551018</v>
          </cell>
          <cell r="AK2330">
            <v>312.24489795918367</v>
          </cell>
          <cell r="AL2330">
            <v>330.61224489795916</v>
          </cell>
          <cell r="AM2330">
            <v>436.22448979591832</v>
          </cell>
          <cell r="AN2330">
            <v>367.34693877551018</v>
          </cell>
          <cell r="AO2330">
            <v>918.36734693877543</v>
          </cell>
          <cell r="AP2330">
            <v>918.36734693877543</v>
          </cell>
          <cell r="AQ2330">
            <v>918.36734693877543</v>
          </cell>
          <cell r="AR2330">
            <v>918.36734693877543</v>
          </cell>
          <cell r="AS2330">
            <v>918.36734693877543</v>
          </cell>
          <cell r="AT2330">
            <v>918.36734693877543</v>
          </cell>
          <cell r="AU2330">
            <v>918.36734693877543</v>
          </cell>
          <cell r="AV2330">
            <v>918.36734693877543</v>
          </cell>
          <cell r="AW2330">
            <v>918.36734693877543</v>
          </cell>
          <cell r="AX2330">
            <v>918.36734693877543</v>
          </cell>
          <cell r="AY2330">
            <v>918.36734693877543</v>
          </cell>
          <cell r="AZ2330">
            <v>0</v>
          </cell>
          <cell r="BA2330">
            <v>0</v>
          </cell>
          <cell r="BB2330">
            <v>918.36734693877543</v>
          </cell>
          <cell r="BC2330">
            <v>918.36734693877543</v>
          </cell>
          <cell r="BD2330">
            <v>918.36734693877543</v>
          </cell>
          <cell r="BE2330">
            <v>918.36734693877543</v>
          </cell>
          <cell r="BF2330">
            <v>918.36734693877543</v>
          </cell>
          <cell r="BG2330">
            <v>918.36734693877543</v>
          </cell>
          <cell r="BH2330">
            <v>918.36734693877543</v>
          </cell>
          <cell r="BI2330">
            <v>918.36734693877543</v>
          </cell>
          <cell r="BJ2330">
            <v>918.36734693877543</v>
          </cell>
          <cell r="BK2330">
            <v>826.53061224489784</v>
          </cell>
          <cell r="BL2330">
            <v>495.91836734693874</v>
          </cell>
          <cell r="BM2330">
            <v>495.91836734693874</v>
          </cell>
          <cell r="BN2330">
            <v>495.91836734693874</v>
          </cell>
          <cell r="BO2330">
            <v>495.91836734693874</v>
          </cell>
          <cell r="BP2330">
            <v>495.91836734693874</v>
          </cell>
          <cell r="BQ2330">
            <v>495.91836734693874</v>
          </cell>
          <cell r="BR2330">
            <v>495.91836734693874</v>
          </cell>
          <cell r="BS2330">
            <v>495.91836734693874</v>
          </cell>
          <cell r="BT2330">
            <v>495.91836734693874</v>
          </cell>
          <cell r="BU2330">
            <v>495.91836734693874</v>
          </cell>
          <cell r="BV2330">
            <v>495.91836734693874</v>
          </cell>
        </row>
        <row r="2331">
          <cell r="A2331" t="str">
            <v>JLR</v>
          </cell>
          <cell r="B2331" t="str">
            <v>EMA</v>
          </cell>
          <cell r="D2331" t="str">
            <v>TS1</v>
          </cell>
          <cell r="E2331">
            <v>8.8047000000000004</v>
          </cell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</row>
        <row r="2332">
          <cell r="A2332" t="str">
            <v>JLR</v>
          </cell>
          <cell r="B2332" t="str">
            <v>EMA</v>
          </cell>
          <cell r="D2332" t="str">
            <v>TS2</v>
          </cell>
          <cell r="E2332">
            <v>10.753200000000001</v>
          </cell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</row>
        <row r="2333">
          <cell r="A2333" t="str">
            <v>JLR</v>
          </cell>
          <cell r="B2333" t="str">
            <v>EMA</v>
          </cell>
          <cell r="D2333" t="str">
            <v>TS3</v>
          </cell>
          <cell r="E2333">
            <v>9.8460000000000001</v>
          </cell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</row>
        <row r="2334">
          <cell r="A2334" t="str">
            <v>JLR</v>
          </cell>
          <cell r="B2334" t="str">
            <v>EMA</v>
          </cell>
          <cell r="D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</row>
        <row r="2335">
          <cell r="A2335" t="str">
            <v>JLR</v>
          </cell>
          <cell r="B2335" t="str">
            <v>EMA</v>
          </cell>
          <cell r="D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</row>
        <row r="2336">
          <cell r="A2336" t="str">
            <v>JLR</v>
          </cell>
          <cell r="B2336" t="str">
            <v>EMA</v>
          </cell>
          <cell r="D2336" t="str">
            <v>Weekly Output PLAN - SUM of models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  <cell r="BK2336">
            <v>0</v>
          </cell>
          <cell r="BL2336">
            <v>0</v>
          </cell>
          <cell r="BM2336">
            <v>0</v>
          </cell>
          <cell r="BN2336">
            <v>0</v>
          </cell>
          <cell r="BO2336">
            <v>0</v>
          </cell>
          <cell r="BP2336">
            <v>0</v>
          </cell>
          <cell r="BQ2336">
            <v>0</v>
          </cell>
          <cell r="BR2336">
            <v>0</v>
          </cell>
          <cell r="BS2336">
            <v>0</v>
          </cell>
          <cell r="BT2336">
            <v>0</v>
          </cell>
          <cell r="BU2336">
            <v>0</v>
          </cell>
          <cell r="BV2336">
            <v>0</v>
          </cell>
        </row>
        <row r="2337">
          <cell r="A2337" t="str">
            <v>JLR</v>
          </cell>
          <cell r="B2337" t="str">
            <v>EMA</v>
          </cell>
          <cell r="D2337" t="str">
            <v>Weekly Output CHECK with TO time multiple</v>
          </cell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</row>
        <row r="2338">
          <cell r="A2338" t="str">
            <v>JLR</v>
          </cell>
          <cell r="B2338" t="str">
            <v>EMA</v>
          </cell>
          <cell r="D2338" t="str">
            <v>Weekly Output ACT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160.71428571428569</v>
          </cell>
          <cell r="AH2338">
            <v>160.71428571428569</v>
          </cell>
          <cell r="AI2338">
            <v>344.38775510204084</v>
          </cell>
          <cell r="AJ2338">
            <v>367.34693877551018</v>
          </cell>
          <cell r="AK2338">
            <v>312.24489795918367</v>
          </cell>
          <cell r="AL2338">
            <v>330.61224489795916</v>
          </cell>
          <cell r="AM2338">
            <v>436.22448979591832</v>
          </cell>
          <cell r="AN2338">
            <v>367.34693877551018</v>
          </cell>
          <cell r="AO2338">
            <v>918.36734693877543</v>
          </cell>
          <cell r="AP2338">
            <v>918.36734693877543</v>
          </cell>
          <cell r="AQ2338">
            <v>918.36734693877543</v>
          </cell>
          <cell r="AR2338">
            <v>918.36734693877543</v>
          </cell>
          <cell r="AS2338">
            <v>918.36734693877543</v>
          </cell>
          <cell r="AT2338">
            <v>918.36734693877543</v>
          </cell>
          <cell r="AU2338">
            <v>918.36734693877543</v>
          </cell>
          <cell r="AV2338">
            <v>918.36734693877543</v>
          </cell>
          <cell r="AW2338">
            <v>918.36734693877543</v>
          </cell>
          <cell r="AX2338">
            <v>918.36734693877543</v>
          </cell>
          <cell r="AY2338">
            <v>918.36734693877543</v>
          </cell>
          <cell r="AZ2338">
            <v>0</v>
          </cell>
          <cell r="BA2338">
            <v>0</v>
          </cell>
          <cell r="BB2338">
            <v>918.36734693877543</v>
          </cell>
          <cell r="BC2338">
            <v>918.36734693877543</v>
          </cell>
          <cell r="BD2338">
            <v>918.36734693877543</v>
          </cell>
          <cell r="BE2338">
            <v>918.36734693877543</v>
          </cell>
          <cell r="BF2338">
            <v>918.36734693877543</v>
          </cell>
          <cell r="BG2338">
            <v>918.36734693877543</v>
          </cell>
          <cell r="BH2338">
            <v>918.36734693877543</v>
          </cell>
          <cell r="BI2338">
            <v>918.36734693877543</v>
          </cell>
          <cell r="BJ2338">
            <v>918.36734693877543</v>
          </cell>
          <cell r="BK2338">
            <v>826.53061224489784</v>
          </cell>
          <cell r="BL2338">
            <v>495.91836734693874</v>
          </cell>
          <cell r="BM2338">
            <v>495.91836734693874</v>
          </cell>
          <cell r="BN2338">
            <v>495.91836734693874</v>
          </cell>
          <cell r="BO2338">
            <v>495.91836734693874</v>
          </cell>
          <cell r="BP2338">
            <v>495.91836734693874</v>
          </cell>
          <cell r="BQ2338">
            <v>495.91836734693874</v>
          </cell>
          <cell r="BR2338">
            <v>495.91836734693874</v>
          </cell>
          <cell r="BS2338">
            <v>495.91836734693874</v>
          </cell>
          <cell r="BT2338">
            <v>495.91836734693874</v>
          </cell>
          <cell r="BU2338">
            <v>495.91836734693874</v>
          </cell>
          <cell r="BV2338">
            <v>495.91836734693874</v>
          </cell>
        </row>
        <row r="2339">
          <cell r="A2339" t="str">
            <v>JLR</v>
          </cell>
          <cell r="B2339" t="str">
            <v>EMA</v>
          </cell>
          <cell r="D2339" t="str">
            <v>TS1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287.05440900562854</v>
          </cell>
          <cell r="AN2339">
            <v>287.05440900562854</v>
          </cell>
          <cell r="AO2339">
            <v>358.81801125703566</v>
          </cell>
          <cell r="AP2339">
            <v>358.81801125703566</v>
          </cell>
          <cell r="AQ2339">
            <v>717.63602251407133</v>
          </cell>
          <cell r="AR2339">
            <v>717.63602251407133</v>
          </cell>
          <cell r="AS2339">
            <v>717.63602251407133</v>
          </cell>
          <cell r="AT2339">
            <v>717.63602251407133</v>
          </cell>
          <cell r="AU2339">
            <v>717.63602251407133</v>
          </cell>
          <cell r="AV2339">
            <v>717.63602251407133</v>
          </cell>
          <cell r="AW2339">
            <v>717.63602251407133</v>
          </cell>
          <cell r="AX2339">
            <v>717.63602251407133</v>
          </cell>
          <cell r="AY2339">
            <v>717.63602251407133</v>
          </cell>
          <cell r="AZ2339">
            <v>0</v>
          </cell>
          <cell r="BA2339">
            <v>0</v>
          </cell>
          <cell r="BB2339">
            <v>717.63602251407133</v>
          </cell>
          <cell r="BC2339">
            <v>1076.4540337711069</v>
          </cell>
          <cell r="BD2339">
            <v>1076.4540337711069</v>
          </cell>
          <cell r="BE2339">
            <v>1076.4540337711069</v>
          </cell>
          <cell r="BF2339">
            <v>1076.4540337711069</v>
          </cell>
          <cell r="BG2339">
            <v>1076.4540337711069</v>
          </cell>
          <cell r="BH2339">
            <v>1076.4540337711069</v>
          </cell>
          <cell r="BI2339">
            <v>1076.4540337711069</v>
          </cell>
          <cell r="BJ2339">
            <v>1076.4540337711069</v>
          </cell>
          <cell r="BK2339">
            <v>0</v>
          </cell>
          <cell r="BL2339">
            <v>0</v>
          </cell>
          <cell r="BM2339">
            <v>0</v>
          </cell>
          <cell r="BN2339">
            <v>0</v>
          </cell>
          <cell r="BO2339">
            <v>0</v>
          </cell>
          <cell r="BP2339">
            <v>0</v>
          </cell>
          <cell r="BQ2339">
            <v>0</v>
          </cell>
          <cell r="BR2339">
            <v>0</v>
          </cell>
          <cell r="BS2339">
            <v>0</v>
          </cell>
          <cell r="BT2339">
            <v>0</v>
          </cell>
          <cell r="BU2339">
            <v>0</v>
          </cell>
          <cell r="BV2339">
            <v>0</v>
          </cell>
        </row>
        <row r="2340">
          <cell r="A2340" t="str">
            <v>JLR</v>
          </cell>
          <cell r="B2340" t="str">
            <v>EMA</v>
          </cell>
          <cell r="D2340" t="str">
            <v>TS2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  <cell r="BK2340">
            <v>0</v>
          </cell>
          <cell r="BL2340">
            <v>0</v>
          </cell>
          <cell r="BM2340">
            <v>0</v>
          </cell>
          <cell r="BN2340">
            <v>0</v>
          </cell>
          <cell r="BO2340">
            <v>0</v>
          </cell>
          <cell r="BP2340">
            <v>0</v>
          </cell>
          <cell r="BQ2340">
            <v>0</v>
          </cell>
          <cell r="BR2340">
            <v>0</v>
          </cell>
          <cell r="BS2340">
            <v>0</v>
          </cell>
          <cell r="BT2340">
            <v>0</v>
          </cell>
          <cell r="BU2340">
            <v>0</v>
          </cell>
          <cell r="BV2340">
            <v>0</v>
          </cell>
        </row>
        <row r="2341">
          <cell r="A2341" t="str">
            <v>JLR</v>
          </cell>
          <cell r="B2341" t="str">
            <v>EMA</v>
          </cell>
          <cell r="D2341" t="str">
            <v>TS3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  <cell r="BK2341">
            <v>0</v>
          </cell>
          <cell r="BL2341">
            <v>0</v>
          </cell>
          <cell r="BM2341">
            <v>0</v>
          </cell>
          <cell r="BN2341">
            <v>0</v>
          </cell>
          <cell r="BO2341">
            <v>0</v>
          </cell>
          <cell r="BP2341">
            <v>0</v>
          </cell>
          <cell r="BQ2341">
            <v>0</v>
          </cell>
          <cell r="BR2341">
            <v>0</v>
          </cell>
          <cell r="BS2341">
            <v>0</v>
          </cell>
          <cell r="BT2341">
            <v>0</v>
          </cell>
          <cell r="BU2341">
            <v>0</v>
          </cell>
          <cell r="BV2341">
            <v>0</v>
          </cell>
        </row>
        <row r="2342">
          <cell r="A2342" t="str">
            <v>JLR</v>
          </cell>
          <cell r="B2342" t="str">
            <v>EMA</v>
          </cell>
          <cell r="D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  <cell r="BK2342">
            <v>0</v>
          </cell>
          <cell r="BL2342">
            <v>0</v>
          </cell>
          <cell r="BM2342">
            <v>0</v>
          </cell>
          <cell r="BN2342">
            <v>0</v>
          </cell>
          <cell r="BO2342">
            <v>0</v>
          </cell>
          <cell r="BP2342">
            <v>0</v>
          </cell>
          <cell r="BQ2342">
            <v>0</v>
          </cell>
          <cell r="BR2342">
            <v>0</v>
          </cell>
          <cell r="BS2342">
            <v>0</v>
          </cell>
          <cell r="BT2342">
            <v>0</v>
          </cell>
          <cell r="BU2342">
            <v>0</v>
          </cell>
          <cell r="BV2342">
            <v>0</v>
          </cell>
        </row>
        <row r="2343">
          <cell r="A2343" t="str">
            <v>JLR</v>
          </cell>
          <cell r="B2343" t="str">
            <v>EMA</v>
          </cell>
          <cell r="D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  <cell r="BK2343">
            <v>0</v>
          </cell>
          <cell r="BL2343">
            <v>0</v>
          </cell>
          <cell r="BM2343">
            <v>0</v>
          </cell>
          <cell r="BN2343">
            <v>0</v>
          </cell>
          <cell r="BO2343">
            <v>0</v>
          </cell>
          <cell r="BP2343">
            <v>0</v>
          </cell>
          <cell r="BQ2343">
            <v>0</v>
          </cell>
          <cell r="BR2343">
            <v>0</v>
          </cell>
          <cell r="BS2343">
            <v>0</v>
          </cell>
          <cell r="BT2343">
            <v>0</v>
          </cell>
          <cell r="BU2343">
            <v>0</v>
          </cell>
          <cell r="BV2343">
            <v>0</v>
          </cell>
        </row>
        <row r="2344">
          <cell r="A2344" t="str">
            <v>JLR</v>
          </cell>
          <cell r="B2344" t="str">
            <v>EMA</v>
          </cell>
          <cell r="D2344" t="str">
            <v>Weekly demand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287.05440900562854</v>
          </cell>
          <cell r="AN2344">
            <v>287.05440900562854</v>
          </cell>
          <cell r="AO2344">
            <v>358.81801125703566</v>
          </cell>
          <cell r="AP2344">
            <v>358.81801125703566</v>
          </cell>
          <cell r="AQ2344">
            <v>717.63602251407133</v>
          </cell>
          <cell r="AR2344">
            <v>717.63602251407133</v>
          </cell>
          <cell r="AS2344">
            <v>717.63602251407133</v>
          </cell>
          <cell r="AT2344">
            <v>717.63602251407133</v>
          </cell>
          <cell r="AU2344">
            <v>717.63602251407133</v>
          </cell>
          <cell r="AV2344">
            <v>717.63602251407133</v>
          </cell>
          <cell r="AW2344">
            <v>717.63602251407133</v>
          </cell>
          <cell r="AX2344">
            <v>717.63602251407133</v>
          </cell>
          <cell r="AY2344">
            <v>717.63602251407133</v>
          </cell>
          <cell r="AZ2344">
            <v>0</v>
          </cell>
          <cell r="BA2344">
            <v>0</v>
          </cell>
          <cell r="BB2344">
            <v>717.63602251407133</v>
          </cell>
          <cell r="BC2344">
            <v>1076.4540337711069</v>
          </cell>
          <cell r="BD2344">
            <v>1076.4540337711069</v>
          </cell>
          <cell r="BE2344">
            <v>1076.4540337711069</v>
          </cell>
          <cell r="BF2344">
            <v>1076.4540337711069</v>
          </cell>
          <cell r="BG2344">
            <v>1076.4540337711069</v>
          </cell>
          <cell r="BH2344">
            <v>1076.4540337711069</v>
          </cell>
          <cell r="BI2344">
            <v>1076.4540337711069</v>
          </cell>
          <cell r="BJ2344">
            <v>1076.4540337711069</v>
          </cell>
          <cell r="BK2344">
            <v>0</v>
          </cell>
          <cell r="BL2344">
            <v>0</v>
          </cell>
          <cell r="BM2344">
            <v>0</v>
          </cell>
          <cell r="BN2344">
            <v>0</v>
          </cell>
          <cell r="BO2344">
            <v>0</v>
          </cell>
          <cell r="BP2344">
            <v>0</v>
          </cell>
          <cell r="BQ2344">
            <v>0</v>
          </cell>
          <cell r="BR2344">
            <v>0</v>
          </cell>
          <cell r="BS2344">
            <v>0</v>
          </cell>
          <cell r="BT2344">
            <v>0</v>
          </cell>
          <cell r="BU2344">
            <v>0</v>
          </cell>
          <cell r="BV2344">
            <v>0</v>
          </cell>
        </row>
        <row r="2345">
          <cell r="A2345" t="str">
            <v>JLR</v>
          </cell>
          <cell r="B2345" t="str">
            <v>EMA</v>
          </cell>
          <cell r="D2345" t="str">
            <v>Stock Target</v>
          </cell>
          <cell r="Z2345"/>
          <cell r="AA2345"/>
          <cell r="AB2345"/>
          <cell r="AC2345"/>
          <cell r="AD2345"/>
          <cell r="AE2345"/>
          <cell r="AF2345"/>
          <cell r="AG2345">
            <v>2547</v>
          </cell>
          <cell r="AH2345">
            <v>2548</v>
          </cell>
          <cell r="AI2345">
            <v>2549</v>
          </cell>
          <cell r="AJ2345">
            <v>2550</v>
          </cell>
          <cell r="AK2345">
            <v>2551</v>
          </cell>
          <cell r="AL2345">
            <v>2552</v>
          </cell>
          <cell r="AM2345">
            <v>2552</v>
          </cell>
          <cell r="AN2345">
            <v>2552</v>
          </cell>
          <cell r="AO2345">
            <v>2552</v>
          </cell>
          <cell r="AP2345">
            <v>2552</v>
          </cell>
          <cell r="AQ2345">
            <v>2552</v>
          </cell>
          <cell r="AR2345">
            <v>2552</v>
          </cell>
          <cell r="AS2345">
            <v>2552</v>
          </cell>
          <cell r="AT2345">
            <v>2552</v>
          </cell>
          <cell r="AU2345">
            <v>2552</v>
          </cell>
          <cell r="AV2345">
            <v>2552</v>
          </cell>
          <cell r="AW2345">
            <v>2552</v>
          </cell>
          <cell r="AX2345">
            <v>2552</v>
          </cell>
          <cell r="AY2345">
            <v>2552</v>
          </cell>
          <cell r="AZ2345">
            <v>2552</v>
          </cell>
          <cell r="BA2345">
            <v>2552</v>
          </cell>
          <cell r="BB2345">
            <v>2552</v>
          </cell>
          <cell r="BC2345">
            <v>2552</v>
          </cell>
          <cell r="BD2345">
            <v>2552</v>
          </cell>
          <cell r="BE2345">
            <v>2552</v>
          </cell>
          <cell r="BF2345">
            <v>2552</v>
          </cell>
          <cell r="BG2345">
            <v>2552</v>
          </cell>
          <cell r="BH2345">
            <v>2552</v>
          </cell>
          <cell r="BI2345">
            <v>2552</v>
          </cell>
          <cell r="BJ2345">
            <v>2552</v>
          </cell>
          <cell r="BK2345">
            <v>2552</v>
          </cell>
          <cell r="BL2345">
            <v>2552</v>
          </cell>
          <cell r="BM2345">
            <v>2552</v>
          </cell>
          <cell r="BN2345">
            <v>2553</v>
          </cell>
          <cell r="BO2345">
            <v>2554</v>
          </cell>
          <cell r="BP2345">
            <v>2555</v>
          </cell>
          <cell r="BQ2345">
            <v>2556</v>
          </cell>
          <cell r="BR2345">
            <v>2557</v>
          </cell>
          <cell r="BS2345">
            <v>2558</v>
          </cell>
          <cell r="BT2345">
            <v>2559</v>
          </cell>
          <cell r="BU2345">
            <v>2560</v>
          </cell>
          <cell r="BV2345">
            <v>2561</v>
          </cell>
        </row>
        <row r="2346">
          <cell r="A2346" t="str">
            <v>JLR</v>
          </cell>
          <cell r="B2346" t="str">
            <v>EMA</v>
          </cell>
          <cell r="D2346" t="str">
            <v>TS1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-287.05440900562854</v>
          </cell>
          <cell r="AN2346">
            <v>-287.05440900562854</v>
          </cell>
          <cell r="AO2346">
            <v>-645.87242026266426</v>
          </cell>
          <cell r="AP2346">
            <v>-645.87242026266426</v>
          </cell>
          <cell r="AQ2346">
            <v>-1363.5084427767356</v>
          </cell>
          <cell r="AR2346">
            <v>-1363.5084427767356</v>
          </cell>
          <cell r="AS2346">
            <v>-2081.1444652908067</v>
          </cell>
          <cell r="AT2346">
            <v>-2081.1444652908067</v>
          </cell>
          <cell r="AU2346">
            <v>-2798.7804878048782</v>
          </cell>
          <cell r="AV2346">
            <v>-2798.7804878048782</v>
          </cell>
          <cell r="AW2346">
            <v>-3516.4165103189498</v>
          </cell>
          <cell r="AX2346">
            <v>-3516.4165103189498</v>
          </cell>
          <cell r="AY2346">
            <v>-4234.0525328330214</v>
          </cell>
          <cell r="AZ2346">
            <v>-3516.4165103189498</v>
          </cell>
          <cell r="BA2346">
            <v>-4234.0525328330214</v>
          </cell>
          <cell r="BB2346">
            <v>-4234.0525328330214</v>
          </cell>
          <cell r="BC2346">
            <v>-5310.5065666041282</v>
          </cell>
          <cell r="BD2346">
            <v>-5310.5065666041282</v>
          </cell>
          <cell r="BE2346">
            <v>-6386.9606003752351</v>
          </cell>
          <cell r="BF2346">
            <v>-6386.9606003752351</v>
          </cell>
          <cell r="BG2346">
            <v>-7463.414634146342</v>
          </cell>
          <cell r="BH2346">
            <v>-7463.414634146342</v>
          </cell>
          <cell r="BI2346">
            <v>-8539.8686679174498</v>
          </cell>
          <cell r="BJ2346">
            <v>-8539.8686679174498</v>
          </cell>
          <cell r="BK2346">
            <v>-8539.8686679174498</v>
          </cell>
          <cell r="BL2346">
            <v>-8539.8686679174498</v>
          </cell>
          <cell r="BM2346">
            <v>-8539.8686679174498</v>
          </cell>
          <cell r="BN2346">
            <v>-8539.8686679174498</v>
          </cell>
          <cell r="BO2346">
            <v>-8539.8686679174498</v>
          </cell>
          <cell r="BP2346">
            <v>-8539.8686679174498</v>
          </cell>
          <cell r="BQ2346">
            <v>-8539.8686679174498</v>
          </cell>
          <cell r="BR2346">
            <v>-8539.8686679174498</v>
          </cell>
          <cell r="BS2346">
            <v>-8539.8686679174498</v>
          </cell>
          <cell r="BT2346">
            <v>-8539.8686679174498</v>
          </cell>
          <cell r="BU2346">
            <v>-8539.8686679174498</v>
          </cell>
          <cell r="BV2346">
            <v>-8539.8686679174498</v>
          </cell>
        </row>
        <row r="2347">
          <cell r="A2347" t="str">
            <v>JLR</v>
          </cell>
          <cell r="B2347" t="str">
            <v>EMA</v>
          </cell>
          <cell r="D2347" t="str">
            <v>TS2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  <cell r="BK2347">
            <v>0</v>
          </cell>
          <cell r="BL2347">
            <v>0</v>
          </cell>
          <cell r="BM2347">
            <v>0</v>
          </cell>
          <cell r="BN2347">
            <v>0</v>
          </cell>
          <cell r="BO2347">
            <v>0</v>
          </cell>
          <cell r="BP2347">
            <v>0</v>
          </cell>
          <cell r="BQ2347">
            <v>0</v>
          </cell>
          <cell r="BR2347">
            <v>0</v>
          </cell>
          <cell r="BS2347">
            <v>0</v>
          </cell>
          <cell r="BT2347">
            <v>0</v>
          </cell>
          <cell r="BU2347">
            <v>0</v>
          </cell>
          <cell r="BV2347">
            <v>0</v>
          </cell>
        </row>
        <row r="2348">
          <cell r="A2348" t="str">
            <v>JLR</v>
          </cell>
          <cell r="B2348" t="str">
            <v>EMA</v>
          </cell>
          <cell r="D2348" t="str">
            <v>TS3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  <cell r="BK2348">
            <v>0</v>
          </cell>
          <cell r="BL2348">
            <v>0</v>
          </cell>
          <cell r="BM2348">
            <v>0</v>
          </cell>
          <cell r="BN2348">
            <v>0</v>
          </cell>
          <cell r="BO2348">
            <v>0</v>
          </cell>
          <cell r="BP2348">
            <v>0</v>
          </cell>
          <cell r="BQ2348">
            <v>0</v>
          </cell>
          <cell r="BR2348">
            <v>0</v>
          </cell>
          <cell r="BS2348">
            <v>0</v>
          </cell>
          <cell r="BT2348">
            <v>0</v>
          </cell>
          <cell r="BU2348">
            <v>0</v>
          </cell>
          <cell r="BV2348">
            <v>0</v>
          </cell>
        </row>
        <row r="2349">
          <cell r="A2349" t="str">
            <v>JLR</v>
          </cell>
          <cell r="B2349" t="str">
            <v>EMA</v>
          </cell>
          <cell r="D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  <cell r="BK2349">
            <v>0</v>
          </cell>
          <cell r="BL2349">
            <v>0</v>
          </cell>
          <cell r="BM2349">
            <v>0</v>
          </cell>
          <cell r="BN2349">
            <v>0</v>
          </cell>
          <cell r="BO2349">
            <v>0</v>
          </cell>
          <cell r="BP2349">
            <v>0</v>
          </cell>
          <cell r="BQ2349">
            <v>0</v>
          </cell>
          <cell r="BR2349">
            <v>0</v>
          </cell>
          <cell r="BS2349">
            <v>0</v>
          </cell>
          <cell r="BT2349">
            <v>0</v>
          </cell>
          <cell r="BU2349">
            <v>0</v>
          </cell>
          <cell r="BV2349">
            <v>0</v>
          </cell>
        </row>
        <row r="2350">
          <cell r="A2350" t="str">
            <v>JLR</v>
          </cell>
          <cell r="B2350" t="str">
            <v>EMA</v>
          </cell>
          <cell r="D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  <cell r="BK2350">
            <v>0</v>
          </cell>
          <cell r="BL2350">
            <v>0</v>
          </cell>
          <cell r="BM2350">
            <v>0</v>
          </cell>
          <cell r="BN2350">
            <v>0</v>
          </cell>
          <cell r="BO2350">
            <v>0</v>
          </cell>
          <cell r="BP2350">
            <v>0</v>
          </cell>
          <cell r="BQ2350">
            <v>0</v>
          </cell>
          <cell r="BR2350">
            <v>0</v>
          </cell>
          <cell r="BS2350">
            <v>0</v>
          </cell>
          <cell r="BT2350">
            <v>0</v>
          </cell>
          <cell r="BU2350">
            <v>0</v>
          </cell>
          <cell r="BV2350">
            <v>0</v>
          </cell>
        </row>
        <row r="2351">
          <cell r="A2351" t="str">
            <v>JLR</v>
          </cell>
          <cell r="B2351" t="str">
            <v>EMA</v>
          </cell>
          <cell r="D2351" t="str">
            <v>STOCK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160.71428571428569</v>
          </cell>
          <cell r="AH2351">
            <v>321.42857142857139</v>
          </cell>
          <cell r="AI2351">
            <v>665.81632653061229</v>
          </cell>
          <cell r="AJ2351">
            <v>1033.1632653061224</v>
          </cell>
          <cell r="AK2351">
            <v>1345.408163265306</v>
          </cell>
          <cell r="AL2351">
            <v>1676.0204081632651</v>
          </cell>
          <cell r="AM2351">
            <v>1825.1904889535549</v>
          </cell>
          <cell r="AN2351">
            <v>1905.4830187234365</v>
          </cell>
          <cell r="AO2351">
            <v>2465.0323544051762</v>
          </cell>
          <cell r="AP2351">
            <v>3024.5816900869158</v>
          </cell>
          <cell r="AQ2351">
            <v>3225.3130145116197</v>
          </cell>
          <cell r="AR2351">
            <v>3426.044338936324</v>
          </cell>
          <cell r="AS2351">
            <v>3626.7756633610284</v>
          </cell>
          <cell r="AT2351">
            <v>3827.5069877857327</v>
          </cell>
          <cell r="AU2351">
            <v>4028.238312210437</v>
          </cell>
          <cell r="AV2351">
            <v>4228.9696366351418</v>
          </cell>
          <cell r="AW2351">
            <v>4429.7009610598452</v>
          </cell>
          <cell r="AX2351">
            <v>4630.4322854845486</v>
          </cell>
          <cell r="AY2351">
            <v>4831.163609909252</v>
          </cell>
          <cell r="AZ2351">
            <v>4831.163609909252</v>
          </cell>
          <cell r="BA2351">
            <v>4831.163609909252</v>
          </cell>
          <cell r="BB2351">
            <v>5031.8949343339555</v>
          </cell>
          <cell r="BC2351">
            <v>4873.8082475016236</v>
          </cell>
          <cell r="BD2351">
            <v>4715.7215606692916</v>
          </cell>
          <cell r="BE2351">
            <v>4557.6348738369597</v>
          </cell>
          <cell r="BF2351">
            <v>4399.5481870046278</v>
          </cell>
          <cell r="BG2351">
            <v>4241.4615001722959</v>
          </cell>
          <cell r="BH2351">
            <v>4083.3748133399645</v>
          </cell>
          <cell r="BI2351">
            <v>3925.288126507633</v>
          </cell>
          <cell r="BJ2351">
            <v>3767.2014396753016</v>
          </cell>
          <cell r="BK2351">
            <v>4593.7320519201994</v>
          </cell>
          <cell r="BL2351">
            <v>5089.6504192671382</v>
          </cell>
          <cell r="BM2351">
            <v>5585.568786614077</v>
          </cell>
          <cell r="BN2351">
            <v>6081.4871539610158</v>
          </cell>
          <cell r="BO2351">
            <v>6577.4055213079546</v>
          </cell>
          <cell r="BP2351">
            <v>7073.3238886548934</v>
          </cell>
          <cell r="BQ2351">
            <v>7569.2422560018322</v>
          </cell>
          <cell r="BR2351">
            <v>8065.160623348771</v>
          </cell>
          <cell r="BS2351">
            <v>8561.0789906957089</v>
          </cell>
          <cell r="BT2351">
            <v>9056.9973580426467</v>
          </cell>
          <cell r="BU2351">
            <v>9552.9157253895846</v>
          </cell>
          <cell r="BV2351">
            <v>10048.834092736523</v>
          </cell>
        </row>
        <row r="2352">
          <cell r="A2352" t="str">
            <v>Blank</v>
          </cell>
          <cell r="B2352" t="str">
            <v>Blank</v>
          </cell>
          <cell r="D2352" t="str">
            <v>Blank</v>
          </cell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"/>
    </sheetNames>
    <sheetDataSet>
      <sheetData sheetId="0">
        <row r="1">
          <cell r="A1" t="str">
            <v>Prod Line</v>
          </cell>
          <cell r="B1" t="str">
            <v>Project</v>
          </cell>
          <cell r="E1" t="str">
            <v>Project_Key</v>
          </cell>
        </row>
        <row r="2">
          <cell r="A2" t="str">
            <v>B_FG</v>
          </cell>
          <cell r="B2" t="str">
            <v>DAIMLER</v>
          </cell>
          <cell r="E2" t="str">
            <v>DAIMLER_BR223_SEW</v>
          </cell>
        </row>
        <row r="3">
          <cell r="A3" t="str">
            <v>B_FG</v>
          </cell>
          <cell r="B3" t="str">
            <v>DAIMLER</v>
          </cell>
          <cell r="E3" t="str">
            <v>DAIMLER_BR223 LTH_SEW</v>
          </cell>
        </row>
        <row r="4">
          <cell r="A4" t="str">
            <v>F_FG</v>
          </cell>
          <cell r="B4" t="str">
            <v>FIAT</v>
          </cell>
          <cell r="E4" t="str">
            <v>FIAT_J516 / VINYL_SEW</v>
          </cell>
        </row>
        <row r="5">
          <cell r="A5" t="str">
            <v>F_FG</v>
          </cell>
          <cell r="B5" t="str">
            <v>FIAT</v>
          </cell>
          <cell r="E5" t="str">
            <v>FIAT_J516 / FABRIC_SEW</v>
          </cell>
        </row>
        <row r="6">
          <cell r="A6" t="str">
            <v>P_FG</v>
          </cell>
          <cell r="B6" t="str">
            <v>PORSCHE</v>
          </cell>
          <cell r="E6" t="str">
            <v>PORSCHE_PO426 ARM_SEW</v>
          </cell>
        </row>
        <row r="7">
          <cell r="A7" t="str">
            <v>P_FG</v>
          </cell>
          <cell r="B7" t="str">
            <v>PORSCHE</v>
          </cell>
          <cell r="E7" t="str">
            <v>PORSCHE_PO426 Gueset_SEW</v>
          </cell>
        </row>
        <row r="8">
          <cell r="A8" t="str">
            <v>P_FG</v>
          </cell>
          <cell r="B8" t="str">
            <v>PORSCHE</v>
          </cell>
          <cell r="E8" t="str">
            <v>PORSCHE_PO426 FHR&amp;ROHR_SEW</v>
          </cell>
        </row>
        <row r="9">
          <cell r="A9" t="str">
            <v>V_FG</v>
          </cell>
          <cell r="B9" t="str">
            <v>Volvo PIP</v>
          </cell>
          <cell r="E9" t="str">
            <v>Volvo PIP_EX30 PIP Outer_SEW</v>
          </cell>
        </row>
        <row r="10">
          <cell r="A10" t="str">
            <v>V_FG</v>
          </cell>
          <cell r="B10" t="str">
            <v>Volvo PIP</v>
          </cell>
          <cell r="E10" t="str">
            <v>Volvo PIP_EX30 PIP Center_SEW</v>
          </cell>
        </row>
        <row r="11">
          <cell r="A11" t="str">
            <v>T_FG</v>
          </cell>
          <cell r="B11" t="str">
            <v>Nissan</v>
          </cell>
          <cell r="E11" t="str">
            <v>Nissan_P13A PIP_SEW</v>
          </cell>
        </row>
        <row r="12">
          <cell r="A12" t="str">
            <v>Z_FG</v>
          </cell>
          <cell r="B12" t="str">
            <v>Citroen</v>
          </cell>
          <cell r="E12" t="str">
            <v>Citroen_C4 PIP_SEW</v>
          </cell>
        </row>
        <row r="13">
          <cell r="A13" t="str">
            <v>G_FG</v>
          </cell>
          <cell r="B13" t="str">
            <v>Nissan</v>
          </cell>
          <cell r="E13" t="str">
            <v>Nissan_PZ1D_SEW</v>
          </cell>
        </row>
        <row r="14">
          <cell r="A14" t="str">
            <v>U_FG</v>
          </cell>
          <cell r="B14" t="str">
            <v>CV</v>
          </cell>
          <cell r="E14" t="str">
            <v>CV_MAN_SEW</v>
          </cell>
        </row>
        <row r="15">
          <cell r="A15" t="str">
            <v>E_FG</v>
          </cell>
          <cell r="B15" t="str">
            <v>CV</v>
          </cell>
          <cell r="E15" t="str">
            <v>CV_Scania_SEW</v>
          </cell>
        </row>
        <row r="16">
          <cell r="A16" t="str">
            <v>E_FG</v>
          </cell>
          <cell r="B16" t="str">
            <v>CV</v>
          </cell>
          <cell r="E16" t="str">
            <v>CV_Scania FL_SEW</v>
          </cell>
        </row>
        <row r="17">
          <cell r="A17" t="str">
            <v>R_FG</v>
          </cell>
          <cell r="B17" t="str">
            <v>CV</v>
          </cell>
          <cell r="E17" t="str">
            <v>CV_Renault_SEW</v>
          </cell>
        </row>
        <row r="18">
          <cell r="A18" t="str">
            <v>H_FG</v>
          </cell>
          <cell r="B18" t="str">
            <v>Renault</v>
          </cell>
          <cell r="E18" t="str">
            <v>Renault_BJA_SEW</v>
          </cell>
        </row>
        <row r="19">
          <cell r="A19" t="str">
            <v>H_FG</v>
          </cell>
          <cell r="B19" t="str">
            <v>SBP Press</v>
          </cell>
          <cell r="E19" t="str">
            <v>SBP Press_BJA_SEW</v>
          </cell>
        </row>
        <row r="20">
          <cell r="A20" t="str">
            <v>K_FG</v>
          </cell>
          <cell r="B20" t="str">
            <v>KIA</v>
          </cell>
          <cell r="E20" t="str">
            <v>KIA_CD/CTE_ASSY</v>
          </cell>
        </row>
        <row r="21">
          <cell r="A21" t="str">
            <v>Q_FG</v>
          </cell>
          <cell r="B21" t="str">
            <v>KIA</v>
          </cell>
          <cell r="E21" t="str">
            <v>KIA_CD/CTE_SEW</v>
          </cell>
        </row>
        <row r="22">
          <cell r="A22" t="str">
            <v>K_FG</v>
          </cell>
          <cell r="B22" t="str">
            <v>KIA</v>
          </cell>
          <cell r="E22" t="str">
            <v>KIA_SZ1E_ASSY</v>
          </cell>
        </row>
        <row r="23">
          <cell r="A23" t="str">
            <v>Q_FG</v>
          </cell>
          <cell r="B23" t="str">
            <v>KIA</v>
          </cell>
          <cell r="E23" t="str">
            <v>KIA_SZ1E_SEW</v>
          </cell>
        </row>
        <row r="24">
          <cell r="A24" t="str">
            <v>C_FG</v>
          </cell>
          <cell r="B24" t="str">
            <v>CDPO</v>
          </cell>
          <cell r="E24" t="str">
            <v>CDPO_P64/CR3/OV64_ASSY</v>
          </cell>
        </row>
        <row r="25">
          <cell r="A25" t="str">
            <v>Z_FG</v>
          </cell>
          <cell r="B25" t="str">
            <v>CDPO</v>
          </cell>
          <cell r="E25" t="str">
            <v>CDPO_P64/CR3/OV64_SEW</v>
          </cell>
        </row>
        <row r="26">
          <cell r="A26" t="str">
            <v>C_FG</v>
          </cell>
          <cell r="B26" t="str">
            <v>CDPO</v>
          </cell>
          <cell r="E26" t="str">
            <v>CDPO_P74_ASSY</v>
          </cell>
        </row>
        <row r="27">
          <cell r="A27" t="str">
            <v>Z_FG</v>
          </cell>
          <cell r="B27" t="str">
            <v>CDPO</v>
          </cell>
          <cell r="E27" t="str">
            <v>CDPO_P74_SEW</v>
          </cell>
        </row>
        <row r="28">
          <cell r="A28" t="str">
            <v>L_FG</v>
          </cell>
          <cell r="B28" t="str">
            <v>JLR</v>
          </cell>
          <cell r="E28" t="str">
            <v>JLR_L551_ASSY</v>
          </cell>
        </row>
        <row r="29">
          <cell r="A29" t="str">
            <v>J_FG</v>
          </cell>
          <cell r="B29" t="str">
            <v>JLR</v>
          </cell>
          <cell r="E29" t="str">
            <v>JLR_L551_SEW</v>
          </cell>
        </row>
        <row r="30">
          <cell r="A30" t="str">
            <v>M_FG</v>
          </cell>
          <cell r="B30" t="str">
            <v>MMA</v>
          </cell>
          <cell r="E30" t="str">
            <v>MMA_ARM_ASSY</v>
          </cell>
        </row>
        <row r="31">
          <cell r="A31" t="str">
            <v>N_FG</v>
          </cell>
          <cell r="B31" t="str">
            <v>MMA</v>
          </cell>
          <cell r="E31" t="str">
            <v>MMA_ARM_SEW</v>
          </cell>
        </row>
        <row r="32">
          <cell r="A32" t="str">
            <v>M_FG</v>
          </cell>
          <cell r="B32" t="str">
            <v>MMA</v>
          </cell>
          <cell r="E32" t="str">
            <v>MMA_2WAY_ASSY</v>
          </cell>
        </row>
        <row r="33">
          <cell r="A33" t="str">
            <v>N_FG</v>
          </cell>
          <cell r="B33" t="str">
            <v>MMA</v>
          </cell>
          <cell r="E33" t="str">
            <v>MMA_2WAY_SEW</v>
          </cell>
        </row>
        <row r="34">
          <cell r="A34" t="str">
            <v>M_FG</v>
          </cell>
          <cell r="B34" t="str">
            <v>MMA</v>
          </cell>
          <cell r="E34" t="str">
            <v>MMA_CARRIER_ASSY</v>
          </cell>
        </row>
        <row r="35">
          <cell r="A35" t="str">
            <v>M_FG</v>
          </cell>
          <cell r="B35" t="str">
            <v>MMA</v>
          </cell>
          <cell r="E35" t="str">
            <v>MMA_4WAY_ASSY</v>
          </cell>
        </row>
        <row r="36">
          <cell r="A36" t="str">
            <v>N_FG</v>
          </cell>
          <cell r="B36" t="str">
            <v>MMA</v>
          </cell>
          <cell r="E36" t="str">
            <v>MMA_4WAY_SEW</v>
          </cell>
        </row>
        <row r="37">
          <cell r="A37" t="str">
            <v>M_FG</v>
          </cell>
          <cell r="B37" t="str">
            <v>MMA</v>
          </cell>
          <cell r="E37" t="str">
            <v>MMA_ROHR_ASSY</v>
          </cell>
        </row>
        <row r="38">
          <cell r="A38" t="str">
            <v>N_FG</v>
          </cell>
          <cell r="B38" t="str">
            <v>MMA</v>
          </cell>
          <cell r="E38" t="str">
            <v>MMA_ROHR_SEW</v>
          </cell>
        </row>
        <row r="39">
          <cell r="A39" t="str">
            <v>M_FG</v>
          </cell>
          <cell r="B39" t="str">
            <v>MMA</v>
          </cell>
          <cell r="E39" t="str">
            <v>MMA_RCHR_ASSY</v>
          </cell>
        </row>
        <row r="40">
          <cell r="A40" t="str">
            <v>N_FG</v>
          </cell>
          <cell r="B40" t="str">
            <v>MMA</v>
          </cell>
          <cell r="E40" t="str">
            <v>MMA_RCHR_SEW</v>
          </cell>
        </row>
        <row r="41">
          <cell r="A41" t="str">
            <v>M_FG</v>
          </cell>
          <cell r="B41" t="str">
            <v>MMA</v>
          </cell>
          <cell r="E41" t="str">
            <v>MMA_3RD ROW_ASSY</v>
          </cell>
        </row>
        <row r="42">
          <cell r="A42" t="str">
            <v>N_FG</v>
          </cell>
          <cell r="B42" t="str">
            <v>MMA</v>
          </cell>
          <cell r="E42" t="str">
            <v>MMA_3RD ROW_SEW</v>
          </cell>
        </row>
        <row r="43">
          <cell r="A43" t="str">
            <v>O_FG</v>
          </cell>
          <cell r="B43" t="str">
            <v>Opel</v>
          </cell>
          <cell r="E43" t="str">
            <v>Opel_ARM_ASSY</v>
          </cell>
        </row>
        <row r="44">
          <cell r="A44" t="str">
            <v>V_FG</v>
          </cell>
          <cell r="B44" t="str">
            <v>Opel</v>
          </cell>
          <cell r="E44" t="str">
            <v>Opel_FHR_ASSY</v>
          </cell>
        </row>
        <row r="45">
          <cell r="A45" t="str">
            <v>S_FG</v>
          </cell>
          <cell r="B45" t="str">
            <v>Opel</v>
          </cell>
          <cell r="E45" t="str">
            <v>Opel_FHR&amp;ARM_SEW</v>
          </cell>
        </row>
        <row r="46">
          <cell r="A46" t="str">
            <v>V_FG</v>
          </cell>
          <cell r="B46" t="str">
            <v>Volvo</v>
          </cell>
          <cell r="E46" t="str">
            <v>Volvo_ROHR_ASSY</v>
          </cell>
        </row>
        <row r="47">
          <cell r="A47" t="str">
            <v>A_FG</v>
          </cell>
          <cell r="B47" t="str">
            <v>Volvo</v>
          </cell>
          <cell r="E47" t="str">
            <v>Volvo_ROHR Insourcing_SEW</v>
          </cell>
        </row>
        <row r="48">
          <cell r="A48" t="str">
            <v>V_FG</v>
          </cell>
          <cell r="B48" t="str">
            <v>Volvo</v>
          </cell>
          <cell r="E48" t="str">
            <v>Volvo_LOW SPEC_ASSY</v>
          </cell>
        </row>
        <row r="49">
          <cell r="A49" t="str">
            <v>A_FG</v>
          </cell>
          <cell r="B49" t="str">
            <v>Volvo</v>
          </cell>
          <cell r="E49" t="str">
            <v>Volvo_LOW SPEC_SEW</v>
          </cell>
        </row>
        <row r="50">
          <cell r="A50" t="str">
            <v>V_FG</v>
          </cell>
          <cell r="B50" t="str">
            <v>Volvo</v>
          </cell>
          <cell r="E50" t="str">
            <v>Volvo_ROHR - NEW_ASSY</v>
          </cell>
        </row>
        <row r="51">
          <cell r="A51" t="str">
            <v>A_FG</v>
          </cell>
          <cell r="B51" t="str">
            <v>Volvo</v>
          </cell>
          <cell r="E51" t="str">
            <v>Volvo_ROHR - NEW_SEW</v>
          </cell>
        </row>
        <row r="52">
          <cell r="A52" t="str">
            <v>V_FG</v>
          </cell>
          <cell r="B52" t="str">
            <v>Volvo EX30</v>
          </cell>
          <cell r="E52" t="str">
            <v>Volvo EX30_FHR_ASSY</v>
          </cell>
        </row>
        <row r="53">
          <cell r="A53" t="str">
            <v>A_FG</v>
          </cell>
          <cell r="B53" t="str">
            <v>Volvo EX30</v>
          </cell>
          <cell r="E53" t="str">
            <v>Volvo EX30_FHR_SEW</v>
          </cell>
        </row>
        <row r="54">
          <cell r="A54" t="str">
            <v>V_FG</v>
          </cell>
          <cell r="B54" t="str">
            <v>Volvo GPA</v>
          </cell>
          <cell r="E54" t="str">
            <v>Volvo GPA_FHR_ASSY</v>
          </cell>
        </row>
        <row r="55">
          <cell r="A55" t="str">
            <v>A_FG</v>
          </cell>
          <cell r="B55" t="str">
            <v>Volvo GPA</v>
          </cell>
          <cell r="E55" t="str">
            <v>Volvo GPA_FHR_SEW</v>
          </cell>
        </row>
        <row r="56">
          <cell r="A56" t="str">
            <v>V_FG</v>
          </cell>
          <cell r="B56" t="str">
            <v>Volvo GPA</v>
          </cell>
          <cell r="E56" t="str">
            <v>Volvo GPA_ARM_ASSY</v>
          </cell>
        </row>
        <row r="57">
          <cell r="A57" t="str">
            <v>A_FG</v>
          </cell>
          <cell r="B57" t="str">
            <v>Volvo GPA</v>
          </cell>
          <cell r="E57" t="str">
            <v>Volvo GPA_ARM_SEW</v>
          </cell>
        </row>
        <row r="58">
          <cell r="A58" t="str">
            <v>V_FG</v>
          </cell>
          <cell r="B58" t="str">
            <v>Volvo GPA</v>
          </cell>
          <cell r="E58" t="str">
            <v>Volvo GPA_ROHR_ASSY</v>
          </cell>
        </row>
        <row r="59">
          <cell r="A59" t="str">
            <v>A_FG</v>
          </cell>
          <cell r="B59" t="str">
            <v>Volvo GPA</v>
          </cell>
          <cell r="E59" t="str">
            <v>Volvo GPA_ROHR_SEW</v>
          </cell>
        </row>
        <row r="60">
          <cell r="A60" t="str">
            <v>V_FG</v>
          </cell>
          <cell r="B60" t="str">
            <v>Volvo GPA</v>
          </cell>
          <cell r="E60" t="str">
            <v>Volvo GPA_SB_ASSY</v>
          </cell>
        </row>
        <row r="61">
          <cell r="A61" t="str">
            <v>A_FG</v>
          </cell>
          <cell r="B61" t="str">
            <v>Volvo GPA</v>
          </cell>
          <cell r="E61" t="str">
            <v>Volvo GPA_SB_SEW</v>
          </cell>
        </row>
        <row r="62">
          <cell r="A62" t="str">
            <v>L_FG</v>
          </cell>
          <cell r="B62" t="str">
            <v>JLR</v>
          </cell>
          <cell r="E62" t="str">
            <v>JLR_EMA_ASSY</v>
          </cell>
        </row>
        <row r="63">
          <cell r="A63" t="str">
            <v>J_FG</v>
          </cell>
          <cell r="B63" t="str">
            <v>JLR</v>
          </cell>
          <cell r="E63" t="str">
            <v>JLR_EMA_SEW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47E1-E905-4F44-906D-6A58B83B028D}">
  <dimension ref="A1:BA64"/>
  <sheetViews>
    <sheetView tabSelected="1" topLeftCell="A20" workbookViewId="0">
      <selection activeCell="E2" sqref="E2:E63"/>
    </sheetView>
  </sheetViews>
  <sheetFormatPr defaultRowHeight="14.25"/>
  <cols>
    <col min="2" max="2" width="9.875" bestFit="1" customWidth="1"/>
    <col min="3" max="4" width="10.5" bestFit="1" customWidth="1"/>
    <col min="5" max="53" width="9.875" bestFit="1" customWidth="1"/>
  </cols>
  <sheetData>
    <row r="1" spans="1:53">
      <c r="A1" t="s">
        <v>0</v>
      </c>
      <c r="B1" t="s">
        <v>2</v>
      </c>
      <c r="C1" t="s">
        <v>3</v>
      </c>
      <c r="D1" t="s">
        <v>1</v>
      </c>
      <c r="E1" s="1" cm="1">
        <f t="array" ref="E1:BA1">[1]PLANING!$Z63:$BV$63</f>
        <v>46041</v>
      </c>
      <c r="F1" s="2">
        <v>46048</v>
      </c>
      <c r="G1" s="2">
        <v>46055</v>
      </c>
      <c r="H1" s="2">
        <v>46062</v>
      </c>
      <c r="I1" s="2">
        <v>46069</v>
      </c>
      <c r="J1" s="2">
        <v>46076</v>
      </c>
      <c r="K1" s="2">
        <v>46083</v>
      </c>
      <c r="L1" s="2">
        <v>46090</v>
      </c>
      <c r="M1" s="2">
        <v>46097</v>
      </c>
      <c r="N1" s="2">
        <v>46104</v>
      </c>
      <c r="O1" s="2">
        <v>46111</v>
      </c>
      <c r="P1" s="2">
        <v>46118</v>
      </c>
      <c r="Q1" s="2">
        <v>46125</v>
      </c>
      <c r="R1" s="2">
        <v>46132</v>
      </c>
      <c r="S1" s="2">
        <v>46139</v>
      </c>
      <c r="T1" s="2">
        <v>46146</v>
      </c>
      <c r="U1" s="2">
        <v>46153</v>
      </c>
      <c r="V1" s="2">
        <v>46160</v>
      </c>
      <c r="W1" s="2">
        <v>46167</v>
      </c>
      <c r="X1" s="2">
        <v>46174</v>
      </c>
      <c r="Y1" s="2">
        <v>46181</v>
      </c>
      <c r="Z1" s="2">
        <v>46188</v>
      </c>
      <c r="AA1" s="2">
        <v>46195</v>
      </c>
      <c r="AB1" s="2">
        <v>46202</v>
      </c>
      <c r="AC1" s="2">
        <v>46209</v>
      </c>
      <c r="AD1" s="2">
        <v>46216</v>
      </c>
      <c r="AE1" s="2">
        <v>46223</v>
      </c>
      <c r="AF1" s="2">
        <v>46230</v>
      </c>
      <c r="AG1" s="2">
        <v>46237</v>
      </c>
      <c r="AH1" s="2">
        <v>46244</v>
      </c>
      <c r="AI1" s="2">
        <v>46251</v>
      </c>
      <c r="AJ1" s="2">
        <v>46258</v>
      </c>
      <c r="AK1" s="2">
        <v>46265</v>
      </c>
      <c r="AL1" s="2">
        <v>46272</v>
      </c>
      <c r="AM1" s="2">
        <v>46279</v>
      </c>
      <c r="AN1" s="2">
        <v>46286</v>
      </c>
      <c r="AO1" s="2">
        <v>46293</v>
      </c>
      <c r="AP1" s="2">
        <v>46300</v>
      </c>
      <c r="AQ1" s="2">
        <v>46307</v>
      </c>
      <c r="AR1" s="2">
        <v>46314</v>
      </c>
      <c r="AS1" s="2">
        <v>46321</v>
      </c>
      <c r="AT1" s="2">
        <v>46328</v>
      </c>
      <c r="AU1" s="2">
        <v>46335</v>
      </c>
      <c r="AV1" s="2">
        <v>46342</v>
      </c>
      <c r="AW1" s="2">
        <v>46349</v>
      </c>
      <c r="AX1" s="2">
        <v>46356</v>
      </c>
      <c r="AY1" s="2">
        <v>46363</v>
      </c>
      <c r="AZ1" s="2">
        <v>46370</v>
      </c>
      <c r="BA1" s="2">
        <v>46377</v>
      </c>
    </row>
    <row r="2" spans="1:53">
      <c r="A2" t="str">
        <f>IF(B2="","",_xlfn.XLOOKUP(B2&amp;"_"&amp;C2&amp;"_"&amp;D2,[2]ref!$E:$E,[2]ref!$A:$A))</f>
        <v>B_FG</v>
      </c>
      <c r="B2" t="str" cm="1">
        <f t="array" ref="B2:C63">_xlfn._xlws.FILTER([1]PLANING!$A:$B,([1]PLANING!$D:$D="Weekly Output PLAN")*([1]PLANING!$A:$A&lt;&gt;"blank"))</f>
        <v>DAIMLER</v>
      </c>
      <c r="C2" t="str">
        <v>BR223</v>
      </c>
      <c r="D2" t="str" cm="1">
        <f t="array" ref="D2:D63">_xlfn._xlws.FILTER([1]PLANING!$E:$E,([1]PLANING!$D:$D="Weekly Output PLAN")*([1]PLANING!$A:$A&lt;&gt;"blank"))</f>
        <v>SEW</v>
      </c>
      <c r="E2" cm="1">
        <f t="array" ref="E2:BA63">ROUND(_xlfn._xlws.FILTER([1]PLANING!$Z:$BV,([1]PLANING!$D:$D="Weekly Output PLAN")*([1]PLANING!$A:$A&lt;&gt;"blank")),0)</f>
        <v>2465</v>
      </c>
      <c r="F2">
        <v>2583</v>
      </c>
      <c r="G2">
        <v>2387</v>
      </c>
      <c r="H2">
        <v>2191</v>
      </c>
      <c r="I2">
        <v>1479</v>
      </c>
      <c r="J2">
        <v>3443</v>
      </c>
      <c r="K2">
        <v>3952</v>
      </c>
      <c r="L2">
        <v>4461</v>
      </c>
      <c r="M2">
        <v>4578</v>
      </c>
      <c r="N2">
        <v>4696</v>
      </c>
      <c r="O2">
        <v>4813</v>
      </c>
      <c r="P2">
        <v>3944</v>
      </c>
      <c r="Q2">
        <v>4273</v>
      </c>
      <c r="R2">
        <v>5478</v>
      </c>
      <c r="S2">
        <v>4492</v>
      </c>
      <c r="T2">
        <v>5752</v>
      </c>
      <c r="U2">
        <v>5889</v>
      </c>
      <c r="V2">
        <v>6026</v>
      </c>
      <c r="W2">
        <v>6163</v>
      </c>
      <c r="X2">
        <v>6300</v>
      </c>
      <c r="Y2">
        <v>6437</v>
      </c>
      <c r="Z2">
        <v>6574</v>
      </c>
      <c r="AA2">
        <v>6711</v>
      </c>
      <c r="AB2">
        <v>6848</v>
      </c>
      <c r="AC2">
        <v>6985</v>
      </c>
      <c r="AD2">
        <v>7122</v>
      </c>
      <c r="AE2">
        <v>0</v>
      </c>
      <c r="AF2">
        <v>0</v>
      </c>
      <c r="AG2">
        <v>9039</v>
      </c>
      <c r="AH2">
        <v>9203</v>
      </c>
      <c r="AI2">
        <v>9368</v>
      </c>
      <c r="AJ2">
        <v>7943</v>
      </c>
      <c r="AK2">
        <v>8080</v>
      </c>
      <c r="AL2">
        <v>8217</v>
      </c>
      <c r="AM2">
        <v>8354</v>
      </c>
      <c r="AN2">
        <v>8491</v>
      </c>
      <c r="AO2">
        <v>8628</v>
      </c>
      <c r="AP2">
        <v>8765</v>
      </c>
      <c r="AQ2">
        <v>24926</v>
      </c>
      <c r="AR2">
        <v>25310</v>
      </c>
      <c r="AS2">
        <v>25693</v>
      </c>
      <c r="AT2">
        <v>16873</v>
      </c>
      <c r="AU2">
        <v>16873</v>
      </c>
      <c r="AV2">
        <v>16873</v>
      </c>
      <c r="AW2">
        <v>16873</v>
      </c>
      <c r="AX2">
        <v>16873</v>
      </c>
      <c r="AY2">
        <v>16873</v>
      </c>
      <c r="AZ2">
        <v>16873</v>
      </c>
      <c r="BA2">
        <v>16873</v>
      </c>
    </row>
    <row r="3" spans="1:53">
      <c r="A3" t="str">
        <f>IF(B3="","",_xlfn.XLOOKUP(B3&amp;"_"&amp;C3&amp;"_"&amp;D3,[2]ref!$E:$E,[2]ref!$A:$A))</f>
        <v>B_FG</v>
      </c>
      <c r="B3" t="str">
        <v>DAIMLER</v>
      </c>
      <c r="C3" t="str">
        <v>BR223 LTH</v>
      </c>
      <c r="D3" t="str">
        <v>SEW</v>
      </c>
      <c r="E3">
        <v>833</v>
      </c>
      <c r="F3">
        <v>454</v>
      </c>
      <c r="G3">
        <v>492</v>
      </c>
      <c r="H3">
        <v>265</v>
      </c>
      <c r="I3">
        <v>341</v>
      </c>
      <c r="J3">
        <v>303</v>
      </c>
      <c r="K3">
        <v>644</v>
      </c>
      <c r="L3">
        <v>682</v>
      </c>
      <c r="M3">
        <v>757</v>
      </c>
      <c r="N3">
        <v>757</v>
      </c>
      <c r="O3">
        <v>1136</v>
      </c>
      <c r="P3">
        <v>909</v>
      </c>
      <c r="Q3">
        <v>909</v>
      </c>
      <c r="R3">
        <v>1136</v>
      </c>
      <c r="S3">
        <v>909</v>
      </c>
      <c r="T3">
        <v>1136</v>
      </c>
      <c r="U3">
        <v>1136</v>
      </c>
      <c r="V3">
        <v>1136</v>
      </c>
      <c r="W3">
        <v>1136</v>
      </c>
      <c r="X3">
        <v>1136</v>
      </c>
      <c r="Y3">
        <v>1136</v>
      </c>
      <c r="Z3">
        <v>1136</v>
      </c>
      <c r="AA3">
        <v>1136</v>
      </c>
      <c r="AB3">
        <v>1136</v>
      </c>
      <c r="AC3">
        <v>1136</v>
      </c>
      <c r="AD3">
        <v>1136</v>
      </c>
      <c r="AE3">
        <v>0</v>
      </c>
      <c r="AF3">
        <v>0</v>
      </c>
      <c r="AG3">
        <v>757</v>
      </c>
      <c r="AH3">
        <v>379</v>
      </c>
      <c r="AI3">
        <v>757</v>
      </c>
      <c r="AJ3">
        <v>379</v>
      </c>
      <c r="AK3">
        <v>757</v>
      </c>
      <c r="AL3">
        <v>379</v>
      </c>
      <c r="AM3">
        <v>757</v>
      </c>
      <c r="AN3">
        <v>379</v>
      </c>
      <c r="AO3">
        <v>757</v>
      </c>
      <c r="AP3">
        <v>454</v>
      </c>
      <c r="AQ3">
        <v>1363</v>
      </c>
      <c r="AR3">
        <v>454</v>
      </c>
      <c r="AS3">
        <v>1363</v>
      </c>
      <c r="AT3">
        <v>454</v>
      </c>
      <c r="AU3">
        <v>1363</v>
      </c>
      <c r="AV3">
        <v>454</v>
      </c>
      <c r="AW3">
        <v>1363</v>
      </c>
      <c r="AX3">
        <v>454</v>
      </c>
      <c r="AY3">
        <v>1363</v>
      </c>
      <c r="AZ3">
        <v>454</v>
      </c>
      <c r="BA3">
        <v>1363</v>
      </c>
    </row>
    <row r="4" spans="1:53">
      <c r="A4" t="str">
        <f>IF(B4="","",_xlfn.XLOOKUP(B4&amp;"_"&amp;C4&amp;"_"&amp;D4,[2]ref!$E:$E,[2]ref!$A:$A))</f>
        <v>F_FG</v>
      </c>
      <c r="B4" t="str">
        <v>FIAT</v>
      </c>
      <c r="C4" t="str">
        <v>J516 / VINYL</v>
      </c>
      <c r="D4" t="str">
        <v>SEW</v>
      </c>
      <c r="E4">
        <v>4872</v>
      </c>
      <c r="F4">
        <v>5414</v>
      </c>
      <c r="G4">
        <v>5414</v>
      </c>
      <c r="H4">
        <v>6496</v>
      </c>
      <c r="I4">
        <v>3248</v>
      </c>
      <c r="J4">
        <v>6496</v>
      </c>
      <c r="K4">
        <v>5684</v>
      </c>
      <c r="L4">
        <v>5684</v>
      </c>
      <c r="M4">
        <v>4737</v>
      </c>
      <c r="N4">
        <v>4737</v>
      </c>
      <c r="O4">
        <v>4737</v>
      </c>
      <c r="P4">
        <v>3248</v>
      </c>
      <c r="Q4">
        <v>3248</v>
      </c>
      <c r="R4">
        <v>4060</v>
      </c>
      <c r="S4">
        <v>3248</v>
      </c>
      <c r="T4">
        <v>3722</v>
      </c>
      <c r="U4">
        <v>3722</v>
      </c>
      <c r="V4">
        <v>3722</v>
      </c>
      <c r="W4">
        <v>3722</v>
      </c>
      <c r="X4">
        <v>3722</v>
      </c>
      <c r="Y4">
        <v>3722</v>
      </c>
      <c r="Z4">
        <v>3722</v>
      </c>
      <c r="AA4">
        <v>3722</v>
      </c>
      <c r="AB4">
        <v>3722</v>
      </c>
      <c r="AC4">
        <v>3722</v>
      </c>
      <c r="AD4">
        <v>3722</v>
      </c>
      <c r="AE4">
        <v>0</v>
      </c>
      <c r="AF4">
        <v>0</v>
      </c>
      <c r="AG4">
        <v>3722</v>
      </c>
      <c r="AH4">
        <v>3722</v>
      </c>
      <c r="AI4">
        <v>3722</v>
      </c>
      <c r="AJ4">
        <v>3722</v>
      </c>
      <c r="AK4">
        <v>3722</v>
      </c>
      <c r="AL4">
        <v>3722</v>
      </c>
      <c r="AM4">
        <v>3722</v>
      </c>
      <c r="AN4">
        <v>3722</v>
      </c>
      <c r="AO4">
        <v>4060</v>
      </c>
      <c r="AP4">
        <v>7444</v>
      </c>
      <c r="AQ4">
        <v>35729</v>
      </c>
      <c r="AR4">
        <v>35729</v>
      </c>
      <c r="AS4">
        <v>35729</v>
      </c>
      <c r="AT4">
        <v>35729</v>
      </c>
      <c r="AU4">
        <v>35729</v>
      </c>
      <c r="AV4">
        <v>35729</v>
      </c>
      <c r="AW4">
        <v>35729</v>
      </c>
      <c r="AX4">
        <v>35729</v>
      </c>
      <c r="AY4">
        <v>558</v>
      </c>
      <c r="AZ4">
        <v>558</v>
      </c>
      <c r="BA4">
        <v>558</v>
      </c>
    </row>
    <row r="5" spans="1:53">
      <c r="A5" t="str">
        <f>IF(B5="","",_xlfn.XLOOKUP(B5&amp;"_"&amp;C5&amp;"_"&amp;D5,[2]ref!$E:$E,[2]ref!$A:$A))</f>
        <v>F_FG</v>
      </c>
      <c r="B5" t="str">
        <v>FIAT</v>
      </c>
      <c r="C5" t="str">
        <v>J516 / FABRIC</v>
      </c>
      <c r="D5" t="str">
        <v>SEW</v>
      </c>
      <c r="E5">
        <v>652</v>
      </c>
      <c r="F5">
        <v>1087</v>
      </c>
      <c r="G5">
        <v>1087</v>
      </c>
      <c r="H5">
        <v>2174</v>
      </c>
      <c r="I5">
        <v>1304</v>
      </c>
      <c r="J5">
        <v>2174</v>
      </c>
      <c r="K5">
        <v>2536</v>
      </c>
      <c r="L5">
        <v>2536</v>
      </c>
      <c r="M5">
        <v>2536</v>
      </c>
      <c r="N5">
        <v>2536</v>
      </c>
      <c r="O5">
        <v>2536</v>
      </c>
      <c r="P5">
        <v>2029</v>
      </c>
      <c r="Q5">
        <v>2029</v>
      </c>
      <c r="R5">
        <v>2536</v>
      </c>
      <c r="S5">
        <v>2029</v>
      </c>
      <c r="T5">
        <v>2174</v>
      </c>
      <c r="U5">
        <v>2174</v>
      </c>
      <c r="V5">
        <v>2174</v>
      </c>
      <c r="W5">
        <v>2174</v>
      </c>
      <c r="X5">
        <v>2174</v>
      </c>
      <c r="Y5">
        <v>2174</v>
      </c>
      <c r="Z5">
        <v>2174</v>
      </c>
      <c r="AA5">
        <v>2174</v>
      </c>
      <c r="AB5">
        <v>2174</v>
      </c>
      <c r="AC5">
        <v>2174</v>
      </c>
      <c r="AD5">
        <v>2174</v>
      </c>
      <c r="AE5">
        <v>0</v>
      </c>
      <c r="AF5">
        <v>0</v>
      </c>
      <c r="AG5">
        <v>2174</v>
      </c>
      <c r="AH5">
        <v>2174</v>
      </c>
      <c r="AI5">
        <v>2174</v>
      </c>
      <c r="AJ5">
        <v>2174</v>
      </c>
      <c r="AK5">
        <v>2174</v>
      </c>
      <c r="AL5">
        <v>2174</v>
      </c>
      <c r="AM5">
        <v>2174</v>
      </c>
      <c r="AN5">
        <v>2174</v>
      </c>
      <c r="AO5">
        <v>2174</v>
      </c>
      <c r="AP5">
        <v>1196</v>
      </c>
      <c r="AQ5">
        <v>717</v>
      </c>
      <c r="AR5">
        <v>717</v>
      </c>
      <c r="AS5">
        <v>717</v>
      </c>
      <c r="AT5">
        <v>717</v>
      </c>
      <c r="AU5">
        <v>717</v>
      </c>
      <c r="AV5">
        <v>717</v>
      </c>
      <c r="AW5">
        <v>783</v>
      </c>
      <c r="AX5">
        <v>783</v>
      </c>
      <c r="AY5">
        <v>783</v>
      </c>
      <c r="AZ5">
        <v>783</v>
      </c>
      <c r="BA5">
        <v>783</v>
      </c>
    </row>
    <row r="6" spans="1:53">
      <c r="A6" t="str">
        <f>IF(B6="","",_xlfn.XLOOKUP(B6&amp;"_"&amp;C6&amp;"_"&amp;D6,[2]ref!$E:$E,[2]ref!$A:$A))</f>
        <v>P_FG</v>
      </c>
      <c r="B6" t="str">
        <v>PORSCHE</v>
      </c>
      <c r="C6" t="str">
        <v>PO426 ARM</v>
      </c>
      <c r="D6" t="str">
        <v>SEW</v>
      </c>
      <c r="E6">
        <v>680</v>
      </c>
      <c r="F6">
        <v>340</v>
      </c>
      <c r="G6">
        <v>680</v>
      </c>
      <c r="H6">
        <v>680</v>
      </c>
      <c r="I6">
        <v>408</v>
      </c>
      <c r="J6">
        <v>680</v>
      </c>
      <c r="K6">
        <v>680</v>
      </c>
      <c r="L6">
        <v>340</v>
      </c>
      <c r="M6">
        <v>680</v>
      </c>
      <c r="N6">
        <v>340</v>
      </c>
      <c r="O6">
        <v>680</v>
      </c>
      <c r="P6">
        <v>544</v>
      </c>
      <c r="Q6">
        <v>544</v>
      </c>
      <c r="R6">
        <v>680</v>
      </c>
      <c r="S6">
        <v>544</v>
      </c>
      <c r="T6">
        <v>680</v>
      </c>
      <c r="U6">
        <v>680</v>
      </c>
      <c r="V6">
        <v>680</v>
      </c>
      <c r="W6">
        <v>680</v>
      </c>
      <c r="X6">
        <v>680</v>
      </c>
      <c r="Y6">
        <v>680</v>
      </c>
      <c r="Z6">
        <v>680</v>
      </c>
      <c r="AA6">
        <v>680</v>
      </c>
      <c r="AB6">
        <v>680</v>
      </c>
      <c r="AC6">
        <v>680</v>
      </c>
      <c r="AD6">
        <v>680</v>
      </c>
      <c r="AE6">
        <v>0</v>
      </c>
      <c r="AF6">
        <v>0</v>
      </c>
      <c r="AG6">
        <v>680</v>
      </c>
      <c r="AH6">
        <v>680</v>
      </c>
      <c r="AI6">
        <v>680</v>
      </c>
      <c r="AJ6">
        <v>680</v>
      </c>
      <c r="AK6">
        <v>680</v>
      </c>
      <c r="AL6">
        <v>680</v>
      </c>
      <c r="AM6">
        <v>680</v>
      </c>
      <c r="AN6">
        <v>680</v>
      </c>
      <c r="AO6">
        <v>680</v>
      </c>
      <c r="AP6">
        <v>1020</v>
      </c>
      <c r="AQ6">
        <v>612</v>
      </c>
      <c r="AR6">
        <v>612</v>
      </c>
      <c r="AS6">
        <v>612</v>
      </c>
      <c r="AT6">
        <v>612</v>
      </c>
      <c r="AU6">
        <v>612</v>
      </c>
      <c r="AV6">
        <v>612</v>
      </c>
      <c r="AW6">
        <v>612</v>
      </c>
      <c r="AX6">
        <v>612</v>
      </c>
      <c r="AY6">
        <v>612</v>
      </c>
      <c r="AZ6">
        <v>612</v>
      </c>
      <c r="BA6">
        <v>612</v>
      </c>
    </row>
    <row r="7" spans="1:53">
      <c r="A7" t="str">
        <f>IF(B7="","",_xlfn.XLOOKUP(B7&amp;"_"&amp;C7&amp;"_"&amp;D7,[2]ref!$E:$E,[2]ref!$A:$A))</f>
        <v>P_FG</v>
      </c>
      <c r="B7" t="str">
        <v>PORSCHE</v>
      </c>
      <c r="C7" t="str">
        <v>PO426 Gueset</v>
      </c>
      <c r="D7" t="str">
        <v>SEW</v>
      </c>
      <c r="E7">
        <v>884</v>
      </c>
      <c r="F7">
        <v>2209</v>
      </c>
      <c r="G7">
        <v>2209</v>
      </c>
      <c r="H7">
        <v>1105</v>
      </c>
      <c r="I7">
        <v>663</v>
      </c>
      <c r="J7">
        <v>1105</v>
      </c>
      <c r="K7">
        <v>1105</v>
      </c>
      <c r="L7">
        <v>1105</v>
      </c>
      <c r="M7">
        <v>1105</v>
      </c>
      <c r="N7">
        <v>1105</v>
      </c>
      <c r="O7">
        <v>1105</v>
      </c>
      <c r="P7">
        <v>1768</v>
      </c>
      <c r="Q7">
        <v>1768</v>
      </c>
      <c r="R7">
        <v>1105</v>
      </c>
      <c r="S7">
        <v>1768</v>
      </c>
      <c r="T7">
        <v>1105</v>
      </c>
      <c r="U7">
        <v>2209</v>
      </c>
      <c r="V7">
        <v>1105</v>
      </c>
      <c r="W7">
        <v>2209</v>
      </c>
      <c r="X7">
        <v>1105</v>
      </c>
      <c r="Y7">
        <v>2209</v>
      </c>
      <c r="Z7">
        <v>1105</v>
      </c>
      <c r="AA7">
        <v>2209</v>
      </c>
      <c r="AB7">
        <v>1105</v>
      </c>
      <c r="AC7">
        <v>2209</v>
      </c>
      <c r="AD7">
        <v>1105</v>
      </c>
      <c r="AE7">
        <v>0</v>
      </c>
      <c r="AF7">
        <v>0</v>
      </c>
      <c r="AG7">
        <v>1105</v>
      </c>
      <c r="AH7">
        <v>2209</v>
      </c>
      <c r="AI7">
        <v>1105</v>
      </c>
      <c r="AJ7">
        <v>2209</v>
      </c>
      <c r="AK7">
        <v>1105</v>
      </c>
      <c r="AL7">
        <v>2209</v>
      </c>
      <c r="AM7">
        <v>1105</v>
      </c>
      <c r="AN7">
        <v>2209</v>
      </c>
      <c r="AO7">
        <v>2209</v>
      </c>
      <c r="AP7">
        <v>1326</v>
      </c>
      <c r="AQ7">
        <v>265</v>
      </c>
      <c r="AR7">
        <v>265</v>
      </c>
      <c r="AS7">
        <v>265</v>
      </c>
      <c r="AT7">
        <v>265</v>
      </c>
      <c r="AU7">
        <v>265</v>
      </c>
      <c r="AV7">
        <v>265</v>
      </c>
      <c r="AW7">
        <v>265</v>
      </c>
      <c r="AX7">
        <v>265</v>
      </c>
      <c r="AY7">
        <v>265</v>
      </c>
      <c r="AZ7">
        <v>265</v>
      </c>
      <c r="BA7">
        <v>265</v>
      </c>
    </row>
    <row r="8" spans="1:53">
      <c r="A8" t="str">
        <f>IF(B8="","",_xlfn.XLOOKUP(B8&amp;"_"&amp;C8&amp;"_"&amp;D8,[2]ref!$E:$E,[2]ref!$A:$A))</f>
        <v>P_FG</v>
      </c>
      <c r="B8" t="str">
        <v>PORSCHE</v>
      </c>
      <c r="C8" t="str">
        <v>PO426 FHR&amp;ROHR</v>
      </c>
      <c r="D8" t="str">
        <v>SEW</v>
      </c>
      <c r="E8">
        <v>914</v>
      </c>
      <c r="F8">
        <v>964</v>
      </c>
      <c r="G8">
        <v>1117</v>
      </c>
      <c r="H8">
        <v>1489</v>
      </c>
      <c r="I8">
        <v>893</v>
      </c>
      <c r="J8">
        <v>1489</v>
      </c>
      <c r="K8">
        <v>1489</v>
      </c>
      <c r="L8">
        <v>1117</v>
      </c>
      <c r="M8">
        <v>1015</v>
      </c>
      <c r="N8">
        <v>1015</v>
      </c>
      <c r="O8">
        <v>1015</v>
      </c>
      <c r="P8">
        <v>812</v>
      </c>
      <c r="Q8">
        <v>812</v>
      </c>
      <c r="R8">
        <v>1015</v>
      </c>
      <c r="S8">
        <v>812</v>
      </c>
      <c r="T8">
        <v>1015</v>
      </c>
      <c r="U8">
        <v>1015</v>
      </c>
      <c r="V8">
        <v>1015</v>
      </c>
      <c r="W8">
        <v>1015</v>
      </c>
      <c r="X8">
        <v>1015</v>
      </c>
      <c r="Y8">
        <v>1015</v>
      </c>
      <c r="Z8">
        <v>1015</v>
      </c>
      <c r="AA8">
        <v>1015</v>
      </c>
      <c r="AB8">
        <v>1015</v>
      </c>
      <c r="AC8">
        <v>1015</v>
      </c>
      <c r="AD8">
        <v>1015</v>
      </c>
      <c r="AE8">
        <v>0</v>
      </c>
      <c r="AF8">
        <v>0</v>
      </c>
      <c r="AG8">
        <v>677</v>
      </c>
      <c r="AH8">
        <v>1353</v>
      </c>
      <c r="AI8">
        <v>1353</v>
      </c>
      <c r="AJ8">
        <v>1353</v>
      </c>
      <c r="AK8">
        <v>1353</v>
      </c>
      <c r="AL8">
        <v>1353</v>
      </c>
      <c r="AM8">
        <v>1353</v>
      </c>
      <c r="AN8">
        <v>1353</v>
      </c>
      <c r="AO8">
        <v>1353</v>
      </c>
      <c r="AP8">
        <v>812</v>
      </c>
      <c r="AQ8">
        <v>325</v>
      </c>
      <c r="AR8">
        <v>325</v>
      </c>
      <c r="AS8">
        <v>731</v>
      </c>
      <c r="AT8">
        <v>731</v>
      </c>
      <c r="AU8">
        <v>731</v>
      </c>
      <c r="AV8">
        <v>731</v>
      </c>
      <c r="AW8">
        <v>731</v>
      </c>
      <c r="AX8">
        <v>731</v>
      </c>
      <c r="AY8">
        <v>731</v>
      </c>
      <c r="AZ8">
        <v>731</v>
      </c>
      <c r="BA8">
        <v>731</v>
      </c>
    </row>
    <row r="9" spans="1:53">
      <c r="A9" t="str">
        <f>IF(B9="","",_xlfn.XLOOKUP(B9&amp;"_"&amp;C9&amp;"_"&amp;D9,[2]ref!$E:$E,[2]ref!$A:$A))</f>
        <v>V_FG</v>
      </c>
      <c r="B9" t="str">
        <v>Volvo PIP</v>
      </c>
      <c r="C9" t="str">
        <v>EX30 PIP Outer</v>
      </c>
      <c r="D9" t="str">
        <v>SEW</v>
      </c>
      <c r="E9">
        <v>2413</v>
      </c>
      <c r="F9">
        <v>2547</v>
      </c>
      <c r="G9">
        <v>3277</v>
      </c>
      <c r="H9">
        <v>3604</v>
      </c>
      <c r="I9">
        <v>1966</v>
      </c>
      <c r="J9">
        <v>3277</v>
      </c>
      <c r="K9">
        <v>3277</v>
      </c>
      <c r="L9">
        <v>3277</v>
      </c>
      <c r="M9">
        <v>3277</v>
      </c>
      <c r="N9">
        <v>3277</v>
      </c>
      <c r="O9">
        <v>3277</v>
      </c>
      <c r="P9">
        <v>2621</v>
      </c>
      <c r="Q9">
        <v>2621</v>
      </c>
      <c r="R9">
        <v>3277</v>
      </c>
      <c r="S9">
        <v>2621</v>
      </c>
      <c r="T9">
        <v>3277</v>
      </c>
      <c r="U9">
        <v>3277</v>
      </c>
      <c r="V9">
        <v>3277</v>
      </c>
      <c r="W9">
        <v>3277</v>
      </c>
      <c r="X9">
        <v>3277</v>
      </c>
      <c r="Y9">
        <v>3128</v>
      </c>
      <c r="Z9">
        <v>2979</v>
      </c>
      <c r="AA9">
        <v>2979</v>
      </c>
      <c r="AB9">
        <v>2979</v>
      </c>
      <c r="AC9">
        <v>2979</v>
      </c>
      <c r="AD9">
        <v>2979</v>
      </c>
      <c r="AE9">
        <v>0</v>
      </c>
      <c r="AF9">
        <v>0</v>
      </c>
      <c r="AG9">
        <v>2979</v>
      </c>
      <c r="AH9">
        <v>2979</v>
      </c>
      <c r="AI9">
        <v>2979</v>
      </c>
      <c r="AJ9">
        <v>2979</v>
      </c>
      <c r="AK9">
        <v>2979</v>
      </c>
      <c r="AL9">
        <v>2979</v>
      </c>
      <c r="AM9">
        <v>2979</v>
      </c>
      <c r="AN9">
        <v>2979</v>
      </c>
      <c r="AO9">
        <v>2979</v>
      </c>
      <c r="AP9">
        <v>2621</v>
      </c>
      <c r="AQ9">
        <v>4051</v>
      </c>
      <c r="AR9">
        <v>5242</v>
      </c>
      <c r="AS9">
        <v>5242</v>
      </c>
      <c r="AT9">
        <v>1072</v>
      </c>
      <c r="AU9">
        <v>1072</v>
      </c>
      <c r="AV9">
        <v>1072</v>
      </c>
      <c r="AW9">
        <v>1072</v>
      </c>
      <c r="AX9">
        <v>1072</v>
      </c>
      <c r="AY9">
        <v>1072</v>
      </c>
      <c r="AZ9">
        <v>1072</v>
      </c>
      <c r="BA9">
        <v>1072</v>
      </c>
    </row>
    <row r="10" spans="1:53">
      <c r="A10" t="str">
        <f>IF(B10="","",_xlfn.XLOOKUP(B10&amp;"_"&amp;C10&amp;"_"&amp;D10,[2]ref!$E:$E,[2]ref!$A:$A))</f>
        <v>V_FG</v>
      </c>
      <c r="B10" t="str">
        <v>Volvo PIP</v>
      </c>
      <c r="C10" t="str">
        <v>EX30 PIP Center</v>
      </c>
      <c r="D10" t="str">
        <v>SEW</v>
      </c>
      <c r="E10">
        <v>633</v>
      </c>
      <c r="F10">
        <v>1001</v>
      </c>
      <c r="G10">
        <v>1650</v>
      </c>
      <c r="H10">
        <v>1650</v>
      </c>
      <c r="I10">
        <v>825</v>
      </c>
      <c r="J10">
        <v>1031</v>
      </c>
      <c r="K10">
        <v>1031</v>
      </c>
      <c r="L10">
        <v>1031</v>
      </c>
      <c r="M10">
        <v>1031</v>
      </c>
      <c r="N10">
        <v>1375</v>
      </c>
      <c r="O10">
        <v>1375</v>
      </c>
      <c r="P10">
        <v>1100</v>
      </c>
      <c r="Q10">
        <v>1100</v>
      </c>
      <c r="R10">
        <v>1375</v>
      </c>
      <c r="S10">
        <v>1100</v>
      </c>
      <c r="T10">
        <v>1375</v>
      </c>
      <c r="U10">
        <v>1031</v>
      </c>
      <c r="V10">
        <v>1031</v>
      </c>
      <c r="W10">
        <v>1031</v>
      </c>
      <c r="X10">
        <v>1031</v>
      </c>
      <c r="Y10">
        <v>1031</v>
      </c>
      <c r="Z10">
        <v>1031</v>
      </c>
      <c r="AA10">
        <v>1031</v>
      </c>
      <c r="AB10">
        <v>1031</v>
      </c>
      <c r="AC10">
        <v>1031</v>
      </c>
      <c r="AD10">
        <v>1031</v>
      </c>
      <c r="AE10">
        <v>0</v>
      </c>
      <c r="AF10">
        <v>0</v>
      </c>
      <c r="AG10">
        <v>1031</v>
      </c>
      <c r="AH10">
        <v>1031</v>
      </c>
      <c r="AI10">
        <v>1031</v>
      </c>
      <c r="AJ10">
        <v>1031</v>
      </c>
      <c r="AK10">
        <v>1031</v>
      </c>
      <c r="AL10">
        <v>1031</v>
      </c>
      <c r="AM10">
        <v>1031</v>
      </c>
      <c r="AN10">
        <v>1031</v>
      </c>
      <c r="AO10">
        <v>1031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>
      <c r="A11" t="str">
        <f>IF(B11="","",_xlfn.XLOOKUP(B11&amp;"_"&amp;C11&amp;"_"&amp;D11,[2]ref!$E:$E,[2]ref!$A:$A))</f>
        <v>T_FG</v>
      </c>
      <c r="B11" t="str">
        <v>Nissan</v>
      </c>
      <c r="C11" t="str">
        <v>P13A PIP</v>
      </c>
      <c r="D11" t="str">
        <v>SEW</v>
      </c>
      <c r="E11">
        <v>0</v>
      </c>
      <c r="F11">
        <v>977</v>
      </c>
      <c r="G11">
        <v>1221</v>
      </c>
      <c r="H11">
        <v>3541</v>
      </c>
      <c r="I11">
        <v>2417</v>
      </c>
      <c r="J11">
        <v>4517</v>
      </c>
      <c r="K11">
        <v>5006</v>
      </c>
      <c r="L11">
        <v>5494</v>
      </c>
      <c r="M11">
        <v>5983</v>
      </c>
      <c r="N11">
        <v>6471</v>
      </c>
      <c r="O11">
        <v>6959</v>
      </c>
      <c r="P11">
        <v>5958</v>
      </c>
      <c r="Q11">
        <v>6349</v>
      </c>
      <c r="R11">
        <v>4151</v>
      </c>
      <c r="S11">
        <v>3516</v>
      </c>
      <c r="T11">
        <v>4640</v>
      </c>
      <c r="U11">
        <v>4884</v>
      </c>
      <c r="V11">
        <v>5128</v>
      </c>
      <c r="W11">
        <v>5372</v>
      </c>
      <c r="X11">
        <v>5616</v>
      </c>
      <c r="Y11">
        <v>5860</v>
      </c>
      <c r="Z11">
        <v>6105</v>
      </c>
      <c r="AA11">
        <v>6105</v>
      </c>
      <c r="AB11">
        <v>6105</v>
      </c>
      <c r="AC11">
        <v>6105</v>
      </c>
      <c r="AD11">
        <v>6105</v>
      </c>
      <c r="AE11">
        <v>0</v>
      </c>
      <c r="AF11">
        <v>0</v>
      </c>
      <c r="AG11">
        <v>6105</v>
      </c>
      <c r="AH11">
        <v>6105</v>
      </c>
      <c r="AI11">
        <v>6105</v>
      </c>
      <c r="AJ11">
        <v>6105</v>
      </c>
      <c r="AK11">
        <v>6105</v>
      </c>
      <c r="AL11">
        <v>6105</v>
      </c>
      <c r="AM11">
        <v>6105</v>
      </c>
      <c r="AN11">
        <v>6105</v>
      </c>
      <c r="AO11">
        <v>6105</v>
      </c>
      <c r="AP11">
        <v>6105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>
      <c r="A12" t="str">
        <f>IF(B12="","",_xlfn.XLOOKUP(B12&amp;"_"&amp;C12&amp;"_"&amp;D12,[2]ref!$E:$E,[2]ref!$A:$A))</f>
        <v>Z_FG</v>
      </c>
      <c r="B12" t="str">
        <v>Citroen</v>
      </c>
      <c r="C12" t="str">
        <v>C4 PIP</v>
      </c>
      <c r="D12" t="str">
        <v>SEW</v>
      </c>
      <c r="E12">
        <v>0</v>
      </c>
      <c r="F12">
        <v>0</v>
      </c>
      <c r="G12">
        <v>0</v>
      </c>
      <c r="H12">
        <v>349</v>
      </c>
      <c r="I12">
        <v>262</v>
      </c>
      <c r="J12">
        <v>506</v>
      </c>
      <c r="K12">
        <v>576</v>
      </c>
      <c r="L12">
        <v>645</v>
      </c>
      <c r="M12">
        <v>715</v>
      </c>
      <c r="N12">
        <v>785</v>
      </c>
      <c r="O12">
        <v>855</v>
      </c>
      <c r="P12">
        <v>740</v>
      </c>
      <c r="Q12">
        <v>795</v>
      </c>
      <c r="R12">
        <v>1064</v>
      </c>
      <c r="S12">
        <v>907</v>
      </c>
      <c r="T12">
        <v>593</v>
      </c>
      <c r="U12">
        <v>628</v>
      </c>
      <c r="V12">
        <v>663</v>
      </c>
      <c r="W12">
        <v>698</v>
      </c>
      <c r="X12">
        <v>733</v>
      </c>
      <c r="Y12">
        <v>767</v>
      </c>
      <c r="Z12">
        <v>802</v>
      </c>
      <c r="AA12">
        <v>837</v>
      </c>
      <c r="AB12">
        <v>872</v>
      </c>
      <c r="AC12">
        <v>872</v>
      </c>
      <c r="AD12">
        <v>872</v>
      </c>
      <c r="AE12">
        <v>0</v>
      </c>
      <c r="AF12">
        <v>0</v>
      </c>
      <c r="AG12">
        <v>872</v>
      </c>
      <c r="AH12">
        <v>872</v>
      </c>
      <c r="AI12">
        <v>872</v>
      </c>
      <c r="AJ12">
        <v>872</v>
      </c>
      <c r="AK12">
        <v>872</v>
      </c>
      <c r="AL12">
        <v>872</v>
      </c>
      <c r="AM12">
        <v>872</v>
      </c>
      <c r="AN12">
        <v>872</v>
      </c>
      <c r="AO12">
        <v>872</v>
      </c>
      <c r="AP12">
        <v>872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t="str">
        <f>IF(B13="","",_xlfn.XLOOKUP(B13&amp;"_"&amp;C13&amp;"_"&amp;D13,[2]ref!$E:$E,[2]ref!$A:$A))</f>
        <v>G_FG</v>
      </c>
      <c r="B13" t="str">
        <v>Nissan</v>
      </c>
      <c r="C13" t="str">
        <v>PZ1D</v>
      </c>
      <c r="D13" t="str">
        <v>SEW</v>
      </c>
      <c r="E13">
        <v>380</v>
      </c>
      <c r="F13">
        <v>354</v>
      </c>
      <c r="G13">
        <v>0</v>
      </c>
      <c r="H13">
        <v>0</v>
      </c>
      <c r="I13">
        <v>397</v>
      </c>
      <c r="J13">
        <v>691</v>
      </c>
      <c r="K13">
        <v>720</v>
      </c>
      <c r="L13">
        <v>749</v>
      </c>
      <c r="M13">
        <v>791</v>
      </c>
      <c r="N13">
        <v>832</v>
      </c>
      <c r="O13">
        <v>853</v>
      </c>
      <c r="P13">
        <v>699</v>
      </c>
      <c r="Q13">
        <v>732</v>
      </c>
      <c r="R13">
        <v>915</v>
      </c>
      <c r="S13">
        <v>732</v>
      </c>
      <c r="T13">
        <v>915</v>
      </c>
      <c r="U13">
        <v>915</v>
      </c>
      <c r="V13">
        <v>915</v>
      </c>
      <c r="W13">
        <v>915</v>
      </c>
      <c r="X13">
        <v>915</v>
      </c>
      <c r="Y13">
        <v>915</v>
      </c>
      <c r="Z13">
        <v>915</v>
      </c>
      <c r="AA13">
        <v>915</v>
      </c>
      <c r="AB13">
        <v>915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832</v>
      </c>
      <c r="AQ13">
        <v>832</v>
      </c>
      <c r="AR13">
        <v>832</v>
      </c>
      <c r="AS13">
        <v>832</v>
      </c>
      <c r="AT13">
        <v>832</v>
      </c>
      <c r="AU13">
        <v>832</v>
      </c>
      <c r="AV13">
        <v>832</v>
      </c>
      <c r="AW13">
        <v>832</v>
      </c>
      <c r="AX13">
        <v>832</v>
      </c>
      <c r="AY13">
        <v>832</v>
      </c>
      <c r="AZ13">
        <v>832</v>
      </c>
      <c r="BA13">
        <v>872</v>
      </c>
    </row>
    <row r="14" spans="1:53">
      <c r="A14" t="str">
        <f>IF(B14="","",_xlfn.XLOOKUP(B14&amp;"_"&amp;C14&amp;"_"&amp;D14,[2]ref!$E:$E,[2]ref!$A:$A))</f>
        <v>U_FG</v>
      </c>
      <c r="B14" t="str">
        <v>CV</v>
      </c>
      <c r="C14" t="str">
        <v>MAN</v>
      </c>
      <c r="D14" t="str">
        <v>SEW</v>
      </c>
      <c r="E14">
        <v>2678</v>
      </c>
      <c r="F14">
        <v>2901</v>
      </c>
      <c r="G14">
        <v>2678</v>
      </c>
      <c r="H14">
        <v>2678</v>
      </c>
      <c r="I14">
        <v>1607</v>
      </c>
      <c r="J14">
        <v>2678</v>
      </c>
      <c r="K14">
        <v>2678</v>
      </c>
      <c r="L14">
        <v>2678</v>
      </c>
      <c r="M14">
        <v>2678</v>
      </c>
      <c r="N14">
        <v>2678</v>
      </c>
      <c r="O14">
        <v>2678</v>
      </c>
      <c r="P14">
        <v>2142</v>
      </c>
      <c r="Q14">
        <v>2142</v>
      </c>
      <c r="R14">
        <v>2678</v>
      </c>
      <c r="S14">
        <v>2142</v>
      </c>
      <c r="T14">
        <v>2916</v>
      </c>
      <c r="U14">
        <v>3043</v>
      </c>
      <c r="V14">
        <v>3043</v>
      </c>
      <c r="W14">
        <v>3043</v>
      </c>
      <c r="X14">
        <v>3043</v>
      </c>
      <c r="Y14">
        <v>3043</v>
      </c>
      <c r="Z14">
        <v>3043</v>
      </c>
      <c r="AA14">
        <v>3043</v>
      </c>
      <c r="AB14">
        <v>3043</v>
      </c>
      <c r="AC14">
        <v>3043</v>
      </c>
      <c r="AD14">
        <v>3043</v>
      </c>
      <c r="AE14">
        <v>3043</v>
      </c>
      <c r="AF14">
        <v>3043</v>
      </c>
      <c r="AG14">
        <v>0</v>
      </c>
      <c r="AH14">
        <v>0</v>
      </c>
      <c r="AI14">
        <v>3043</v>
      </c>
      <c r="AJ14">
        <v>2922</v>
      </c>
      <c r="AK14">
        <v>2922</v>
      </c>
      <c r="AL14">
        <v>2922</v>
      </c>
      <c r="AM14">
        <v>2922</v>
      </c>
      <c r="AN14">
        <v>2922</v>
      </c>
      <c r="AO14">
        <v>2800</v>
      </c>
      <c r="AP14">
        <v>2901</v>
      </c>
      <c r="AQ14">
        <v>15087</v>
      </c>
      <c r="AR14">
        <v>15087</v>
      </c>
      <c r="AS14">
        <v>15087</v>
      </c>
      <c r="AT14">
        <v>15087</v>
      </c>
      <c r="AU14">
        <v>15087</v>
      </c>
      <c r="AV14">
        <v>15087</v>
      </c>
      <c r="AW14">
        <v>15087</v>
      </c>
      <c r="AX14">
        <v>15087</v>
      </c>
      <c r="AY14">
        <v>15087</v>
      </c>
      <c r="AZ14">
        <v>15087</v>
      </c>
      <c r="BA14">
        <v>15087</v>
      </c>
    </row>
    <row r="15" spans="1:53">
      <c r="A15" t="str">
        <f>IF(B15="","",_xlfn.XLOOKUP(B15&amp;"_"&amp;C15&amp;"_"&amp;D15,[2]ref!$E:$E,[2]ref!$A:$A))</f>
        <v>E_FG</v>
      </c>
      <c r="B15" t="str">
        <v>CV</v>
      </c>
      <c r="C15" t="str">
        <v>Scania</v>
      </c>
      <c r="D15" t="str">
        <v>SEW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>
      <c r="A16" t="str">
        <f>IF(B16="","",_xlfn.XLOOKUP(B16&amp;"_"&amp;C16&amp;"_"&amp;D16,[2]ref!$E:$E,[2]ref!$A:$A))</f>
        <v>E_FG</v>
      </c>
      <c r="B16" t="str">
        <v>CV</v>
      </c>
      <c r="C16" t="str">
        <v>Scania FL</v>
      </c>
      <c r="D16" t="str">
        <v>SEW</v>
      </c>
      <c r="E16">
        <v>1275</v>
      </c>
      <c r="F16">
        <v>1921</v>
      </c>
      <c r="G16">
        <v>1174</v>
      </c>
      <c r="H16">
        <v>1199</v>
      </c>
      <c r="I16">
        <v>685</v>
      </c>
      <c r="J16">
        <v>1154</v>
      </c>
      <c r="K16">
        <v>1154</v>
      </c>
      <c r="L16">
        <v>1212</v>
      </c>
      <c r="M16">
        <v>1223</v>
      </c>
      <c r="N16">
        <v>1235</v>
      </c>
      <c r="O16">
        <v>1246</v>
      </c>
      <c r="P16">
        <v>1015</v>
      </c>
      <c r="Q16">
        <v>1015</v>
      </c>
      <c r="R16">
        <v>1269</v>
      </c>
      <c r="S16">
        <v>1015</v>
      </c>
      <c r="T16">
        <v>1269</v>
      </c>
      <c r="U16">
        <v>1269</v>
      </c>
      <c r="V16">
        <v>1269</v>
      </c>
      <c r="W16">
        <v>1269</v>
      </c>
      <c r="X16">
        <v>1269</v>
      </c>
      <c r="Y16">
        <v>1269</v>
      </c>
      <c r="Z16">
        <v>1269</v>
      </c>
      <c r="AA16">
        <v>0</v>
      </c>
      <c r="AB16">
        <v>0</v>
      </c>
      <c r="AC16">
        <v>0</v>
      </c>
      <c r="AD16">
        <v>0</v>
      </c>
      <c r="AE16">
        <v>1269</v>
      </c>
      <c r="AF16">
        <v>1269</v>
      </c>
      <c r="AG16">
        <v>0</v>
      </c>
      <c r="AH16">
        <v>1269</v>
      </c>
      <c r="AI16">
        <v>1269</v>
      </c>
      <c r="AJ16">
        <v>1269</v>
      </c>
      <c r="AK16">
        <v>1269</v>
      </c>
      <c r="AL16">
        <v>1269</v>
      </c>
      <c r="AM16">
        <v>1269</v>
      </c>
      <c r="AN16">
        <v>1269</v>
      </c>
      <c r="AO16">
        <v>1269</v>
      </c>
      <c r="AP16">
        <v>1484</v>
      </c>
      <c r="AQ16">
        <v>4451</v>
      </c>
      <c r="AR16">
        <v>4451</v>
      </c>
      <c r="AS16">
        <v>4451</v>
      </c>
      <c r="AT16">
        <v>4451</v>
      </c>
      <c r="AU16">
        <v>4451</v>
      </c>
      <c r="AV16">
        <v>4451</v>
      </c>
      <c r="AW16">
        <v>4451</v>
      </c>
      <c r="AX16">
        <v>178</v>
      </c>
      <c r="AY16">
        <v>178</v>
      </c>
      <c r="AZ16">
        <v>178</v>
      </c>
      <c r="BA16">
        <v>178</v>
      </c>
    </row>
    <row r="17" spans="1:53">
      <c r="A17" t="str">
        <f>IF(B17="","",_xlfn.XLOOKUP(B17&amp;"_"&amp;C17&amp;"_"&amp;D17,[2]ref!$E:$E,[2]ref!$A:$A))</f>
        <v>R_FG</v>
      </c>
      <c r="B17" t="str">
        <v>CV</v>
      </c>
      <c r="C17" t="str">
        <v>Renault</v>
      </c>
      <c r="D17" t="str">
        <v>SEW</v>
      </c>
      <c r="E17">
        <v>1499</v>
      </c>
      <c r="F17">
        <v>1624</v>
      </c>
      <c r="G17">
        <v>1499</v>
      </c>
      <c r="H17">
        <v>1499</v>
      </c>
      <c r="I17">
        <v>900</v>
      </c>
      <c r="J17">
        <v>1499</v>
      </c>
      <c r="K17">
        <v>1499</v>
      </c>
      <c r="L17">
        <v>1499</v>
      </c>
      <c r="M17">
        <v>1499</v>
      </c>
      <c r="N17">
        <v>1499</v>
      </c>
      <c r="O17">
        <v>1499</v>
      </c>
      <c r="P17">
        <v>1199</v>
      </c>
      <c r="Q17">
        <v>1199</v>
      </c>
      <c r="R17">
        <v>1499</v>
      </c>
      <c r="S17">
        <v>1199</v>
      </c>
      <c r="T17">
        <v>1499</v>
      </c>
      <c r="U17">
        <v>1636</v>
      </c>
      <c r="V17">
        <v>1636</v>
      </c>
      <c r="W17">
        <v>1636</v>
      </c>
      <c r="X17">
        <v>1636</v>
      </c>
      <c r="Y17">
        <v>1636</v>
      </c>
      <c r="Z17">
        <v>1636</v>
      </c>
      <c r="AA17">
        <v>1636</v>
      </c>
      <c r="AB17">
        <v>1636</v>
      </c>
      <c r="AC17">
        <v>1636</v>
      </c>
      <c r="AD17">
        <v>0</v>
      </c>
      <c r="AE17">
        <v>0</v>
      </c>
      <c r="AF17">
        <v>0</v>
      </c>
      <c r="AG17">
        <v>0</v>
      </c>
      <c r="AH17">
        <v>1363</v>
      </c>
      <c r="AI17">
        <v>1363</v>
      </c>
      <c r="AJ17">
        <v>1363</v>
      </c>
      <c r="AK17">
        <v>1363</v>
      </c>
      <c r="AL17">
        <v>1363</v>
      </c>
      <c r="AM17">
        <v>1363</v>
      </c>
      <c r="AN17">
        <v>1363</v>
      </c>
      <c r="AO17">
        <v>1363</v>
      </c>
      <c r="AP17">
        <v>1363</v>
      </c>
      <c r="AQ17">
        <v>1363</v>
      </c>
      <c r="AR17">
        <v>1363</v>
      </c>
      <c r="AS17">
        <v>1363</v>
      </c>
      <c r="AT17">
        <v>1363</v>
      </c>
      <c r="AU17">
        <v>1363</v>
      </c>
      <c r="AV17">
        <v>1363</v>
      </c>
      <c r="AW17">
        <v>1363</v>
      </c>
      <c r="AX17">
        <v>1363</v>
      </c>
      <c r="AY17">
        <v>1363</v>
      </c>
      <c r="AZ17">
        <v>1363</v>
      </c>
      <c r="BA17">
        <v>1363</v>
      </c>
    </row>
    <row r="18" spans="1:53">
      <c r="A18" t="str">
        <f>IF(B18="","",_xlfn.XLOOKUP(B18&amp;"_"&amp;C18&amp;"_"&amp;D18,[2]ref!$E:$E,[2]ref!$A:$A))</f>
        <v>H_FG</v>
      </c>
      <c r="B18" t="str">
        <v>Renault</v>
      </c>
      <c r="C18" t="str">
        <v>BJA</v>
      </c>
      <c r="D18" t="str">
        <v>SEW</v>
      </c>
      <c r="E18">
        <v>3216</v>
      </c>
      <c r="F18">
        <v>3216</v>
      </c>
      <c r="G18">
        <v>3216</v>
      </c>
      <c r="H18">
        <v>3216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>
      <c r="A19" t="str">
        <f>IF(B19="","",_xlfn.XLOOKUP(B19&amp;"_"&amp;C19&amp;"_"&amp;D19,[2]ref!$E:$E,[2]ref!$A:$A))</f>
        <v>H_FG</v>
      </c>
      <c r="B19" t="str">
        <v>SBP Press</v>
      </c>
      <c r="C19" t="str">
        <v>BJA</v>
      </c>
      <c r="D19" t="str">
        <v>SEW</v>
      </c>
      <c r="E19">
        <v>2045</v>
      </c>
      <c r="F19">
        <v>2045</v>
      </c>
      <c r="G19">
        <v>2045</v>
      </c>
      <c r="H19">
        <v>2045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>
      <c r="A20" t="str">
        <f>IF(B20="","",_xlfn.XLOOKUP(B20&amp;"_"&amp;C20&amp;"_"&amp;D20,[2]ref!$E:$E,[2]ref!$A:$A))</f>
        <v>K_FG</v>
      </c>
      <c r="B20" t="str">
        <v>KIA</v>
      </c>
      <c r="C20" t="str">
        <v>CD/CTE</v>
      </c>
      <c r="D20" t="str">
        <v>ASSY</v>
      </c>
      <c r="E20">
        <v>1029</v>
      </c>
      <c r="F20">
        <v>1029</v>
      </c>
      <c r="G20">
        <v>514</v>
      </c>
      <c r="H20">
        <v>514</v>
      </c>
      <c r="I20">
        <v>309</v>
      </c>
      <c r="J20">
        <v>514</v>
      </c>
      <c r="K20">
        <v>514</v>
      </c>
      <c r="L20">
        <v>206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546</v>
      </c>
      <c r="Y20">
        <v>546</v>
      </c>
      <c r="Z20">
        <v>546</v>
      </c>
      <c r="AA20">
        <v>546</v>
      </c>
      <c r="AB20">
        <v>546</v>
      </c>
      <c r="AC20">
        <v>546</v>
      </c>
      <c r="AD20">
        <v>546</v>
      </c>
      <c r="AE20">
        <v>0</v>
      </c>
      <c r="AF20">
        <v>0</v>
      </c>
      <c r="AG20">
        <v>546</v>
      </c>
      <c r="AH20">
        <v>546</v>
      </c>
      <c r="AI20">
        <v>546</v>
      </c>
      <c r="AJ20">
        <v>546</v>
      </c>
      <c r="AK20">
        <v>546</v>
      </c>
      <c r="AL20">
        <v>546</v>
      </c>
      <c r="AM20">
        <v>546</v>
      </c>
      <c r="AN20">
        <v>546</v>
      </c>
      <c r="AO20">
        <v>546</v>
      </c>
      <c r="AP20">
        <v>2314</v>
      </c>
      <c r="AQ20">
        <v>1389</v>
      </c>
      <c r="AR20">
        <v>1389</v>
      </c>
      <c r="AS20">
        <v>1389</v>
      </c>
      <c r="AT20">
        <v>1389</v>
      </c>
      <c r="AU20">
        <v>1389</v>
      </c>
      <c r="AV20">
        <v>1389</v>
      </c>
      <c r="AW20">
        <v>1389</v>
      </c>
      <c r="AX20">
        <v>1389</v>
      </c>
      <c r="AY20">
        <v>1389</v>
      </c>
      <c r="AZ20">
        <v>1389</v>
      </c>
      <c r="BA20">
        <v>1389</v>
      </c>
    </row>
    <row r="21" spans="1:53">
      <c r="A21" t="str">
        <f>IF(B21="","",_xlfn.XLOOKUP(B21&amp;"_"&amp;C21&amp;"_"&amp;D21,[2]ref!$E:$E,[2]ref!$A:$A))</f>
        <v>Q_FG</v>
      </c>
      <c r="B21" t="str">
        <v>KIA</v>
      </c>
      <c r="C21" t="str">
        <v>CD/CTE</v>
      </c>
      <c r="D21" t="str">
        <v>SEW</v>
      </c>
      <c r="E21">
        <v>731</v>
      </c>
      <c r="F21">
        <v>769</v>
      </c>
      <c r="G21">
        <v>808</v>
      </c>
      <c r="H21">
        <v>808</v>
      </c>
      <c r="I21">
        <v>485</v>
      </c>
      <c r="J21">
        <v>769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923</v>
      </c>
      <c r="Z21">
        <v>923</v>
      </c>
      <c r="AA21">
        <v>462</v>
      </c>
      <c r="AB21">
        <v>462</v>
      </c>
      <c r="AC21">
        <v>462</v>
      </c>
      <c r="AD21">
        <v>462</v>
      </c>
      <c r="AE21">
        <v>0</v>
      </c>
      <c r="AF21">
        <v>0</v>
      </c>
      <c r="AG21">
        <v>923</v>
      </c>
      <c r="AH21">
        <v>462</v>
      </c>
      <c r="AI21">
        <v>923</v>
      </c>
      <c r="AJ21">
        <v>462</v>
      </c>
      <c r="AK21">
        <v>462</v>
      </c>
      <c r="AL21">
        <v>462</v>
      </c>
      <c r="AM21">
        <v>462</v>
      </c>
      <c r="AN21">
        <v>923</v>
      </c>
      <c r="AO21">
        <v>462</v>
      </c>
      <c r="AP21">
        <v>923</v>
      </c>
      <c r="AQ21">
        <v>369</v>
      </c>
      <c r="AR21">
        <v>369</v>
      </c>
      <c r="AS21">
        <v>369</v>
      </c>
      <c r="AT21">
        <v>369</v>
      </c>
      <c r="AU21">
        <v>369</v>
      </c>
      <c r="AV21">
        <v>369</v>
      </c>
      <c r="AW21">
        <v>369</v>
      </c>
      <c r="AX21">
        <v>369</v>
      </c>
      <c r="AY21">
        <v>369</v>
      </c>
      <c r="AZ21">
        <v>369</v>
      </c>
      <c r="BA21">
        <v>369</v>
      </c>
    </row>
    <row r="22" spans="1:53">
      <c r="A22" t="str">
        <f>IF(B22="","",_xlfn.XLOOKUP(B22&amp;"_"&amp;C22&amp;"_"&amp;D22,[2]ref!$E:$E,[2]ref!$A:$A))</f>
        <v>K_FG</v>
      </c>
      <c r="B22" t="str">
        <v>KIA</v>
      </c>
      <c r="C22" t="str">
        <v>SZ1E</v>
      </c>
      <c r="D22" t="str">
        <v>ASSY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546</v>
      </c>
      <c r="O22">
        <v>546</v>
      </c>
      <c r="P22">
        <v>437</v>
      </c>
      <c r="Q22">
        <v>437</v>
      </c>
      <c r="R22">
        <v>546</v>
      </c>
      <c r="S22">
        <v>437</v>
      </c>
      <c r="T22">
        <v>546</v>
      </c>
      <c r="U22">
        <v>546</v>
      </c>
      <c r="V22">
        <v>546</v>
      </c>
      <c r="W22">
        <v>546</v>
      </c>
      <c r="X22">
        <v>546</v>
      </c>
      <c r="Y22">
        <v>546</v>
      </c>
      <c r="Z22">
        <v>546</v>
      </c>
      <c r="AA22">
        <v>546</v>
      </c>
      <c r="AB22">
        <v>546</v>
      </c>
      <c r="AC22">
        <v>546</v>
      </c>
      <c r="AD22">
        <v>546</v>
      </c>
      <c r="AE22">
        <v>0</v>
      </c>
      <c r="AF22">
        <v>0</v>
      </c>
      <c r="AG22">
        <v>546</v>
      </c>
      <c r="AH22">
        <v>546</v>
      </c>
      <c r="AI22">
        <v>546</v>
      </c>
      <c r="AJ22">
        <v>546</v>
      </c>
      <c r="AK22">
        <v>546</v>
      </c>
      <c r="AL22">
        <v>546</v>
      </c>
      <c r="AM22">
        <v>546</v>
      </c>
      <c r="AN22">
        <v>546</v>
      </c>
      <c r="AO22">
        <v>546</v>
      </c>
      <c r="AP22">
        <v>2314</v>
      </c>
      <c r="AQ22">
        <v>2314</v>
      </c>
      <c r="AR22">
        <v>2314</v>
      </c>
      <c r="AS22">
        <v>2314</v>
      </c>
      <c r="AT22">
        <v>2314</v>
      </c>
      <c r="AU22">
        <v>2314</v>
      </c>
      <c r="AV22">
        <v>2314</v>
      </c>
      <c r="AW22">
        <v>2314</v>
      </c>
      <c r="AX22">
        <v>2314</v>
      </c>
      <c r="AY22">
        <v>2314</v>
      </c>
      <c r="AZ22">
        <v>2314</v>
      </c>
      <c r="BA22">
        <v>2314</v>
      </c>
    </row>
    <row r="23" spans="1:53">
      <c r="A23" t="str">
        <f>IF(B23="","",_xlfn.XLOOKUP(B23&amp;"_"&amp;C23&amp;"_"&amp;D23,[2]ref!$E:$E,[2]ref!$A:$A))</f>
        <v>Q_FG</v>
      </c>
      <c r="B23" t="str">
        <v>KIA</v>
      </c>
      <c r="C23" t="str">
        <v>SZ1E</v>
      </c>
      <c r="D23" t="str">
        <v>SEW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800</v>
      </c>
      <c r="N23">
        <v>800</v>
      </c>
      <c r="O23">
        <v>800</v>
      </c>
      <c r="P23">
        <v>640</v>
      </c>
      <c r="Q23">
        <v>320</v>
      </c>
      <c r="R23">
        <v>400</v>
      </c>
      <c r="S23">
        <v>640</v>
      </c>
      <c r="T23">
        <v>400</v>
      </c>
      <c r="U23">
        <v>800</v>
      </c>
      <c r="V23">
        <v>400</v>
      </c>
      <c r="W23">
        <v>400</v>
      </c>
      <c r="X23">
        <v>800</v>
      </c>
      <c r="Y23">
        <v>400</v>
      </c>
      <c r="Z23">
        <v>400</v>
      </c>
      <c r="AA23">
        <v>480</v>
      </c>
      <c r="AB23">
        <v>480</v>
      </c>
      <c r="AC23">
        <v>480</v>
      </c>
      <c r="AD23">
        <v>960</v>
      </c>
      <c r="AE23">
        <v>0</v>
      </c>
      <c r="AF23">
        <v>0</v>
      </c>
      <c r="AG23">
        <v>480</v>
      </c>
      <c r="AH23">
        <v>480</v>
      </c>
      <c r="AI23">
        <v>480</v>
      </c>
      <c r="AJ23">
        <v>480</v>
      </c>
      <c r="AK23">
        <v>480</v>
      </c>
      <c r="AL23">
        <v>480</v>
      </c>
      <c r="AM23">
        <v>960</v>
      </c>
      <c r="AN23">
        <v>480</v>
      </c>
      <c r="AO23">
        <v>960</v>
      </c>
      <c r="AP23">
        <v>1440</v>
      </c>
      <c r="AQ23">
        <v>1440</v>
      </c>
      <c r="AR23">
        <v>1440</v>
      </c>
      <c r="AS23">
        <v>1440</v>
      </c>
      <c r="AT23">
        <v>1440</v>
      </c>
      <c r="AU23">
        <v>1440</v>
      </c>
      <c r="AV23">
        <v>1440</v>
      </c>
      <c r="AW23">
        <v>1440</v>
      </c>
      <c r="AX23">
        <v>1440</v>
      </c>
      <c r="AY23">
        <v>1440</v>
      </c>
      <c r="AZ23">
        <v>1440</v>
      </c>
      <c r="BA23">
        <v>1440</v>
      </c>
    </row>
    <row r="24" spans="1:53">
      <c r="A24" t="str">
        <f>IF(B24="","",_xlfn.XLOOKUP(B24&amp;"_"&amp;C24&amp;"_"&amp;D24,[2]ref!$E:$E,[2]ref!$A:$A))</f>
        <v>C_FG</v>
      </c>
      <c r="B24" t="str">
        <v>CDPO</v>
      </c>
      <c r="C24" t="str">
        <v>P64/CR3/OV64</v>
      </c>
      <c r="D24" t="str">
        <v>ASSY</v>
      </c>
      <c r="E24">
        <v>4223</v>
      </c>
      <c r="F24">
        <v>4223</v>
      </c>
      <c r="G24">
        <v>4223</v>
      </c>
      <c r="H24">
        <v>4223</v>
      </c>
      <c r="I24">
        <v>2896</v>
      </c>
      <c r="J24">
        <v>4223</v>
      </c>
      <c r="K24">
        <v>4826</v>
      </c>
      <c r="L24">
        <v>4826</v>
      </c>
      <c r="M24">
        <v>4826</v>
      </c>
      <c r="N24">
        <v>4223</v>
      </c>
      <c r="O24">
        <v>4826</v>
      </c>
      <c r="P24">
        <v>3861</v>
      </c>
      <c r="Q24">
        <v>3861</v>
      </c>
      <c r="R24">
        <v>4826</v>
      </c>
      <c r="S24">
        <v>3861</v>
      </c>
      <c r="T24">
        <v>4826</v>
      </c>
      <c r="U24">
        <v>4826</v>
      </c>
      <c r="V24">
        <v>4826</v>
      </c>
      <c r="W24">
        <v>4826</v>
      </c>
      <c r="X24">
        <v>4826</v>
      </c>
      <c r="Y24">
        <v>4826</v>
      </c>
      <c r="Z24">
        <v>4826</v>
      </c>
      <c r="AA24">
        <v>4826</v>
      </c>
      <c r="AB24">
        <v>4826</v>
      </c>
      <c r="AC24">
        <v>4826</v>
      </c>
      <c r="AD24">
        <v>2413</v>
      </c>
      <c r="AE24">
        <v>2413</v>
      </c>
      <c r="AF24">
        <v>2413</v>
      </c>
      <c r="AG24">
        <v>3017</v>
      </c>
      <c r="AH24">
        <v>0</v>
      </c>
      <c r="AI24">
        <v>0</v>
      </c>
      <c r="AJ24">
        <v>2413</v>
      </c>
      <c r="AK24">
        <v>2413</v>
      </c>
      <c r="AL24">
        <v>2413</v>
      </c>
      <c r="AM24">
        <v>2413</v>
      </c>
      <c r="AN24">
        <v>2413</v>
      </c>
      <c r="AO24">
        <v>2413</v>
      </c>
      <c r="AP24">
        <v>2555</v>
      </c>
      <c r="AQ24">
        <v>2555</v>
      </c>
      <c r="AR24">
        <v>1533</v>
      </c>
      <c r="AS24">
        <v>1533</v>
      </c>
      <c r="AT24">
        <v>1533</v>
      </c>
      <c r="AU24">
        <v>1533</v>
      </c>
      <c r="AV24">
        <v>1533</v>
      </c>
      <c r="AW24">
        <v>1533</v>
      </c>
      <c r="AX24">
        <v>1533</v>
      </c>
      <c r="AY24">
        <v>1533</v>
      </c>
      <c r="AZ24">
        <v>1533</v>
      </c>
      <c r="BA24">
        <v>1533</v>
      </c>
    </row>
    <row r="25" spans="1:53">
      <c r="A25" t="str">
        <f>IF(B25="","",_xlfn.XLOOKUP(B25&amp;"_"&amp;C25&amp;"_"&amp;D25,[2]ref!$E:$E,[2]ref!$A:$A))</f>
        <v>Z_FG</v>
      </c>
      <c r="B25" t="str">
        <v>CDPO</v>
      </c>
      <c r="C25" t="str">
        <v>P64/CR3/OV64</v>
      </c>
      <c r="D25" t="str">
        <v>SEW</v>
      </c>
      <c r="E25">
        <v>3470</v>
      </c>
      <c r="F25">
        <v>3785</v>
      </c>
      <c r="G25">
        <v>3785</v>
      </c>
      <c r="H25">
        <v>4381</v>
      </c>
      <c r="I25">
        <v>2629</v>
      </c>
      <c r="J25">
        <v>4381</v>
      </c>
      <c r="K25">
        <v>4381</v>
      </c>
      <c r="L25">
        <v>4819</v>
      </c>
      <c r="M25">
        <v>4819</v>
      </c>
      <c r="N25">
        <v>4819</v>
      </c>
      <c r="O25">
        <v>4819</v>
      </c>
      <c r="P25">
        <v>3855</v>
      </c>
      <c r="Q25">
        <v>3855</v>
      </c>
      <c r="R25">
        <v>4819</v>
      </c>
      <c r="S25">
        <v>3855</v>
      </c>
      <c r="T25">
        <v>4819</v>
      </c>
      <c r="U25">
        <v>4819</v>
      </c>
      <c r="V25">
        <v>4819</v>
      </c>
      <c r="W25">
        <v>4819</v>
      </c>
      <c r="X25">
        <v>4626</v>
      </c>
      <c r="Y25">
        <v>4626</v>
      </c>
      <c r="Z25">
        <v>4626</v>
      </c>
      <c r="AA25">
        <v>4626</v>
      </c>
      <c r="AB25">
        <v>4626</v>
      </c>
      <c r="AC25">
        <v>4626</v>
      </c>
      <c r="AD25">
        <v>4626</v>
      </c>
      <c r="AE25">
        <v>4626</v>
      </c>
      <c r="AF25">
        <v>0</v>
      </c>
      <c r="AG25">
        <v>0</v>
      </c>
      <c r="AH25">
        <v>0</v>
      </c>
      <c r="AI25">
        <v>2103</v>
      </c>
      <c r="AJ25">
        <v>2103</v>
      </c>
      <c r="AK25">
        <v>2103</v>
      </c>
      <c r="AL25">
        <v>2103</v>
      </c>
      <c r="AM25">
        <v>2103</v>
      </c>
      <c r="AN25">
        <v>2103</v>
      </c>
      <c r="AO25">
        <v>2103</v>
      </c>
      <c r="AP25">
        <v>1262</v>
      </c>
      <c r="AQ25">
        <v>1262</v>
      </c>
      <c r="AR25">
        <v>1262</v>
      </c>
      <c r="AS25">
        <v>1262</v>
      </c>
      <c r="AT25">
        <v>1262</v>
      </c>
      <c r="AU25">
        <v>1262</v>
      </c>
      <c r="AV25">
        <v>1262</v>
      </c>
      <c r="AW25">
        <v>1262</v>
      </c>
      <c r="AX25">
        <v>1262</v>
      </c>
      <c r="AY25">
        <v>1262</v>
      </c>
      <c r="AZ25">
        <v>1262</v>
      </c>
      <c r="BA25">
        <v>1262</v>
      </c>
    </row>
    <row r="26" spans="1:53">
      <c r="A26" t="str">
        <f>IF(B26="","",_xlfn.XLOOKUP(B26&amp;"_"&amp;C26&amp;"_"&amp;D26,[2]ref!$E:$E,[2]ref!$A:$A))</f>
        <v>C_FG</v>
      </c>
      <c r="B26" t="str">
        <v>CDPO</v>
      </c>
      <c r="C26" t="str">
        <v>P74</v>
      </c>
      <c r="D26" t="str">
        <v>ASSY</v>
      </c>
      <c r="E26">
        <v>1064</v>
      </c>
      <c r="F26">
        <v>1419</v>
      </c>
      <c r="G26">
        <v>1064</v>
      </c>
      <c r="H26">
        <v>1064</v>
      </c>
      <c r="I26">
        <v>639</v>
      </c>
      <c r="J26">
        <v>1064</v>
      </c>
      <c r="K26">
        <v>1064</v>
      </c>
      <c r="L26">
        <v>1064</v>
      </c>
      <c r="M26">
        <v>1064</v>
      </c>
      <c r="N26">
        <v>1064</v>
      </c>
      <c r="O26">
        <v>1064</v>
      </c>
      <c r="P26">
        <v>852</v>
      </c>
      <c r="Q26">
        <v>852</v>
      </c>
      <c r="R26">
        <v>1064</v>
      </c>
      <c r="S26">
        <v>852</v>
      </c>
      <c r="T26">
        <v>1064</v>
      </c>
      <c r="U26">
        <v>1064</v>
      </c>
      <c r="V26">
        <v>1064</v>
      </c>
      <c r="W26">
        <v>1064</v>
      </c>
      <c r="X26">
        <v>1064</v>
      </c>
      <c r="Y26">
        <v>710</v>
      </c>
      <c r="Z26">
        <v>710</v>
      </c>
      <c r="AA26">
        <v>710</v>
      </c>
      <c r="AB26">
        <v>355</v>
      </c>
      <c r="AC26">
        <v>355</v>
      </c>
      <c r="AD26">
        <v>355</v>
      </c>
      <c r="AE26">
        <v>355</v>
      </c>
      <c r="AF26">
        <v>0</v>
      </c>
      <c r="AG26">
        <v>0</v>
      </c>
      <c r="AH26">
        <v>355</v>
      </c>
      <c r="AI26">
        <v>355</v>
      </c>
      <c r="AJ26">
        <v>355</v>
      </c>
      <c r="AK26">
        <v>355</v>
      </c>
      <c r="AL26">
        <v>355</v>
      </c>
      <c r="AM26">
        <v>355</v>
      </c>
      <c r="AN26">
        <v>355</v>
      </c>
      <c r="AO26">
        <v>355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 t="str">
        <f>IF(B27="","",_xlfn.XLOOKUP(B27&amp;"_"&amp;C27&amp;"_"&amp;D27,[2]ref!$E:$E,[2]ref!$A:$A))</f>
        <v>Z_FG</v>
      </c>
      <c r="B27" t="str">
        <v>CDPO</v>
      </c>
      <c r="C27" t="str">
        <v>P74</v>
      </c>
      <c r="D27" t="str">
        <v>SEW</v>
      </c>
      <c r="E27">
        <v>1260</v>
      </c>
      <c r="F27">
        <v>1575</v>
      </c>
      <c r="G27">
        <v>1260</v>
      </c>
      <c r="H27">
        <v>1260</v>
      </c>
      <c r="I27">
        <v>756</v>
      </c>
      <c r="J27">
        <v>1260</v>
      </c>
      <c r="K27">
        <v>1260</v>
      </c>
      <c r="L27">
        <v>1260</v>
      </c>
      <c r="M27">
        <v>1260</v>
      </c>
      <c r="N27">
        <v>1260</v>
      </c>
      <c r="O27">
        <v>1260</v>
      </c>
      <c r="P27">
        <v>1008</v>
      </c>
      <c r="Q27">
        <v>1008</v>
      </c>
      <c r="R27">
        <v>1260</v>
      </c>
      <c r="S27">
        <v>1008</v>
      </c>
      <c r="T27">
        <v>945</v>
      </c>
      <c r="U27">
        <v>945</v>
      </c>
      <c r="V27">
        <v>945</v>
      </c>
      <c r="W27">
        <v>945</v>
      </c>
      <c r="X27">
        <v>945</v>
      </c>
      <c r="Y27">
        <v>945</v>
      </c>
      <c r="Z27">
        <v>945</v>
      </c>
      <c r="AA27">
        <v>945</v>
      </c>
      <c r="AB27">
        <v>945</v>
      </c>
      <c r="AC27">
        <v>945</v>
      </c>
      <c r="AD27">
        <v>945</v>
      </c>
      <c r="AE27">
        <v>0</v>
      </c>
      <c r="AF27">
        <v>0</v>
      </c>
      <c r="AG27">
        <v>0</v>
      </c>
      <c r="AH27">
        <v>945</v>
      </c>
      <c r="AI27">
        <v>945</v>
      </c>
      <c r="AJ27">
        <v>945</v>
      </c>
      <c r="AK27">
        <v>945</v>
      </c>
      <c r="AL27">
        <v>630</v>
      </c>
      <c r="AM27">
        <v>630</v>
      </c>
      <c r="AN27">
        <v>630</v>
      </c>
      <c r="AO27">
        <v>630</v>
      </c>
      <c r="AP27">
        <v>945</v>
      </c>
      <c r="AQ27">
        <v>945</v>
      </c>
      <c r="AR27">
        <v>945</v>
      </c>
      <c r="AS27">
        <v>945</v>
      </c>
      <c r="AT27">
        <v>567</v>
      </c>
      <c r="AU27">
        <v>567</v>
      </c>
      <c r="AV27">
        <v>567</v>
      </c>
      <c r="AW27">
        <v>567</v>
      </c>
      <c r="AX27">
        <v>567</v>
      </c>
      <c r="AY27">
        <v>567</v>
      </c>
      <c r="AZ27">
        <v>567</v>
      </c>
      <c r="BA27">
        <v>567</v>
      </c>
    </row>
    <row r="28" spans="1:53">
      <c r="A28" t="str">
        <f>IF(B28="","",_xlfn.XLOOKUP(B28&amp;"_"&amp;C28&amp;"_"&amp;D28,[2]ref!$E:$E,[2]ref!$A:$A))</f>
        <v>L_FG</v>
      </c>
      <c r="B28" t="str">
        <v>JLR</v>
      </c>
      <c r="C28" t="str">
        <v>L551</v>
      </c>
      <c r="D28" t="str">
        <v>ASSY</v>
      </c>
      <c r="E28">
        <v>254</v>
      </c>
      <c r="F28">
        <v>406</v>
      </c>
      <c r="G28">
        <v>406</v>
      </c>
      <c r="H28">
        <v>508</v>
      </c>
      <c r="I28">
        <v>305</v>
      </c>
      <c r="J28">
        <v>508</v>
      </c>
      <c r="K28">
        <v>508</v>
      </c>
      <c r="L28">
        <v>508</v>
      </c>
      <c r="M28">
        <v>508</v>
      </c>
      <c r="N28">
        <v>508</v>
      </c>
      <c r="O28">
        <v>508</v>
      </c>
      <c r="P28">
        <v>406</v>
      </c>
      <c r="Q28">
        <v>406</v>
      </c>
      <c r="R28">
        <v>508</v>
      </c>
      <c r="S28">
        <v>406</v>
      </c>
      <c r="T28">
        <v>508</v>
      </c>
      <c r="U28">
        <v>508</v>
      </c>
      <c r="V28">
        <v>508</v>
      </c>
      <c r="W28">
        <v>508</v>
      </c>
      <c r="X28">
        <v>508</v>
      </c>
      <c r="Y28">
        <v>508</v>
      </c>
      <c r="Z28">
        <v>508</v>
      </c>
      <c r="AA28">
        <v>508</v>
      </c>
      <c r="AB28">
        <v>508</v>
      </c>
      <c r="AC28">
        <v>508</v>
      </c>
      <c r="AD28">
        <v>508</v>
      </c>
      <c r="AE28">
        <v>0</v>
      </c>
      <c r="AF28">
        <v>0</v>
      </c>
      <c r="AG28">
        <v>508</v>
      </c>
      <c r="AH28">
        <v>508</v>
      </c>
      <c r="AI28">
        <v>508</v>
      </c>
      <c r="AJ28">
        <v>508</v>
      </c>
      <c r="AK28">
        <v>508</v>
      </c>
      <c r="AL28">
        <v>508</v>
      </c>
      <c r="AM28">
        <v>508</v>
      </c>
      <c r="AN28">
        <v>508</v>
      </c>
      <c r="AO28">
        <v>508</v>
      </c>
      <c r="AP28">
        <v>1828</v>
      </c>
      <c r="AQ28">
        <v>1097</v>
      </c>
      <c r="AR28">
        <v>1097</v>
      </c>
      <c r="AS28">
        <v>1097</v>
      </c>
      <c r="AT28">
        <v>1097</v>
      </c>
      <c r="AU28">
        <v>1097</v>
      </c>
      <c r="AV28">
        <v>1097</v>
      </c>
      <c r="AW28">
        <v>1097</v>
      </c>
      <c r="AX28">
        <v>1097</v>
      </c>
      <c r="AY28">
        <v>1097</v>
      </c>
      <c r="AZ28">
        <v>1097</v>
      </c>
      <c r="BA28">
        <v>1097</v>
      </c>
    </row>
    <row r="29" spans="1:53">
      <c r="A29" t="str">
        <f>IF(B29="","",_xlfn.XLOOKUP(B29&amp;"_"&amp;C29&amp;"_"&amp;D29,[2]ref!$E:$E,[2]ref!$A:$A))</f>
        <v>J_FG</v>
      </c>
      <c r="B29" t="str">
        <v>JLR</v>
      </c>
      <c r="C29" t="str">
        <v>L551</v>
      </c>
      <c r="D29" t="str">
        <v>SEW</v>
      </c>
      <c r="E29">
        <v>495</v>
      </c>
      <c r="F29">
        <v>495</v>
      </c>
      <c r="G29">
        <v>495</v>
      </c>
      <c r="H29">
        <v>495</v>
      </c>
      <c r="I29">
        <v>297</v>
      </c>
      <c r="J29">
        <v>495</v>
      </c>
      <c r="K29">
        <v>495</v>
      </c>
      <c r="L29">
        <v>495</v>
      </c>
      <c r="M29">
        <v>495</v>
      </c>
      <c r="N29">
        <v>495</v>
      </c>
      <c r="O29">
        <v>495</v>
      </c>
      <c r="P29">
        <v>396</v>
      </c>
      <c r="Q29">
        <v>396</v>
      </c>
      <c r="R29">
        <v>495</v>
      </c>
      <c r="S29">
        <v>396</v>
      </c>
      <c r="T29">
        <v>495</v>
      </c>
      <c r="U29">
        <v>495</v>
      </c>
      <c r="V29">
        <v>495</v>
      </c>
      <c r="W29">
        <v>495</v>
      </c>
      <c r="X29">
        <v>495</v>
      </c>
      <c r="Y29">
        <v>495</v>
      </c>
      <c r="Z29">
        <v>495</v>
      </c>
      <c r="AA29">
        <v>495</v>
      </c>
      <c r="AB29">
        <v>495</v>
      </c>
      <c r="AC29">
        <v>495</v>
      </c>
      <c r="AD29">
        <v>495</v>
      </c>
      <c r="AE29">
        <v>0</v>
      </c>
      <c r="AF29">
        <v>0</v>
      </c>
      <c r="AG29">
        <v>495</v>
      </c>
      <c r="AH29">
        <v>495</v>
      </c>
      <c r="AI29">
        <v>495</v>
      </c>
      <c r="AJ29">
        <v>495</v>
      </c>
      <c r="AK29">
        <v>495</v>
      </c>
      <c r="AL29">
        <v>593</v>
      </c>
      <c r="AM29">
        <v>593</v>
      </c>
      <c r="AN29">
        <v>593</v>
      </c>
      <c r="AO29">
        <v>593</v>
      </c>
      <c r="AP29">
        <v>593</v>
      </c>
      <c r="AQ29">
        <v>593</v>
      </c>
      <c r="AR29">
        <v>593</v>
      </c>
      <c r="AS29">
        <v>593</v>
      </c>
      <c r="AT29">
        <v>593</v>
      </c>
      <c r="AU29">
        <v>593</v>
      </c>
      <c r="AV29">
        <v>890</v>
      </c>
      <c r="AW29">
        <v>890</v>
      </c>
      <c r="AX29">
        <v>890</v>
      </c>
      <c r="AY29">
        <v>890</v>
      </c>
      <c r="AZ29">
        <v>890</v>
      </c>
      <c r="BA29">
        <v>890</v>
      </c>
    </row>
    <row r="30" spans="1:53">
      <c r="A30" t="str">
        <f>IF(B30="","",_xlfn.XLOOKUP(B30&amp;"_"&amp;C30&amp;"_"&amp;D30,[2]ref!$E:$E,[2]ref!$A:$A))</f>
        <v>M_FG</v>
      </c>
      <c r="B30" t="str">
        <v>MMA</v>
      </c>
      <c r="C30" t="str">
        <v>ARM</v>
      </c>
      <c r="D30" t="str">
        <v>ASSY</v>
      </c>
      <c r="E30">
        <v>3924</v>
      </c>
      <c r="F30">
        <v>3924</v>
      </c>
      <c r="G30">
        <v>3924</v>
      </c>
      <c r="H30">
        <v>4905</v>
      </c>
      <c r="I30">
        <v>2943</v>
      </c>
      <c r="J30">
        <v>4905</v>
      </c>
      <c r="K30">
        <v>4193</v>
      </c>
      <c r="L30">
        <v>4193</v>
      </c>
      <c r="M30">
        <v>4193</v>
      </c>
      <c r="N30">
        <v>4193</v>
      </c>
      <c r="O30">
        <v>4193</v>
      </c>
      <c r="P30">
        <v>3914</v>
      </c>
      <c r="Q30">
        <v>3914</v>
      </c>
      <c r="R30">
        <v>4892</v>
      </c>
      <c r="S30">
        <v>3914</v>
      </c>
      <c r="T30">
        <v>4892</v>
      </c>
      <c r="U30">
        <v>4892</v>
      </c>
      <c r="V30">
        <v>4892</v>
      </c>
      <c r="W30">
        <v>4892</v>
      </c>
      <c r="X30">
        <v>4892</v>
      </c>
      <c r="Y30">
        <v>4892</v>
      </c>
      <c r="Z30">
        <v>4892</v>
      </c>
      <c r="AA30">
        <v>4892</v>
      </c>
      <c r="AB30">
        <v>4892</v>
      </c>
      <c r="AC30">
        <v>4892</v>
      </c>
      <c r="AD30">
        <v>4892</v>
      </c>
      <c r="AE30">
        <v>0</v>
      </c>
      <c r="AF30">
        <v>0</v>
      </c>
      <c r="AG30">
        <v>4892</v>
      </c>
      <c r="AH30">
        <v>4892</v>
      </c>
      <c r="AI30">
        <v>4892</v>
      </c>
      <c r="AJ30">
        <v>4892</v>
      </c>
      <c r="AK30">
        <v>4892</v>
      </c>
      <c r="AL30">
        <v>4892</v>
      </c>
      <c r="AM30">
        <v>4892</v>
      </c>
      <c r="AN30">
        <v>4892</v>
      </c>
      <c r="AO30">
        <v>4892</v>
      </c>
      <c r="AP30">
        <v>4193</v>
      </c>
      <c r="AQ30">
        <v>7357</v>
      </c>
      <c r="AR30">
        <v>7357</v>
      </c>
      <c r="AS30">
        <v>7357</v>
      </c>
      <c r="AT30">
        <v>7357</v>
      </c>
      <c r="AU30">
        <v>7357</v>
      </c>
      <c r="AV30">
        <v>7357</v>
      </c>
      <c r="AW30">
        <v>7357</v>
      </c>
      <c r="AX30">
        <v>17657</v>
      </c>
      <c r="AY30">
        <v>17657</v>
      </c>
      <c r="AZ30">
        <v>17657</v>
      </c>
      <c r="BA30">
        <v>17657</v>
      </c>
    </row>
    <row r="31" spans="1:53">
      <c r="A31" t="str">
        <f>IF(B31="","",_xlfn.XLOOKUP(B31&amp;"_"&amp;C31&amp;"_"&amp;D31,[2]ref!$E:$E,[2]ref!$A:$A))</f>
        <v>N_FG</v>
      </c>
      <c r="B31" t="str">
        <v>MMA</v>
      </c>
      <c r="C31" t="str">
        <v>ARM</v>
      </c>
      <c r="D31" t="str">
        <v>SEW</v>
      </c>
      <c r="E31">
        <v>2254</v>
      </c>
      <c r="F31">
        <v>3519</v>
      </c>
      <c r="G31">
        <v>4303</v>
      </c>
      <c r="H31">
        <v>4354</v>
      </c>
      <c r="I31">
        <v>2643</v>
      </c>
      <c r="J31">
        <v>4598</v>
      </c>
      <c r="K31">
        <v>4649</v>
      </c>
      <c r="L31">
        <v>4700</v>
      </c>
      <c r="M31">
        <v>4608</v>
      </c>
      <c r="N31">
        <v>4659</v>
      </c>
      <c r="O31">
        <v>4709</v>
      </c>
      <c r="P31">
        <v>3808</v>
      </c>
      <c r="Q31">
        <v>3849</v>
      </c>
      <c r="R31">
        <v>4862</v>
      </c>
      <c r="S31">
        <v>3930</v>
      </c>
      <c r="T31">
        <v>4963</v>
      </c>
      <c r="U31">
        <v>5014</v>
      </c>
      <c r="V31">
        <v>5065</v>
      </c>
      <c r="W31">
        <v>5116</v>
      </c>
      <c r="X31">
        <v>5166</v>
      </c>
      <c r="Y31">
        <v>5217</v>
      </c>
      <c r="Z31">
        <v>5268</v>
      </c>
      <c r="AA31">
        <v>5395</v>
      </c>
      <c r="AB31">
        <v>5395</v>
      </c>
      <c r="AC31">
        <v>5395</v>
      </c>
      <c r="AD31">
        <v>5395</v>
      </c>
      <c r="AE31">
        <v>0</v>
      </c>
      <c r="AF31">
        <v>0</v>
      </c>
      <c r="AG31">
        <v>5395</v>
      </c>
      <c r="AH31">
        <v>5395</v>
      </c>
      <c r="AI31">
        <v>5395</v>
      </c>
      <c r="AJ31">
        <v>5395</v>
      </c>
      <c r="AK31">
        <v>5395</v>
      </c>
      <c r="AL31">
        <v>5395</v>
      </c>
      <c r="AM31">
        <v>5395</v>
      </c>
      <c r="AN31">
        <v>5395</v>
      </c>
      <c r="AO31">
        <v>5395</v>
      </c>
      <c r="AP31">
        <v>1142</v>
      </c>
      <c r="AQ31">
        <v>1142</v>
      </c>
      <c r="AR31">
        <v>1142</v>
      </c>
      <c r="AS31">
        <v>1142</v>
      </c>
      <c r="AT31">
        <v>1142</v>
      </c>
      <c r="AU31">
        <v>1142</v>
      </c>
      <c r="AV31">
        <v>685</v>
      </c>
      <c r="AW31">
        <v>685</v>
      </c>
      <c r="AX31">
        <v>685</v>
      </c>
      <c r="AY31">
        <v>685</v>
      </c>
      <c r="AZ31">
        <v>685</v>
      </c>
      <c r="BA31">
        <v>685</v>
      </c>
    </row>
    <row r="32" spans="1:53">
      <c r="A32" t="str">
        <f>IF(B32="","",_xlfn.XLOOKUP(B32&amp;"_"&amp;C32&amp;"_"&amp;D32,[2]ref!$E:$E,[2]ref!$A:$A))</f>
        <v>M_FG</v>
      </c>
      <c r="B32" t="str">
        <v>MMA</v>
      </c>
      <c r="C32" t="str">
        <v>2WAY</v>
      </c>
      <c r="D32" t="str">
        <v>ASSY</v>
      </c>
      <c r="E32">
        <v>5170</v>
      </c>
      <c r="F32">
        <v>6367</v>
      </c>
      <c r="G32">
        <v>6702</v>
      </c>
      <c r="H32">
        <v>6702</v>
      </c>
      <c r="I32">
        <v>4021</v>
      </c>
      <c r="J32">
        <v>6702</v>
      </c>
      <c r="K32">
        <v>6702</v>
      </c>
      <c r="L32">
        <v>5745</v>
      </c>
      <c r="M32">
        <v>5745</v>
      </c>
      <c r="N32">
        <v>5745</v>
      </c>
      <c r="O32">
        <v>5745</v>
      </c>
      <c r="P32">
        <v>4596</v>
      </c>
      <c r="Q32">
        <v>4596</v>
      </c>
      <c r="R32">
        <v>5745</v>
      </c>
      <c r="S32">
        <v>4596</v>
      </c>
      <c r="T32">
        <v>5745</v>
      </c>
      <c r="U32">
        <v>5745</v>
      </c>
      <c r="V32">
        <v>5745</v>
      </c>
      <c r="W32">
        <v>5745</v>
      </c>
      <c r="X32">
        <v>5745</v>
      </c>
      <c r="Y32">
        <v>5745</v>
      </c>
      <c r="Z32">
        <v>5745</v>
      </c>
      <c r="AA32">
        <v>7181</v>
      </c>
      <c r="AB32">
        <v>7324</v>
      </c>
      <c r="AC32">
        <v>7468</v>
      </c>
      <c r="AD32">
        <v>7612</v>
      </c>
      <c r="AE32">
        <v>0</v>
      </c>
      <c r="AF32">
        <v>0</v>
      </c>
      <c r="AG32">
        <v>8617</v>
      </c>
      <c r="AH32">
        <v>8761</v>
      </c>
      <c r="AI32">
        <v>8904</v>
      </c>
      <c r="AJ32">
        <v>9048</v>
      </c>
      <c r="AK32">
        <v>9191</v>
      </c>
      <c r="AL32">
        <v>9335</v>
      </c>
      <c r="AM32">
        <v>9479</v>
      </c>
      <c r="AN32">
        <v>9622</v>
      </c>
      <c r="AO32">
        <v>9766</v>
      </c>
      <c r="AP32">
        <v>6319</v>
      </c>
      <c r="AQ32">
        <v>6319</v>
      </c>
      <c r="AR32">
        <v>6319</v>
      </c>
      <c r="AS32">
        <v>6319</v>
      </c>
      <c r="AT32">
        <v>6319</v>
      </c>
      <c r="AU32">
        <v>6319</v>
      </c>
      <c r="AV32">
        <v>6319</v>
      </c>
      <c r="AW32">
        <v>6319</v>
      </c>
      <c r="AX32">
        <v>6319</v>
      </c>
      <c r="AY32">
        <v>6319</v>
      </c>
      <c r="AZ32">
        <v>3791</v>
      </c>
      <c r="BA32">
        <v>3791</v>
      </c>
    </row>
    <row r="33" spans="1:53">
      <c r="A33" t="str">
        <f>IF(B33="","",_xlfn.XLOOKUP(B33&amp;"_"&amp;C33&amp;"_"&amp;D33,[2]ref!$E:$E,[2]ref!$A:$A))</f>
        <v>N_FG</v>
      </c>
      <c r="B33" t="str">
        <v>MMA</v>
      </c>
      <c r="C33" t="str">
        <v>2WAY</v>
      </c>
      <c r="D33" t="str">
        <v>SEW</v>
      </c>
      <c r="E33">
        <v>5576</v>
      </c>
      <c r="F33">
        <v>5636</v>
      </c>
      <c r="G33">
        <v>5848</v>
      </c>
      <c r="H33">
        <v>5939</v>
      </c>
      <c r="I33">
        <v>3673</v>
      </c>
      <c r="J33">
        <v>6182</v>
      </c>
      <c r="K33">
        <v>6242</v>
      </c>
      <c r="L33">
        <v>6303</v>
      </c>
      <c r="M33">
        <v>6364</v>
      </c>
      <c r="N33">
        <v>6364</v>
      </c>
      <c r="O33">
        <v>6364</v>
      </c>
      <c r="P33">
        <v>5091</v>
      </c>
      <c r="Q33">
        <v>5333</v>
      </c>
      <c r="R33">
        <v>6667</v>
      </c>
      <c r="S33">
        <v>5333</v>
      </c>
      <c r="T33">
        <v>5909</v>
      </c>
      <c r="U33">
        <v>5909</v>
      </c>
      <c r="V33">
        <v>5909</v>
      </c>
      <c r="W33">
        <v>5909</v>
      </c>
      <c r="X33">
        <v>5909</v>
      </c>
      <c r="Y33">
        <v>5909</v>
      </c>
      <c r="Z33">
        <v>6667</v>
      </c>
      <c r="AA33">
        <v>6667</v>
      </c>
      <c r="AB33">
        <v>6667</v>
      </c>
      <c r="AC33">
        <v>6667</v>
      </c>
      <c r="AD33">
        <v>6667</v>
      </c>
      <c r="AE33">
        <v>0</v>
      </c>
      <c r="AF33">
        <v>0</v>
      </c>
      <c r="AG33">
        <v>7939</v>
      </c>
      <c r="AH33">
        <v>7985</v>
      </c>
      <c r="AI33">
        <v>8030</v>
      </c>
      <c r="AJ33">
        <v>8076</v>
      </c>
      <c r="AK33">
        <v>8121</v>
      </c>
      <c r="AL33">
        <v>8167</v>
      </c>
      <c r="AM33">
        <v>8212</v>
      </c>
      <c r="AN33">
        <v>8258</v>
      </c>
      <c r="AO33">
        <v>8303</v>
      </c>
      <c r="AP33">
        <v>7424</v>
      </c>
      <c r="AQ33">
        <v>7424</v>
      </c>
      <c r="AR33">
        <v>26727</v>
      </c>
      <c r="AS33">
        <v>26727</v>
      </c>
      <c r="AT33">
        <v>26727</v>
      </c>
      <c r="AU33">
        <v>26727</v>
      </c>
      <c r="AV33">
        <v>5818</v>
      </c>
      <c r="AW33">
        <v>5818</v>
      </c>
      <c r="AX33">
        <v>5818</v>
      </c>
      <c r="AY33">
        <v>5818</v>
      </c>
      <c r="AZ33">
        <v>5818</v>
      </c>
      <c r="BA33">
        <v>5818</v>
      </c>
    </row>
    <row r="34" spans="1:53">
      <c r="A34" t="str">
        <f>IF(B34="","",_xlfn.XLOOKUP(B34&amp;"_"&amp;C34&amp;"_"&amp;D34,[2]ref!$E:$E,[2]ref!$A:$A))</f>
        <v>M_FG</v>
      </c>
      <c r="B34" t="str">
        <v>MMA</v>
      </c>
      <c r="C34" t="str">
        <v>CARRIER</v>
      </c>
      <c r="D34" t="str">
        <v>ASSY</v>
      </c>
      <c r="E34">
        <v>4438</v>
      </c>
      <c r="F34">
        <v>4438</v>
      </c>
      <c r="G34">
        <v>4438</v>
      </c>
      <c r="H34">
        <v>4438</v>
      </c>
      <c r="I34">
        <v>3328</v>
      </c>
      <c r="J34">
        <v>5547</v>
      </c>
      <c r="K34">
        <v>5547</v>
      </c>
      <c r="L34">
        <v>5547</v>
      </c>
      <c r="M34">
        <v>5547</v>
      </c>
      <c r="N34">
        <v>5547</v>
      </c>
      <c r="O34">
        <v>5547</v>
      </c>
      <c r="P34">
        <v>4438</v>
      </c>
      <c r="Q34">
        <v>4438</v>
      </c>
      <c r="R34">
        <v>5547</v>
      </c>
      <c r="S34">
        <v>4438</v>
      </c>
      <c r="T34">
        <v>5547</v>
      </c>
      <c r="U34">
        <v>5547</v>
      </c>
      <c r="V34">
        <v>5547</v>
      </c>
      <c r="W34">
        <v>5547</v>
      </c>
      <c r="X34">
        <v>5547</v>
      </c>
      <c r="Y34">
        <v>5547</v>
      </c>
      <c r="Z34">
        <v>5547</v>
      </c>
      <c r="AA34">
        <v>5547</v>
      </c>
      <c r="AB34">
        <v>5547</v>
      </c>
      <c r="AC34">
        <v>5547</v>
      </c>
      <c r="AD34">
        <v>5547</v>
      </c>
      <c r="AE34">
        <v>0</v>
      </c>
      <c r="AF34">
        <v>0</v>
      </c>
      <c r="AG34">
        <v>5547</v>
      </c>
      <c r="AH34">
        <v>5547</v>
      </c>
      <c r="AI34">
        <v>5547</v>
      </c>
      <c r="AJ34">
        <v>5547</v>
      </c>
      <c r="AK34">
        <v>5547</v>
      </c>
      <c r="AL34">
        <v>5547</v>
      </c>
      <c r="AM34">
        <v>5547</v>
      </c>
      <c r="AN34">
        <v>5547</v>
      </c>
      <c r="AO34">
        <v>5547</v>
      </c>
      <c r="AP34">
        <v>1591</v>
      </c>
      <c r="AQ34">
        <v>955</v>
      </c>
      <c r="AR34">
        <v>955</v>
      </c>
      <c r="AS34">
        <v>955</v>
      </c>
      <c r="AT34">
        <v>955</v>
      </c>
      <c r="AU34">
        <v>955</v>
      </c>
      <c r="AV34">
        <v>955</v>
      </c>
      <c r="AW34">
        <v>955</v>
      </c>
      <c r="AX34">
        <v>955</v>
      </c>
      <c r="AY34">
        <v>955</v>
      </c>
      <c r="AZ34">
        <v>955</v>
      </c>
      <c r="BA34">
        <v>955</v>
      </c>
    </row>
    <row r="35" spans="1:53">
      <c r="A35" t="str">
        <f>IF(B35="","",_xlfn.XLOOKUP(B35&amp;"_"&amp;C35&amp;"_"&amp;D35,[2]ref!$E:$E,[2]ref!$A:$A))</f>
        <v>M_FG</v>
      </c>
      <c r="B35" t="str">
        <v>MMA</v>
      </c>
      <c r="C35" t="str">
        <v>4WAY</v>
      </c>
      <c r="D35" t="str">
        <v>ASSY</v>
      </c>
      <c r="E35">
        <v>1485</v>
      </c>
      <c r="F35">
        <v>526</v>
      </c>
      <c r="G35">
        <v>2785</v>
      </c>
      <c r="H35">
        <v>2940</v>
      </c>
      <c r="I35">
        <v>1764</v>
      </c>
      <c r="J35">
        <v>4641</v>
      </c>
      <c r="K35">
        <v>4796</v>
      </c>
      <c r="L35">
        <v>4487</v>
      </c>
      <c r="M35">
        <v>4641</v>
      </c>
      <c r="N35">
        <v>4796</v>
      </c>
      <c r="O35">
        <v>4951</v>
      </c>
      <c r="P35">
        <v>4084</v>
      </c>
      <c r="Q35">
        <v>4208</v>
      </c>
      <c r="R35">
        <v>5415</v>
      </c>
      <c r="S35">
        <v>4456</v>
      </c>
      <c r="T35">
        <v>5724</v>
      </c>
      <c r="U35">
        <v>5879</v>
      </c>
      <c r="V35">
        <v>5879</v>
      </c>
      <c r="W35">
        <v>5879</v>
      </c>
      <c r="X35">
        <v>5879</v>
      </c>
      <c r="Y35">
        <v>5879</v>
      </c>
      <c r="Z35">
        <v>7581</v>
      </c>
      <c r="AA35">
        <v>7736</v>
      </c>
      <c r="AB35">
        <v>7890</v>
      </c>
      <c r="AC35">
        <v>8045</v>
      </c>
      <c r="AD35">
        <v>8200</v>
      </c>
      <c r="AE35">
        <v>0</v>
      </c>
      <c r="AF35">
        <v>0</v>
      </c>
      <c r="AG35">
        <v>8664</v>
      </c>
      <c r="AH35">
        <v>8819</v>
      </c>
      <c r="AI35">
        <v>8819</v>
      </c>
      <c r="AJ35">
        <v>8819</v>
      </c>
      <c r="AK35">
        <v>8819</v>
      </c>
      <c r="AL35">
        <v>8819</v>
      </c>
      <c r="AM35">
        <v>8819</v>
      </c>
      <c r="AN35">
        <v>8819</v>
      </c>
      <c r="AO35">
        <v>8819</v>
      </c>
      <c r="AP35">
        <v>1591</v>
      </c>
      <c r="AQ35">
        <v>955</v>
      </c>
      <c r="AR35">
        <v>955</v>
      </c>
      <c r="AS35">
        <v>955</v>
      </c>
      <c r="AT35">
        <v>955</v>
      </c>
      <c r="AU35">
        <v>955</v>
      </c>
      <c r="AV35">
        <v>955</v>
      </c>
      <c r="AW35">
        <v>955</v>
      </c>
      <c r="AX35">
        <v>955</v>
      </c>
      <c r="AY35">
        <v>955</v>
      </c>
      <c r="AZ35">
        <v>955</v>
      </c>
      <c r="BA35">
        <v>955</v>
      </c>
    </row>
    <row r="36" spans="1:53">
      <c r="A36" t="str">
        <f>IF(B36="","",_xlfn.XLOOKUP(B36&amp;"_"&amp;C36&amp;"_"&amp;D36,[2]ref!$E:$E,[2]ref!$A:$A))</f>
        <v>N_FG</v>
      </c>
      <c r="B36" t="str">
        <v>MMA</v>
      </c>
      <c r="C36" t="str">
        <v>4WAY</v>
      </c>
      <c r="D36" t="str">
        <v>SEW</v>
      </c>
      <c r="E36">
        <v>1469</v>
      </c>
      <c r="F36">
        <v>1469</v>
      </c>
      <c r="G36">
        <v>3697</v>
      </c>
      <c r="H36">
        <v>3697</v>
      </c>
      <c r="I36">
        <v>2262</v>
      </c>
      <c r="J36">
        <v>3844</v>
      </c>
      <c r="K36">
        <v>3917</v>
      </c>
      <c r="L36">
        <v>3966</v>
      </c>
      <c r="M36">
        <v>5264</v>
      </c>
      <c r="N36">
        <v>5313</v>
      </c>
      <c r="O36">
        <v>5435</v>
      </c>
      <c r="P36">
        <v>4446</v>
      </c>
      <c r="Q36">
        <v>4544</v>
      </c>
      <c r="R36">
        <v>5778</v>
      </c>
      <c r="S36">
        <v>4701</v>
      </c>
      <c r="T36">
        <v>5974</v>
      </c>
      <c r="U36">
        <v>6072</v>
      </c>
      <c r="V36">
        <v>6170</v>
      </c>
      <c r="W36">
        <v>6268</v>
      </c>
      <c r="X36">
        <v>6366</v>
      </c>
      <c r="Y36">
        <v>6464</v>
      </c>
      <c r="Z36">
        <v>6561</v>
      </c>
      <c r="AA36">
        <v>6659</v>
      </c>
      <c r="AB36">
        <v>6757</v>
      </c>
      <c r="AC36">
        <v>6855</v>
      </c>
      <c r="AD36">
        <v>6953</v>
      </c>
      <c r="AE36">
        <v>0</v>
      </c>
      <c r="AF36">
        <v>0</v>
      </c>
      <c r="AG36">
        <v>7247</v>
      </c>
      <c r="AH36">
        <v>7345</v>
      </c>
      <c r="AI36">
        <v>7443</v>
      </c>
      <c r="AJ36">
        <v>7296</v>
      </c>
      <c r="AK36">
        <v>7345</v>
      </c>
      <c r="AL36">
        <v>7394</v>
      </c>
      <c r="AM36">
        <v>7443</v>
      </c>
      <c r="AN36">
        <v>7492</v>
      </c>
      <c r="AO36">
        <v>7541</v>
      </c>
      <c r="AP36">
        <v>1409</v>
      </c>
      <c r="AQ36">
        <v>1409</v>
      </c>
      <c r="AR36">
        <v>1409</v>
      </c>
      <c r="AS36">
        <v>1409</v>
      </c>
      <c r="AT36">
        <v>1409</v>
      </c>
      <c r="AU36">
        <v>1409</v>
      </c>
      <c r="AV36">
        <v>1409</v>
      </c>
      <c r="AW36">
        <v>1409</v>
      </c>
      <c r="AX36">
        <v>845</v>
      </c>
      <c r="AY36">
        <v>845</v>
      </c>
      <c r="AZ36">
        <v>845</v>
      </c>
      <c r="BA36">
        <v>845</v>
      </c>
    </row>
    <row r="37" spans="1:53">
      <c r="A37" t="str">
        <f>IF(B37="","",_xlfn.XLOOKUP(B37&amp;"_"&amp;C37&amp;"_"&amp;D37,[2]ref!$E:$E,[2]ref!$A:$A))</f>
        <v>M_FG</v>
      </c>
      <c r="B37" t="str">
        <v>MMA</v>
      </c>
      <c r="C37" t="str">
        <v>ROHR</v>
      </c>
      <c r="D37" t="str">
        <v>ASSY</v>
      </c>
      <c r="E37">
        <v>5040</v>
      </c>
      <c r="F37">
        <v>9000</v>
      </c>
      <c r="G37">
        <v>9000</v>
      </c>
      <c r="H37">
        <v>9000</v>
      </c>
      <c r="I37">
        <v>6150</v>
      </c>
      <c r="J37">
        <v>10375</v>
      </c>
      <c r="K37">
        <v>10500</v>
      </c>
      <c r="L37">
        <v>10625</v>
      </c>
      <c r="M37">
        <v>10750</v>
      </c>
      <c r="N37">
        <v>10875</v>
      </c>
      <c r="O37">
        <v>11000</v>
      </c>
      <c r="P37">
        <v>8900</v>
      </c>
      <c r="Q37">
        <v>9000</v>
      </c>
      <c r="R37">
        <v>11375</v>
      </c>
      <c r="S37">
        <v>9200</v>
      </c>
      <c r="T37">
        <v>11625</v>
      </c>
      <c r="U37">
        <v>11750</v>
      </c>
      <c r="V37">
        <v>11875</v>
      </c>
      <c r="W37">
        <v>12000</v>
      </c>
      <c r="X37">
        <v>12125</v>
      </c>
      <c r="Y37">
        <v>11250</v>
      </c>
      <c r="Z37">
        <v>11250</v>
      </c>
      <c r="AA37">
        <v>11250</v>
      </c>
      <c r="AB37">
        <v>11250</v>
      </c>
      <c r="AC37">
        <v>11250</v>
      </c>
      <c r="AD37">
        <v>11250</v>
      </c>
      <c r="AE37">
        <v>0</v>
      </c>
      <c r="AF37">
        <v>0</v>
      </c>
      <c r="AG37">
        <v>11250</v>
      </c>
      <c r="AH37">
        <v>11250</v>
      </c>
      <c r="AI37">
        <v>11250</v>
      </c>
      <c r="AJ37">
        <v>11250</v>
      </c>
      <c r="AK37">
        <v>11250</v>
      </c>
      <c r="AL37">
        <v>11250</v>
      </c>
      <c r="AM37">
        <v>11250</v>
      </c>
      <c r="AN37">
        <v>11250</v>
      </c>
      <c r="AO37">
        <v>11250</v>
      </c>
      <c r="AP37">
        <v>12833</v>
      </c>
      <c r="AQ37">
        <v>35933</v>
      </c>
      <c r="AR37">
        <v>1800</v>
      </c>
      <c r="AS37">
        <v>1800</v>
      </c>
      <c r="AT37">
        <v>1800</v>
      </c>
      <c r="AU37">
        <v>1800</v>
      </c>
      <c r="AV37">
        <v>1800</v>
      </c>
      <c r="AW37">
        <v>1800</v>
      </c>
      <c r="AX37">
        <v>1800</v>
      </c>
      <c r="AY37">
        <v>1800</v>
      </c>
      <c r="AZ37">
        <v>1800</v>
      </c>
      <c r="BA37">
        <v>1800</v>
      </c>
    </row>
    <row r="38" spans="1:53">
      <c r="A38" t="str">
        <f>IF(B38="","",_xlfn.XLOOKUP(B38&amp;"_"&amp;C38&amp;"_"&amp;D38,[2]ref!$E:$E,[2]ref!$A:$A))</f>
        <v>N_FG</v>
      </c>
      <c r="B38" t="str">
        <v>MMA</v>
      </c>
      <c r="C38" t="str">
        <v>ROHR</v>
      </c>
      <c r="D38" t="str">
        <v>SEW</v>
      </c>
      <c r="E38">
        <v>4781</v>
      </c>
      <c r="F38">
        <v>8438</v>
      </c>
      <c r="G38">
        <v>9430</v>
      </c>
      <c r="H38">
        <v>9926</v>
      </c>
      <c r="I38">
        <v>5956</v>
      </c>
      <c r="J38">
        <v>10423</v>
      </c>
      <c r="K38">
        <v>10423</v>
      </c>
      <c r="L38">
        <v>10423</v>
      </c>
      <c r="M38">
        <v>10423</v>
      </c>
      <c r="N38">
        <v>10919</v>
      </c>
      <c r="O38">
        <v>11526</v>
      </c>
      <c r="P38">
        <v>9221</v>
      </c>
      <c r="Q38">
        <v>9221</v>
      </c>
      <c r="R38">
        <v>11526</v>
      </c>
      <c r="S38">
        <v>9221</v>
      </c>
      <c r="T38">
        <v>11526</v>
      </c>
      <c r="U38">
        <v>11526</v>
      </c>
      <c r="V38">
        <v>11526</v>
      </c>
      <c r="W38">
        <v>11526</v>
      </c>
      <c r="X38">
        <v>11526</v>
      </c>
      <c r="Y38">
        <v>11526</v>
      </c>
      <c r="Z38">
        <v>11526</v>
      </c>
      <c r="AA38">
        <v>11526</v>
      </c>
      <c r="AB38">
        <v>11526</v>
      </c>
      <c r="AC38">
        <v>11526</v>
      </c>
      <c r="AD38">
        <v>11526</v>
      </c>
      <c r="AE38">
        <v>0</v>
      </c>
      <c r="AF38">
        <v>0</v>
      </c>
      <c r="AG38">
        <v>11526</v>
      </c>
      <c r="AH38">
        <v>11526</v>
      </c>
      <c r="AI38">
        <v>11526</v>
      </c>
      <c r="AJ38">
        <v>10919</v>
      </c>
      <c r="AK38">
        <v>10919</v>
      </c>
      <c r="AL38">
        <v>10919</v>
      </c>
      <c r="AM38">
        <v>10919</v>
      </c>
      <c r="AN38">
        <v>10919</v>
      </c>
      <c r="AO38">
        <v>10919</v>
      </c>
      <c r="AP38">
        <v>4853</v>
      </c>
      <c r="AQ38">
        <v>4853</v>
      </c>
      <c r="AR38">
        <v>4853</v>
      </c>
      <c r="AS38">
        <v>4853</v>
      </c>
      <c r="AT38">
        <v>4853</v>
      </c>
      <c r="AU38">
        <v>4853</v>
      </c>
      <c r="AV38">
        <v>4853</v>
      </c>
      <c r="AW38">
        <v>4853</v>
      </c>
      <c r="AX38">
        <v>4853</v>
      </c>
      <c r="AY38">
        <v>4853</v>
      </c>
      <c r="AZ38">
        <v>4853</v>
      </c>
      <c r="BA38">
        <v>4853</v>
      </c>
    </row>
    <row r="39" spans="1:53">
      <c r="A39" t="str">
        <f>IF(B39="","",_xlfn.XLOOKUP(B39&amp;"_"&amp;C39&amp;"_"&amp;D39,[2]ref!$E:$E,[2]ref!$A:$A))</f>
        <v>M_FG</v>
      </c>
      <c r="B39" t="str">
        <v>MMA</v>
      </c>
      <c r="C39" t="str">
        <v>RCHR</v>
      </c>
      <c r="D39" t="str">
        <v>ASSY</v>
      </c>
      <c r="E39">
        <v>4187</v>
      </c>
      <c r="F39">
        <v>4314</v>
      </c>
      <c r="G39">
        <v>4441</v>
      </c>
      <c r="H39">
        <v>4568</v>
      </c>
      <c r="I39">
        <v>2817</v>
      </c>
      <c r="J39">
        <v>4821</v>
      </c>
      <c r="K39">
        <v>4948</v>
      </c>
      <c r="L39">
        <v>5075</v>
      </c>
      <c r="M39">
        <v>5202</v>
      </c>
      <c r="N39">
        <v>5075</v>
      </c>
      <c r="O39">
        <v>5075</v>
      </c>
      <c r="P39">
        <v>4060</v>
      </c>
      <c r="Q39">
        <v>4060</v>
      </c>
      <c r="R39">
        <v>5075</v>
      </c>
      <c r="S39">
        <v>4060</v>
      </c>
      <c r="T39">
        <v>5075</v>
      </c>
      <c r="U39">
        <v>5075</v>
      </c>
      <c r="V39">
        <v>5075</v>
      </c>
      <c r="W39">
        <v>5075</v>
      </c>
      <c r="X39">
        <v>5075</v>
      </c>
      <c r="Y39">
        <v>5075</v>
      </c>
      <c r="Z39">
        <v>5075</v>
      </c>
      <c r="AA39">
        <v>5075</v>
      </c>
      <c r="AB39">
        <v>5075</v>
      </c>
      <c r="AC39">
        <v>5075</v>
      </c>
      <c r="AD39">
        <v>5075</v>
      </c>
      <c r="AE39">
        <v>0</v>
      </c>
      <c r="AF39">
        <v>0</v>
      </c>
      <c r="AG39">
        <v>5075</v>
      </c>
      <c r="AH39">
        <v>5075</v>
      </c>
      <c r="AI39">
        <v>5075</v>
      </c>
      <c r="AJ39">
        <v>5075</v>
      </c>
      <c r="AK39">
        <v>5075</v>
      </c>
      <c r="AL39">
        <v>5075</v>
      </c>
      <c r="AM39">
        <v>5075</v>
      </c>
      <c r="AN39">
        <v>5075</v>
      </c>
      <c r="AO39">
        <v>5075</v>
      </c>
      <c r="AP39">
        <v>6090</v>
      </c>
      <c r="AQ39">
        <v>6090</v>
      </c>
      <c r="AR39">
        <v>6090</v>
      </c>
      <c r="AS39">
        <v>6090</v>
      </c>
      <c r="AT39">
        <v>6090</v>
      </c>
      <c r="AU39">
        <v>6090</v>
      </c>
      <c r="AV39">
        <v>7308</v>
      </c>
      <c r="AW39">
        <v>7308</v>
      </c>
      <c r="AX39">
        <v>7308</v>
      </c>
      <c r="AY39">
        <v>7308</v>
      </c>
      <c r="AZ39">
        <v>7308</v>
      </c>
      <c r="BA39">
        <v>7308</v>
      </c>
    </row>
    <row r="40" spans="1:53">
      <c r="A40" t="str">
        <f>IF(B40="","",_xlfn.XLOOKUP(B40&amp;"_"&amp;C40&amp;"_"&amp;D40,[2]ref!$E:$E,[2]ref!$A:$A))</f>
        <v>N_FG</v>
      </c>
      <c r="B40" t="str">
        <v>MMA</v>
      </c>
      <c r="C40" t="str">
        <v>RCHR</v>
      </c>
      <c r="D40" t="str">
        <v>SEW</v>
      </c>
      <c r="E40">
        <v>3113</v>
      </c>
      <c r="F40">
        <v>4076</v>
      </c>
      <c r="G40">
        <v>4262</v>
      </c>
      <c r="H40">
        <v>4447</v>
      </c>
      <c r="I40">
        <v>2700</v>
      </c>
      <c r="J40">
        <v>5008</v>
      </c>
      <c r="K40">
        <v>5066</v>
      </c>
      <c r="L40">
        <v>5125</v>
      </c>
      <c r="M40">
        <v>5183</v>
      </c>
      <c r="N40">
        <v>5241</v>
      </c>
      <c r="O40">
        <v>5299</v>
      </c>
      <c r="P40">
        <v>3896</v>
      </c>
      <c r="Q40">
        <v>3939</v>
      </c>
      <c r="R40">
        <v>4976</v>
      </c>
      <c r="S40">
        <v>4024</v>
      </c>
      <c r="T40">
        <v>5082</v>
      </c>
      <c r="U40">
        <v>5135</v>
      </c>
      <c r="V40">
        <v>5188</v>
      </c>
      <c r="W40">
        <v>5294</v>
      </c>
      <c r="X40">
        <v>5294</v>
      </c>
      <c r="Y40">
        <v>5294</v>
      </c>
      <c r="Z40">
        <v>5294</v>
      </c>
      <c r="AA40">
        <v>5294</v>
      </c>
      <c r="AB40">
        <v>5294</v>
      </c>
      <c r="AC40">
        <v>5294</v>
      </c>
      <c r="AD40">
        <v>5294</v>
      </c>
      <c r="AE40">
        <v>0</v>
      </c>
      <c r="AF40">
        <v>0</v>
      </c>
      <c r="AG40">
        <v>5294</v>
      </c>
      <c r="AH40">
        <v>5294</v>
      </c>
      <c r="AI40">
        <v>5294</v>
      </c>
      <c r="AJ40">
        <v>5294</v>
      </c>
      <c r="AK40">
        <v>5294</v>
      </c>
      <c r="AL40">
        <v>5294</v>
      </c>
      <c r="AM40">
        <v>5294</v>
      </c>
      <c r="AN40">
        <v>5294</v>
      </c>
      <c r="AO40">
        <v>5294</v>
      </c>
      <c r="AP40">
        <v>5718</v>
      </c>
      <c r="AQ40">
        <v>5718</v>
      </c>
      <c r="AR40">
        <v>5718</v>
      </c>
      <c r="AS40">
        <v>5718</v>
      </c>
      <c r="AT40">
        <v>5718</v>
      </c>
      <c r="AU40">
        <v>5718</v>
      </c>
      <c r="AV40">
        <v>20584</v>
      </c>
      <c r="AW40">
        <v>20584</v>
      </c>
      <c r="AX40">
        <v>20584</v>
      </c>
      <c r="AY40">
        <v>20584</v>
      </c>
      <c r="AZ40">
        <v>20584</v>
      </c>
      <c r="BA40">
        <v>20584</v>
      </c>
    </row>
    <row r="41" spans="1:53">
      <c r="A41" t="str">
        <f>IF(B41="","",_xlfn.XLOOKUP(B41&amp;"_"&amp;C41&amp;"_"&amp;D41,[2]ref!$E:$E,[2]ref!$A:$A))</f>
        <v>M_FG</v>
      </c>
      <c r="B41" t="str">
        <v>MMA</v>
      </c>
      <c r="C41" t="str">
        <v>3RD ROW</v>
      </c>
      <c r="D41" t="str">
        <v>ASSY</v>
      </c>
      <c r="E41">
        <v>685</v>
      </c>
      <c r="F41">
        <v>1028</v>
      </c>
      <c r="G41">
        <v>1028</v>
      </c>
      <c r="H41">
        <v>1028</v>
      </c>
      <c r="I41">
        <v>617</v>
      </c>
      <c r="J41">
        <v>1234</v>
      </c>
      <c r="K41">
        <v>1234</v>
      </c>
      <c r="L41">
        <v>685</v>
      </c>
      <c r="M41">
        <v>1028</v>
      </c>
      <c r="N41">
        <v>1028</v>
      </c>
      <c r="O41">
        <v>1028</v>
      </c>
      <c r="P41">
        <v>822</v>
      </c>
      <c r="Q41">
        <v>548</v>
      </c>
      <c r="R41">
        <v>1028</v>
      </c>
      <c r="S41">
        <v>548</v>
      </c>
      <c r="T41">
        <v>685</v>
      </c>
      <c r="U41">
        <v>685</v>
      </c>
      <c r="V41">
        <v>685</v>
      </c>
      <c r="W41">
        <v>685</v>
      </c>
      <c r="X41">
        <v>685</v>
      </c>
      <c r="Y41">
        <v>685</v>
      </c>
      <c r="Z41">
        <v>685</v>
      </c>
      <c r="AA41">
        <v>685</v>
      </c>
      <c r="AB41">
        <v>685</v>
      </c>
      <c r="AC41">
        <v>685</v>
      </c>
      <c r="AD41">
        <v>685</v>
      </c>
      <c r="AE41">
        <v>0</v>
      </c>
      <c r="AF41">
        <v>0</v>
      </c>
      <c r="AG41">
        <v>685</v>
      </c>
      <c r="AH41">
        <v>685</v>
      </c>
      <c r="AI41">
        <v>685</v>
      </c>
      <c r="AJ41">
        <v>685</v>
      </c>
      <c r="AK41">
        <v>685</v>
      </c>
      <c r="AL41">
        <v>685</v>
      </c>
      <c r="AM41">
        <v>685</v>
      </c>
      <c r="AN41">
        <v>685</v>
      </c>
      <c r="AO41">
        <v>685</v>
      </c>
      <c r="AP41">
        <v>1713</v>
      </c>
      <c r="AQ41">
        <v>1713</v>
      </c>
      <c r="AR41">
        <v>1713</v>
      </c>
      <c r="AS41">
        <v>1713</v>
      </c>
      <c r="AT41">
        <v>1713</v>
      </c>
      <c r="AU41">
        <v>1713</v>
      </c>
      <c r="AV41">
        <v>1713</v>
      </c>
      <c r="AW41">
        <v>1713</v>
      </c>
      <c r="AX41">
        <v>1713</v>
      </c>
      <c r="AY41">
        <v>1713</v>
      </c>
      <c r="AZ41">
        <v>1713</v>
      </c>
      <c r="BA41">
        <v>1713</v>
      </c>
    </row>
    <row r="42" spans="1:53">
      <c r="A42" t="str">
        <f>IF(B42="","",_xlfn.XLOOKUP(B42&amp;"_"&amp;C42&amp;"_"&amp;D42,[2]ref!$E:$E,[2]ref!$A:$A))</f>
        <v>N_FG</v>
      </c>
      <c r="B42" t="str">
        <v>MMA</v>
      </c>
      <c r="C42" t="str">
        <v>3RD ROW</v>
      </c>
      <c r="D42" t="str">
        <v>SEW</v>
      </c>
      <c r="E42">
        <v>837</v>
      </c>
      <c r="F42">
        <v>884</v>
      </c>
      <c r="G42">
        <v>977</v>
      </c>
      <c r="H42">
        <v>930</v>
      </c>
      <c r="I42">
        <v>558</v>
      </c>
      <c r="J42">
        <v>1116</v>
      </c>
      <c r="K42">
        <v>1116</v>
      </c>
      <c r="L42">
        <v>930</v>
      </c>
      <c r="M42">
        <v>930</v>
      </c>
      <c r="N42">
        <v>930</v>
      </c>
      <c r="O42">
        <v>1116</v>
      </c>
      <c r="P42">
        <v>744</v>
      </c>
      <c r="Q42">
        <v>744</v>
      </c>
      <c r="R42">
        <v>930</v>
      </c>
      <c r="S42">
        <v>744</v>
      </c>
      <c r="T42">
        <v>930</v>
      </c>
      <c r="U42">
        <v>930</v>
      </c>
      <c r="V42">
        <v>930</v>
      </c>
      <c r="W42">
        <v>930</v>
      </c>
      <c r="X42">
        <v>930</v>
      </c>
      <c r="Y42">
        <v>930</v>
      </c>
      <c r="Z42">
        <v>930</v>
      </c>
      <c r="AA42">
        <v>930</v>
      </c>
      <c r="AB42">
        <v>930</v>
      </c>
      <c r="AC42">
        <v>930</v>
      </c>
      <c r="AD42">
        <v>930</v>
      </c>
      <c r="AE42">
        <v>0</v>
      </c>
      <c r="AF42">
        <v>0</v>
      </c>
      <c r="AG42">
        <v>930</v>
      </c>
      <c r="AH42">
        <v>930</v>
      </c>
      <c r="AI42">
        <v>930</v>
      </c>
      <c r="AJ42">
        <v>930</v>
      </c>
      <c r="AK42">
        <v>930</v>
      </c>
      <c r="AL42">
        <v>930</v>
      </c>
      <c r="AM42">
        <v>930</v>
      </c>
      <c r="AN42">
        <v>930</v>
      </c>
      <c r="AO42">
        <v>930</v>
      </c>
      <c r="AP42">
        <v>1116</v>
      </c>
      <c r="AQ42">
        <v>1116</v>
      </c>
      <c r="AR42">
        <v>1116</v>
      </c>
      <c r="AS42">
        <v>1116</v>
      </c>
      <c r="AT42">
        <v>1116</v>
      </c>
      <c r="AU42">
        <v>1116</v>
      </c>
      <c r="AV42">
        <v>1116</v>
      </c>
      <c r="AW42">
        <v>1116</v>
      </c>
      <c r="AX42">
        <v>1116</v>
      </c>
      <c r="AY42">
        <v>1116</v>
      </c>
      <c r="AZ42">
        <v>1116</v>
      </c>
      <c r="BA42">
        <v>1116</v>
      </c>
    </row>
    <row r="43" spans="1:53">
      <c r="A43" t="str">
        <f>IF(B43="","",_xlfn.XLOOKUP(B43&amp;"_"&amp;C43&amp;"_"&amp;D43,[2]ref!$E:$E,[2]ref!$A:$A))</f>
        <v>O_FG</v>
      </c>
      <c r="B43" t="str">
        <v>Opel</v>
      </c>
      <c r="C43" t="str">
        <v>ARM</v>
      </c>
      <c r="D43" t="str">
        <v>ASSY</v>
      </c>
      <c r="E43">
        <v>447</v>
      </c>
      <c r="F43">
        <v>447</v>
      </c>
      <c r="G43">
        <v>895</v>
      </c>
      <c r="H43">
        <v>895</v>
      </c>
      <c r="I43">
        <v>268</v>
      </c>
      <c r="J43">
        <v>447</v>
      </c>
      <c r="K43">
        <v>447</v>
      </c>
      <c r="L43">
        <v>447</v>
      </c>
      <c r="M43">
        <v>447</v>
      </c>
      <c r="N43">
        <v>447</v>
      </c>
      <c r="O43">
        <v>447</v>
      </c>
      <c r="P43">
        <v>358</v>
      </c>
      <c r="Q43">
        <v>716</v>
      </c>
      <c r="R43">
        <v>447</v>
      </c>
      <c r="S43">
        <v>716</v>
      </c>
      <c r="T43">
        <v>895</v>
      </c>
      <c r="U43">
        <v>895</v>
      </c>
      <c r="V43">
        <v>447</v>
      </c>
      <c r="W43">
        <v>447</v>
      </c>
      <c r="X43">
        <v>537</v>
      </c>
      <c r="Y43">
        <v>1074</v>
      </c>
      <c r="Z43">
        <v>537</v>
      </c>
      <c r="AA43">
        <v>1074</v>
      </c>
      <c r="AB43">
        <v>537</v>
      </c>
      <c r="AC43">
        <v>1074</v>
      </c>
      <c r="AD43">
        <v>1074</v>
      </c>
      <c r="AE43">
        <v>0</v>
      </c>
      <c r="AF43">
        <v>0</v>
      </c>
      <c r="AG43">
        <v>1074</v>
      </c>
      <c r="AH43">
        <v>1074</v>
      </c>
      <c r="AI43">
        <v>1074</v>
      </c>
      <c r="AJ43">
        <v>1074</v>
      </c>
      <c r="AK43">
        <v>1074</v>
      </c>
      <c r="AL43">
        <v>1074</v>
      </c>
      <c r="AM43">
        <v>1074</v>
      </c>
      <c r="AN43">
        <v>1074</v>
      </c>
      <c r="AO43">
        <v>1074</v>
      </c>
      <c r="AP43">
        <v>1610</v>
      </c>
      <c r="AQ43">
        <v>966</v>
      </c>
      <c r="AR43">
        <v>966</v>
      </c>
      <c r="AS43">
        <v>966</v>
      </c>
      <c r="AT43">
        <v>966</v>
      </c>
      <c r="AU43">
        <v>966</v>
      </c>
      <c r="AV43">
        <v>966</v>
      </c>
      <c r="AW43">
        <v>966</v>
      </c>
      <c r="AX43">
        <v>966</v>
      </c>
      <c r="AY43">
        <v>966</v>
      </c>
      <c r="AZ43">
        <v>966</v>
      </c>
      <c r="BA43">
        <v>966</v>
      </c>
    </row>
    <row r="44" spans="1:53">
      <c r="A44" t="str">
        <f>IF(B44="","",_xlfn.XLOOKUP(B44&amp;"_"&amp;C44&amp;"_"&amp;D44,[2]ref!$E:$E,[2]ref!$A:$A))</f>
        <v>V_FG</v>
      </c>
      <c r="B44" t="str">
        <v>Opel</v>
      </c>
      <c r="C44" t="str">
        <v>FHR</v>
      </c>
      <c r="D44" t="str">
        <v>ASSY</v>
      </c>
      <c r="E44">
        <v>1266</v>
      </c>
      <c r="F44">
        <v>1266</v>
      </c>
      <c r="G44">
        <v>844</v>
      </c>
      <c r="H44">
        <v>844</v>
      </c>
      <c r="I44">
        <v>759</v>
      </c>
      <c r="J44">
        <v>1266</v>
      </c>
      <c r="K44">
        <v>1266</v>
      </c>
      <c r="L44">
        <v>1266</v>
      </c>
      <c r="M44">
        <v>1266</v>
      </c>
      <c r="N44">
        <v>1266</v>
      </c>
      <c r="O44">
        <v>1266</v>
      </c>
      <c r="P44">
        <v>1013</v>
      </c>
      <c r="Q44">
        <v>1013</v>
      </c>
      <c r="R44">
        <v>1266</v>
      </c>
      <c r="S44">
        <v>1350</v>
      </c>
      <c r="T44">
        <v>1688</v>
      </c>
      <c r="U44">
        <v>1688</v>
      </c>
      <c r="V44">
        <v>1688</v>
      </c>
      <c r="W44">
        <v>1688</v>
      </c>
      <c r="X44">
        <v>1688</v>
      </c>
      <c r="Y44">
        <v>1856</v>
      </c>
      <c r="Z44">
        <v>1856</v>
      </c>
      <c r="AA44">
        <v>2228</v>
      </c>
      <c r="AB44">
        <v>2228</v>
      </c>
      <c r="AC44">
        <v>2228</v>
      </c>
      <c r="AD44">
        <v>2228</v>
      </c>
      <c r="AE44">
        <v>0</v>
      </c>
      <c r="AF44">
        <v>0</v>
      </c>
      <c r="AG44">
        <v>1856</v>
      </c>
      <c r="AH44">
        <v>1856</v>
      </c>
      <c r="AI44">
        <v>1856</v>
      </c>
      <c r="AJ44">
        <v>1856</v>
      </c>
      <c r="AK44">
        <v>1856</v>
      </c>
      <c r="AL44">
        <v>1856</v>
      </c>
      <c r="AM44">
        <v>1856</v>
      </c>
      <c r="AN44">
        <v>1856</v>
      </c>
      <c r="AO44">
        <v>1856</v>
      </c>
      <c r="AP44">
        <v>2025</v>
      </c>
      <c r="AQ44">
        <v>1215</v>
      </c>
      <c r="AR44">
        <v>1215</v>
      </c>
      <c r="AS44">
        <v>1215</v>
      </c>
      <c r="AT44">
        <v>1215</v>
      </c>
      <c r="AU44">
        <v>1215</v>
      </c>
      <c r="AV44">
        <v>1215</v>
      </c>
      <c r="AW44">
        <v>1215</v>
      </c>
      <c r="AX44">
        <v>1215</v>
      </c>
      <c r="AY44">
        <v>1215</v>
      </c>
      <c r="AZ44">
        <v>1215</v>
      </c>
      <c r="BA44">
        <v>1215</v>
      </c>
    </row>
    <row r="45" spans="1:53">
      <c r="A45" t="str">
        <f>IF(B45="","",_xlfn.XLOOKUP(B45&amp;"_"&amp;C45&amp;"_"&amp;D45,[2]ref!$E:$E,[2]ref!$A:$A))</f>
        <v>S_FG</v>
      </c>
      <c r="B45" t="str">
        <v>Opel</v>
      </c>
      <c r="C45" t="str">
        <v>FHR&amp;ARM</v>
      </c>
      <c r="D45" t="str">
        <v>SEW</v>
      </c>
      <c r="E45">
        <v>1662</v>
      </c>
      <c r="F45">
        <v>1662</v>
      </c>
      <c r="G45">
        <v>1662</v>
      </c>
      <c r="H45">
        <v>1662</v>
      </c>
      <c r="I45">
        <v>997</v>
      </c>
      <c r="J45">
        <v>1662</v>
      </c>
      <c r="K45">
        <v>1662</v>
      </c>
      <c r="L45">
        <v>1662</v>
      </c>
      <c r="M45">
        <v>2077</v>
      </c>
      <c r="N45">
        <v>2077</v>
      </c>
      <c r="O45">
        <v>2077</v>
      </c>
      <c r="P45">
        <v>1662</v>
      </c>
      <c r="Q45">
        <v>1662</v>
      </c>
      <c r="R45">
        <v>2077</v>
      </c>
      <c r="S45">
        <v>1662</v>
      </c>
      <c r="T45">
        <v>2077</v>
      </c>
      <c r="U45">
        <v>2077</v>
      </c>
      <c r="V45">
        <v>2077</v>
      </c>
      <c r="W45">
        <v>2077</v>
      </c>
      <c r="X45">
        <v>2077</v>
      </c>
      <c r="Y45">
        <v>2492</v>
      </c>
      <c r="Z45">
        <v>2492</v>
      </c>
      <c r="AA45">
        <v>2908</v>
      </c>
      <c r="AB45">
        <v>2908</v>
      </c>
      <c r="AC45">
        <v>2908</v>
      </c>
      <c r="AD45">
        <v>2908</v>
      </c>
      <c r="AE45">
        <v>0</v>
      </c>
      <c r="AF45">
        <v>0</v>
      </c>
      <c r="AG45">
        <v>2908</v>
      </c>
      <c r="AH45">
        <v>2908</v>
      </c>
      <c r="AI45">
        <v>2908</v>
      </c>
      <c r="AJ45">
        <v>2908</v>
      </c>
      <c r="AK45">
        <v>2908</v>
      </c>
      <c r="AL45">
        <v>2908</v>
      </c>
      <c r="AM45">
        <v>2908</v>
      </c>
      <c r="AN45">
        <v>2908</v>
      </c>
      <c r="AO45">
        <v>2700</v>
      </c>
      <c r="AP45">
        <v>1246</v>
      </c>
      <c r="AQ45">
        <v>748</v>
      </c>
      <c r="AR45">
        <v>748</v>
      </c>
      <c r="AS45">
        <v>748</v>
      </c>
      <c r="AT45">
        <v>748</v>
      </c>
      <c r="AU45">
        <v>748</v>
      </c>
      <c r="AV45">
        <v>748</v>
      </c>
      <c r="AW45">
        <v>748</v>
      </c>
      <c r="AX45">
        <v>748</v>
      </c>
      <c r="AY45">
        <v>748</v>
      </c>
      <c r="AZ45">
        <v>748</v>
      </c>
      <c r="BA45">
        <v>748</v>
      </c>
    </row>
    <row r="46" spans="1:53">
      <c r="A46" t="str">
        <f>IF(B46="","",_xlfn.XLOOKUP(B46&amp;"_"&amp;C46&amp;"_"&amp;D46,[2]ref!$E:$E,[2]ref!$A:$A))</f>
        <v>V_FG</v>
      </c>
      <c r="B46" t="str">
        <v>Volvo</v>
      </c>
      <c r="C46" t="str">
        <v>ROHR</v>
      </c>
      <c r="D46" t="str">
        <v>ASSY</v>
      </c>
      <c r="E46">
        <v>9594</v>
      </c>
      <c r="F46">
        <v>9594</v>
      </c>
      <c r="G46">
        <v>9594</v>
      </c>
      <c r="H46">
        <v>9594</v>
      </c>
      <c r="I46">
        <v>5756</v>
      </c>
      <c r="J46">
        <v>9594</v>
      </c>
      <c r="K46">
        <v>9594</v>
      </c>
      <c r="L46">
        <v>9594</v>
      </c>
      <c r="M46">
        <v>9594</v>
      </c>
      <c r="N46">
        <v>9594</v>
      </c>
      <c r="O46">
        <v>9594</v>
      </c>
      <c r="P46">
        <v>7675</v>
      </c>
      <c r="Q46">
        <v>7675</v>
      </c>
      <c r="R46">
        <v>9594</v>
      </c>
      <c r="S46">
        <v>7675</v>
      </c>
      <c r="T46">
        <v>9594</v>
      </c>
      <c r="U46">
        <v>9594</v>
      </c>
      <c r="V46">
        <v>9594</v>
      </c>
      <c r="W46">
        <v>9594</v>
      </c>
      <c r="X46">
        <v>9594</v>
      </c>
      <c r="Y46">
        <v>9594</v>
      </c>
      <c r="Z46">
        <v>9594</v>
      </c>
      <c r="AA46">
        <v>9594</v>
      </c>
      <c r="AB46">
        <v>9594</v>
      </c>
      <c r="AC46">
        <v>9594</v>
      </c>
      <c r="AD46">
        <v>0</v>
      </c>
      <c r="AE46">
        <v>0</v>
      </c>
      <c r="AF46">
        <v>0</v>
      </c>
      <c r="AG46">
        <v>0</v>
      </c>
      <c r="AH46">
        <v>9594</v>
      </c>
      <c r="AI46">
        <v>9594</v>
      </c>
      <c r="AJ46">
        <v>9594</v>
      </c>
      <c r="AK46">
        <v>9594</v>
      </c>
      <c r="AL46">
        <v>9594</v>
      </c>
      <c r="AM46">
        <v>9594</v>
      </c>
      <c r="AN46">
        <v>9594</v>
      </c>
      <c r="AO46">
        <v>9594</v>
      </c>
      <c r="AP46">
        <v>2056</v>
      </c>
      <c r="AQ46">
        <v>1234</v>
      </c>
      <c r="AR46">
        <v>1234</v>
      </c>
      <c r="AS46">
        <v>1234</v>
      </c>
      <c r="AT46">
        <v>1234</v>
      </c>
      <c r="AU46">
        <v>1234</v>
      </c>
      <c r="AV46">
        <v>1234</v>
      </c>
      <c r="AW46">
        <v>1234</v>
      </c>
      <c r="AX46">
        <v>1234</v>
      </c>
      <c r="AY46">
        <v>1234</v>
      </c>
      <c r="AZ46">
        <v>1234</v>
      </c>
      <c r="BA46">
        <v>1234</v>
      </c>
    </row>
    <row r="47" spans="1:53">
      <c r="A47" t="str">
        <f>IF(B47="","",_xlfn.XLOOKUP(B47&amp;"_"&amp;C47&amp;"_"&amp;D47,[2]ref!$E:$E,[2]ref!$A:$A))</f>
        <v>A_FG</v>
      </c>
      <c r="B47" t="str">
        <v>Volvo</v>
      </c>
      <c r="C47" t="str">
        <v>ROHR Insourcing</v>
      </c>
      <c r="D47" t="str">
        <v>SEW</v>
      </c>
      <c r="E47">
        <v>1636</v>
      </c>
      <c r="F47">
        <v>3068</v>
      </c>
      <c r="G47">
        <v>0</v>
      </c>
      <c r="H47">
        <v>3886</v>
      </c>
      <c r="I47">
        <v>2792</v>
      </c>
      <c r="J47">
        <v>5420</v>
      </c>
      <c r="K47">
        <v>6188</v>
      </c>
      <c r="L47">
        <v>6699</v>
      </c>
      <c r="M47">
        <v>8652</v>
      </c>
      <c r="N47">
        <v>9266</v>
      </c>
      <c r="O47">
        <v>9880</v>
      </c>
      <c r="P47">
        <v>6995</v>
      </c>
      <c r="Q47">
        <v>7405</v>
      </c>
      <c r="R47">
        <v>10227</v>
      </c>
      <c r="S47">
        <v>8182</v>
      </c>
      <c r="T47">
        <v>10227</v>
      </c>
      <c r="U47">
        <v>10227</v>
      </c>
      <c r="V47">
        <v>10227</v>
      </c>
      <c r="W47">
        <v>11250</v>
      </c>
      <c r="X47">
        <v>11250</v>
      </c>
      <c r="Y47">
        <v>10625</v>
      </c>
      <c r="Z47">
        <v>10625</v>
      </c>
      <c r="AA47">
        <v>10625</v>
      </c>
      <c r="AB47">
        <v>10625</v>
      </c>
      <c r="AC47">
        <v>10625</v>
      </c>
      <c r="AD47">
        <v>10625</v>
      </c>
      <c r="AE47">
        <v>0</v>
      </c>
      <c r="AF47">
        <v>0</v>
      </c>
      <c r="AG47">
        <v>10625</v>
      </c>
      <c r="AH47">
        <v>10625</v>
      </c>
      <c r="AI47">
        <v>10625</v>
      </c>
      <c r="AJ47">
        <v>10625</v>
      </c>
      <c r="AK47">
        <v>10625</v>
      </c>
      <c r="AL47">
        <v>10625</v>
      </c>
      <c r="AM47">
        <v>10625</v>
      </c>
      <c r="AN47">
        <v>10625</v>
      </c>
      <c r="AO47">
        <v>10625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>
      <c r="A48" t="str">
        <f>IF(B48="","",_xlfn.XLOOKUP(B48&amp;"_"&amp;C48&amp;"_"&amp;D48,[2]ref!$E:$E,[2]ref!$A:$A))</f>
        <v>V_FG</v>
      </c>
      <c r="B48" t="str">
        <v>Volvo</v>
      </c>
      <c r="C48" t="str">
        <v>LOW SPEC</v>
      </c>
      <c r="D48" t="str">
        <v>ASSY</v>
      </c>
      <c r="E48">
        <v>3631</v>
      </c>
      <c r="F48">
        <v>3631</v>
      </c>
      <c r="G48">
        <v>3631</v>
      </c>
      <c r="H48">
        <v>3631</v>
      </c>
      <c r="I48">
        <v>2178</v>
      </c>
      <c r="J48">
        <v>3631</v>
      </c>
      <c r="K48">
        <v>3547</v>
      </c>
      <c r="L48">
        <v>3547</v>
      </c>
      <c r="M48">
        <v>3547</v>
      </c>
      <c r="N48">
        <v>3547</v>
      </c>
      <c r="O48">
        <v>3547</v>
      </c>
      <c r="P48">
        <v>2838</v>
      </c>
      <c r="Q48">
        <v>2838</v>
      </c>
      <c r="R48">
        <v>3547</v>
      </c>
      <c r="S48">
        <v>2838</v>
      </c>
      <c r="T48">
        <v>3547</v>
      </c>
      <c r="U48">
        <v>3547</v>
      </c>
      <c r="V48">
        <v>3547</v>
      </c>
      <c r="W48">
        <v>3547</v>
      </c>
      <c r="X48">
        <v>3547</v>
      </c>
      <c r="Y48">
        <v>3547</v>
      </c>
      <c r="Z48">
        <v>3547</v>
      </c>
      <c r="AA48">
        <v>3547</v>
      </c>
      <c r="AB48">
        <v>3547</v>
      </c>
      <c r="AC48">
        <v>3547</v>
      </c>
      <c r="AD48">
        <v>0</v>
      </c>
      <c r="AE48">
        <v>0</v>
      </c>
      <c r="AF48">
        <v>0</v>
      </c>
      <c r="AG48">
        <v>0</v>
      </c>
      <c r="AH48">
        <v>3547</v>
      </c>
      <c r="AI48">
        <v>3547</v>
      </c>
      <c r="AJ48">
        <v>3547</v>
      </c>
      <c r="AK48">
        <v>3547</v>
      </c>
      <c r="AL48">
        <v>3547</v>
      </c>
      <c r="AM48">
        <v>3547</v>
      </c>
      <c r="AN48">
        <v>3547</v>
      </c>
      <c r="AO48">
        <v>3547</v>
      </c>
      <c r="AP48">
        <v>1252</v>
      </c>
      <c r="AQ48">
        <v>751</v>
      </c>
      <c r="AR48">
        <v>751</v>
      </c>
      <c r="AS48">
        <v>751</v>
      </c>
      <c r="AT48">
        <v>751</v>
      </c>
      <c r="AU48">
        <v>751</v>
      </c>
      <c r="AV48">
        <v>751</v>
      </c>
      <c r="AW48">
        <v>751</v>
      </c>
      <c r="AX48">
        <v>751</v>
      </c>
      <c r="AY48">
        <v>751</v>
      </c>
      <c r="AZ48">
        <v>751</v>
      </c>
      <c r="BA48">
        <v>751</v>
      </c>
    </row>
    <row r="49" spans="1:53">
      <c r="A49" t="str">
        <f>IF(B49="","",_xlfn.XLOOKUP(B49&amp;"_"&amp;C49&amp;"_"&amp;D49,[2]ref!$E:$E,[2]ref!$A:$A))</f>
        <v>A_FG</v>
      </c>
      <c r="B49" t="str">
        <v>Volvo</v>
      </c>
      <c r="C49" t="str">
        <v>LOW SPEC</v>
      </c>
      <c r="D49" t="str">
        <v>SEW</v>
      </c>
      <c r="E49">
        <v>3208</v>
      </c>
      <c r="F49">
        <v>3565</v>
      </c>
      <c r="G49">
        <v>4159</v>
      </c>
      <c r="H49">
        <v>4159</v>
      </c>
      <c r="I49">
        <v>2495</v>
      </c>
      <c r="J49">
        <v>3565</v>
      </c>
      <c r="K49">
        <v>3565</v>
      </c>
      <c r="L49">
        <v>3565</v>
      </c>
      <c r="M49">
        <v>3565</v>
      </c>
      <c r="N49">
        <v>3565</v>
      </c>
      <c r="O49">
        <v>3565</v>
      </c>
      <c r="P49">
        <v>2852</v>
      </c>
      <c r="Q49">
        <v>2852</v>
      </c>
      <c r="R49">
        <v>3565</v>
      </c>
      <c r="S49">
        <v>2852</v>
      </c>
      <c r="T49">
        <v>3565</v>
      </c>
      <c r="U49">
        <v>3565</v>
      </c>
      <c r="V49">
        <v>3565</v>
      </c>
      <c r="W49">
        <v>3565</v>
      </c>
      <c r="X49">
        <v>3565</v>
      </c>
      <c r="Y49">
        <v>3565</v>
      </c>
      <c r="Z49">
        <v>3565</v>
      </c>
      <c r="AA49">
        <v>3410</v>
      </c>
      <c r="AB49">
        <v>3410</v>
      </c>
      <c r="AC49">
        <v>3410</v>
      </c>
      <c r="AD49">
        <v>3410</v>
      </c>
      <c r="AE49">
        <v>0</v>
      </c>
      <c r="AF49">
        <v>0</v>
      </c>
      <c r="AG49">
        <v>0</v>
      </c>
      <c r="AH49">
        <v>3410</v>
      </c>
      <c r="AI49">
        <v>3410</v>
      </c>
      <c r="AJ49">
        <v>3410</v>
      </c>
      <c r="AK49">
        <v>3410</v>
      </c>
      <c r="AL49">
        <v>3410</v>
      </c>
      <c r="AM49">
        <v>3410</v>
      </c>
      <c r="AN49">
        <v>3410</v>
      </c>
      <c r="AO49">
        <v>3410</v>
      </c>
      <c r="AP49">
        <v>3358</v>
      </c>
      <c r="AQ49">
        <v>8731</v>
      </c>
      <c r="AR49">
        <v>8731</v>
      </c>
      <c r="AS49">
        <v>8731</v>
      </c>
      <c r="AT49">
        <v>8731</v>
      </c>
      <c r="AU49">
        <v>8731</v>
      </c>
      <c r="AV49">
        <v>8731</v>
      </c>
      <c r="AW49">
        <v>8731</v>
      </c>
      <c r="AX49">
        <v>8731</v>
      </c>
      <c r="AY49">
        <v>8731</v>
      </c>
      <c r="AZ49">
        <v>8731</v>
      </c>
      <c r="BA49">
        <v>8731</v>
      </c>
    </row>
    <row r="50" spans="1:53">
      <c r="A50" t="str">
        <f>IF(B50="","",_xlfn.XLOOKUP(B50&amp;"_"&amp;C50&amp;"_"&amp;D50,[2]ref!$E:$E,[2]ref!$A:$A))</f>
        <v>V_FG</v>
      </c>
      <c r="B50" t="str">
        <v>Volvo</v>
      </c>
      <c r="C50" t="str">
        <v>ROHR - NEW</v>
      </c>
      <c r="D50" t="str">
        <v>ASSY</v>
      </c>
      <c r="E50">
        <v>192</v>
      </c>
      <c r="F50">
        <v>192</v>
      </c>
      <c r="G50">
        <v>192</v>
      </c>
      <c r="H50">
        <v>192</v>
      </c>
      <c r="I50">
        <v>576</v>
      </c>
      <c r="J50">
        <v>192</v>
      </c>
      <c r="K50">
        <v>192</v>
      </c>
      <c r="L50">
        <v>192</v>
      </c>
      <c r="M50">
        <v>960</v>
      </c>
      <c r="N50">
        <v>960</v>
      </c>
      <c r="O50">
        <v>960</v>
      </c>
      <c r="P50">
        <v>768</v>
      </c>
      <c r="Q50">
        <v>768</v>
      </c>
      <c r="R50">
        <v>960</v>
      </c>
      <c r="S50">
        <v>768</v>
      </c>
      <c r="T50">
        <v>960</v>
      </c>
      <c r="U50">
        <v>960</v>
      </c>
      <c r="V50">
        <v>960</v>
      </c>
      <c r="W50">
        <v>960</v>
      </c>
      <c r="X50">
        <v>960</v>
      </c>
      <c r="Y50">
        <v>960</v>
      </c>
      <c r="Z50">
        <v>960</v>
      </c>
      <c r="AA50">
        <v>960</v>
      </c>
      <c r="AB50">
        <v>960</v>
      </c>
      <c r="AC50">
        <v>960</v>
      </c>
      <c r="AD50">
        <v>960</v>
      </c>
      <c r="AE50">
        <v>0</v>
      </c>
      <c r="AF50">
        <v>0</v>
      </c>
      <c r="AG50">
        <v>960</v>
      </c>
      <c r="AH50">
        <v>960</v>
      </c>
      <c r="AI50">
        <v>960</v>
      </c>
      <c r="AJ50">
        <v>960</v>
      </c>
      <c r="AK50">
        <v>2881</v>
      </c>
      <c r="AL50">
        <v>2881</v>
      </c>
      <c r="AM50">
        <v>2881</v>
      </c>
      <c r="AN50">
        <v>3458</v>
      </c>
      <c r="AO50">
        <v>3458</v>
      </c>
      <c r="AP50">
        <v>3458</v>
      </c>
      <c r="AQ50">
        <v>2075</v>
      </c>
      <c r="AR50">
        <v>2075</v>
      </c>
      <c r="AS50">
        <v>2075</v>
      </c>
      <c r="AT50">
        <v>2075</v>
      </c>
      <c r="AU50">
        <v>2075</v>
      </c>
      <c r="AV50">
        <v>2075</v>
      </c>
      <c r="AW50">
        <v>2075</v>
      </c>
      <c r="AX50">
        <v>2075</v>
      </c>
      <c r="AY50">
        <v>2075</v>
      </c>
      <c r="AZ50">
        <v>2075</v>
      </c>
      <c r="BA50">
        <v>2075</v>
      </c>
    </row>
    <row r="51" spans="1:53">
      <c r="A51" t="str">
        <f>IF(B51="","",_xlfn.XLOOKUP(B51&amp;"_"&amp;C51&amp;"_"&amp;D51,[2]ref!$E:$E,[2]ref!$A:$A))</f>
        <v>A_FG</v>
      </c>
      <c r="B51" t="str">
        <v>Volvo</v>
      </c>
      <c r="C51" t="str">
        <v>ROHR - NEW</v>
      </c>
      <c r="D51" t="str">
        <v>SEW</v>
      </c>
      <c r="E51">
        <v>169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1520</v>
      </c>
      <c r="AQ51">
        <v>912</v>
      </c>
      <c r="AR51">
        <v>912</v>
      </c>
      <c r="AS51">
        <v>912</v>
      </c>
      <c r="AT51">
        <v>912</v>
      </c>
      <c r="AU51">
        <v>912</v>
      </c>
      <c r="AV51">
        <v>912</v>
      </c>
      <c r="AW51">
        <v>912</v>
      </c>
      <c r="AX51">
        <v>912</v>
      </c>
      <c r="AY51">
        <v>912</v>
      </c>
      <c r="AZ51">
        <v>912</v>
      </c>
      <c r="BA51">
        <v>912</v>
      </c>
    </row>
    <row r="52" spans="1:53">
      <c r="A52" t="str">
        <f>IF(B52="","",_xlfn.XLOOKUP(B52&amp;"_"&amp;C52&amp;"_"&amp;D52,[2]ref!$E:$E,[2]ref!$A:$A))</f>
        <v>V_FG</v>
      </c>
      <c r="B52" t="str">
        <v>Volvo EX30</v>
      </c>
      <c r="C52" t="str">
        <v>FHR</v>
      </c>
      <c r="D52" t="str">
        <v>ASSY</v>
      </c>
      <c r="E52">
        <v>2761</v>
      </c>
      <c r="F52">
        <v>1841</v>
      </c>
      <c r="G52">
        <v>1841</v>
      </c>
      <c r="H52">
        <v>1841</v>
      </c>
      <c r="I52">
        <v>1105</v>
      </c>
      <c r="J52">
        <v>1841</v>
      </c>
      <c r="K52">
        <v>2761</v>
      </c>
      <c r="L52">
        <v>1841</v>
      </c>
      <c r="M52">
        <v>2761</v>
      </c>
      <c r="N52">
        <v>1841</v>
      </c>
      <c r="O52">
        <v>2761</v>
      </c>
      <c r="P52">
        <v>1473</v>
      </c>
      <c r="Q52">
        <v>2209</v>
      </c>
      <c r="R52">
        <v>1841</v>
      </c>
      <c r="S52">
        <v>2209</v>
      </c>
      <c r="T52">
        <v>1841</v>
      </c>
      <c r="U52">
        <v>2761</v>
      </c>
      <c r="V52">
        <v>1841</v>
      </c>
      <c r="W52">
        <v>2761</v>
      </c>
      <c r="X52">
        <v>1841</v>
      </c>
      <c r="Y52">
        <v>1841</v>
      </c>
      <c r="Z52">
        <v>920</v>
      </c>
      <c r="AA52">
        <v>920</v>
      </c>
      <c r="AB52">
        <v>920</v>
      </c>
      <c r="AC52">
        <v>920</v>
      </c>
      <c r="AD52">
        <v>0</v>
      </c>
      <c r="AE52">
        <v>0</v>
      </c>
      <c r="AF52">
        <v>0</v>
      </c>
      <c r="AG52">
        <v>0</v>
      </c>
      <c r="AH52">
        <v>920</v>
      </c>
      <c r="AI52">
        <v>920</v>
      </c>
      <c r="AJ52">
        <v>920</v>
      </c>
      <c r="AK52">
        <v>920</v>
      </c>
      <c r="AL52">
        <v>920</v>
      </c>
      <c r="AM52">
        <v>920</v>
      </c>
      <c r="AN52">
        <v>920</v>
      </c>
      <c r="AO52">
        <v>920</v>
      </c>
      <c r="AP52">
        <v>1227</v>
      </c>
      <c r="AQ52">
        <v>245</v>
      </c>
      <c r="AR52">
        <v>245</v>
      </c>
      <c r="AS52">
        <v>245</v>
      </c>
      <c r="AT52">
        <v>245</v>
      </c>
      <c r="AU52">
        <v>245</v>
      </c>
      <c r="AV52">
        <v>245</v>
      </c>
      <c r="AW52">
        <v>245</v>
      </c>
      <c r="AX52">
        <v>245</v>
      </c>
      <c r="AY52">
        <v>245</v>
      </c>
      <c r="AZ52">
        <v>245</v>
      </c>
      <c r="BA52">
        <v>245</v>
      </c>
    </row>
    <row r="53" spans="1:53">
      <c r="A53" t="str">
        <f>IF(B53="","",_xlfn.XLOOKUP(B53&amp;"_"&amp;C53&amp;"_"&amp;D53,[2]ref!$E:$E,[2]ref!$A:$A))</f>
        <v>A_FG</v>
      </c>
      <c r="B53" t="str">
        <v>Volvo EX30</v>
      </c>
      <c r="C53" t="str">
        <v>FHR</v>
      </c>
      <c r="D53" t="str">
        <v>SEW</v>
      </c>
      <c r="E53">
        <v>2012</v>
      </c>
      <c r="F53">
        <v>2012</v>
      </c>
      <c r="G53">
        <v>2012</v>
      </c>
      <c r="H53">
        <v>2195</v>
      </c>
      <c r="I53">
        <v>1317</v>
      </c>
      <c r="J53">
        <v>2195</v>
      </c>
      <c r="K53">
        <v>2195</v>
      </c>
      <c r="L53">
        <v>2195</v>
      </c>
      <c r="M53">
        <v>2195</v>
      </c>
      <c r="N53">
        <v>2195</v>
      </c>
      <c r="O53">
        <v>2195</v>
      </c>
      <c r="P53">
        <v>1756</v>
      </c>
      <c r="Q53">
        <v>1756</v>
      </c>
      <c r="R53">
        <v>2195</v>
      </c>
      <c r="S53">
        <v>1756</v>
      </c>
      <c r="T53">
        <v>2195</v>
      </c>
      <c r="U53">
        <v>2195</v>
      </c>
      <c r="V53">
        <v>2195</v>
      </c>
      <c r="W53">
        <v>2195</v>
      </c>
      <c r="X53">
        <v>2195</v>
      </c>
      <c r="Y53">
        <v>2195</v>
      </c>
      <c r="Z53">
        <v>2195</v>
      </c>
      <c r="AA53">
        <v>2195</v>
      </c>
      <c r="AB53">
        <v>1829</v>
      </c>
      <c r="AC53">
        <v>1829</v>
      </c>
      <c r="AD53">
        <v>1829</v>
      </c>
      <c r="AE53">
        <v>0</v>
      </c>
      <c r="AF53">
        <v>0</v>
      </c>
      <c r="AG53">
        <v>0</v>
      </c>
      <c r="AH53">
        <v>1829</v>
      </c>
      <c r="AI53">
        <v>1829</v>
      </c>
      <c r="AJ53">
        <v>1829</v>
      </c>
      <c r="AK53">
        <v>1829</v>
      </c>
      <c r="AL53">
        <v>1829</v>
      </c>
      <c r="AM53">
        <v>1829</v>
      </c>
      <c r="AN53">
        <v>1829</v>
      </c>
      <c r="AO53">
        <v>1829</v>
      </c>
      <c r="AP53">
        <v>2561</v>
      </c>
      <c r="AQ53">
        <v>3585</v>
      </c>
      <c r="AR53">
        <v>3585</v>
      </c>
      <c r="AS53">
        <v>3585</v>
      </c>
      <c r="AT53">
        <v>3585</v>
      </c>
      <c r="AU53">
        <v>3585</v>
      </c>
      <c r="AV53">
        <v>3585</v>
      </c>
      <c r="AW53">
        <v>3585</v>
      </c>
      <c r="AX53">
        <v>3585</v>
      </c>
      <c r="AY53">
        <v>3585</v>
      </c>
      <c r="AZ53">
        <v>3585</v>
      </c>
      <c r="BA53">
        <v>3585</v>
      </c>
    </row>
    <row r="54" spans="1:53">
      <c r="A54" t="str">
        <f>IF(B54="","",_xlfn.XLOOKUP(B54&amp;"_"&amp;C54&amp;"_"&amp;D54,[2]ref!$E:$E,[2]ref!$A:$A))</f>
        <v>V_FG</v>
      </c>
      <c r="B54" t="str">
        <v>Volvo GPA</v>
      </c>
      <c r="C54" t="str">
        <v>FHR</v>
      </c>
      <c r="D54" t="str">
        <v>ASSY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135</v>
      </c>
      <c r="P54">
        <v>270</v>
      </c>
      <c r="Q54">
        <v>540</v>
      </c>
      <c r="R54">
        <v>338</v>
      </c>
      <c r="S54">
        <v>540</v>
      </c>
      <c r="T54">
        <v>1013</v>
      </c>
      <c r="U54">
        <v>1013</v>
      </c>
      <c r="V54">
        <v>1013</v>
      </c>
      <c r="W54">
        <v>1013</v>
      </c>
      <c r="X54">
        <v>1013</v>
      </c>
      <c r="Y54">
        <v>1013</v>
      </c>
      <c r="Z54">
        <v>1013</v>
      </c>
      <c r="AA54">
        <v>1013</v>
      </c>
      <c r="AB54">
        <v>1013</v>
      </c>
      <c r="AC54">
        <v>1266</v>
      </c>
      <c r="AD54">
        <v>3377</v>
      </c>
      <c r="AE54">
        <v>0</v>
      </c>
      <c r="AF54">
        <v>0</v>
      </c>
      <c r="AG54">
        <v>3377</v>
      </c>
      <c r="AH54">
        <v>3377</v>
      </c>
      <c r="AI54">
        <v>3377</v>
      </c>
      <c r="AJ54">
        <v>3377</v>
      </c>
      <c r="AK54">
        <v>3377</v>
      </c>
      <c r="AL54">
        <v>3377</v>
      </c>
      <c r="AM54">
        <v>3377</v>
      </c>
      <c r="AN54">
        <v>3377</v>
      </c>
      <c r="AO54">
        <v>3377</v>
      </c>
      <c r="AP54">
        <v>4221</v>
      </c>
      <c r="AQ54">
        <v>8443</v>
      </c>
      <c r="AR54">
        <v>8443</v>
      </c>
      <c r="AS54">
        <v>8443</v>
      </c>
      <c r="AT54">
        <v>8443</v>
      </c>
      <c r="AU54">
        <v>8443</v>
      </c>
      <c r="AV54">
        <v>8443</v>
      </c>
      <c r="AW54">
        <v>8443</v>
      </c>
      <c r="AX54">
        <v>8443</v>
      </c>
      <c r="AY54">
        <v>8443</v>
      </c>
      <c r="AZ54">
        <v>8443</v>
      </c>
      <c r="BA54">
        <v>8443</v>
      </c>
    </row>
    <row r="55" spans="1:53">
      <c r="A55" t="str">
        <f>IF(B55="","",_xlfn.XLOOKUP(B55&amp;"_"&amp;C55&amp;"_"&amp;D55,[2]ref!$E:$E,[2]ref!$A:$A))</f>
        <v>A_FG</v>
      </c>
      <c r="B55" t="str">
        <v>Volvo GPA</v>
      </c>
      <c r="C55" t="str">
        <v>FHR</v>
      </c>
      <c r="D55" t="str">
        <v>SEW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275</v>
      </c>
      <c r="L55">
        <v>303</v>
      </c>
      <c r="M55">
        <v>330</v>
      </c>
      <c r="N55">
        <v>537</v>
      </c>
      <c r="O55">
        <v>578</v>
      </c>
      <c r="P55">
        <v>496</v>
      </c>
      <c r="Q55">
        <v>529</v>
      </c>
      <c r="R55">
        <v>702</v>
      </c>
      <c r="S55">
        <v>595</v>
      </c>
      <c r="T55">
        <v>785</v>
      </c>
      <c r="U55">
        <v>1101</v>
      </c>
      <c r="V55">
        <v>1156</v>
      </c>
      <c r="W55">
        <v>1101</v>
      </c>
      <c r="X55">
        <v>1101</v>
      </c>
      <c r="Y55">
        <v>1927</v>
      </c>
      <c r="Z55">
        <v>1927</v>
      </c>
      <c r="AA55">
        <v>1927</v>
      </c>
      <c r="AB55">
        <v>1927</v>
      </c>
      <c r="AC55">
        <v>1927</v>
      </c>
      <c r="AD55">
        <v>1927</v>
      </c>
      <c r="AE55">
        <v>0</v>
      </c>
      <c r="AF55">
        <v>0</v>
      </c>
      <c r="AG55">
        <v>2753</v>
      </c>
      <c r="AH55">
        <v>2753</v>
      </c>
      <c r="AI55">
        <v>2753</v>
      </c>
      <c r="AJ55">
        <v>2753</v>
      </c>
      <c r="AK55">
        <v>2753</v>
      </c>
      <c r="AL55">
        <v>2753</v>
      </c>
      <c r="AM55">
        <v>2753</v>
      </c>
      <c r="AN55">
        <v>2753</v>
      </c>
      <c r="AO55">
        <v>2753</v>
      </c>
      <c r="AP55">
        <v>661</v>
      </c>
      <c r="AQ55">
        <v>264</v>
      </c>
      <c r="AR55">
        <v>264</v>
      </c>
      <c r="AS55">
        <v>264</v>
      </c>
      <c r="AT55">
        <v>264</v>
      </c>
      <c r="AU55">
        <v>264</v>
      </c>
      <c r="AV55">
        <v>595</v>
      </c>
      <c r="AW55">
        <v>595</v>
      </c>
      <c r="AX55">
        <v>595</v>
      </c>
      <c r="AY55">
        <v>595</v>
      </c>
      <c r="AZ55">
        <v>595</v>
      </c>
      <c r="BA55">
        <v>595</v>
      </c>
    </row>
    <row r="56" spans="1:53">
      <c r="A56" t="str">
        <f>IF(B56="","",_xlfn.XLOOKUP(B56&amp;"_"&amp;C56&amp;"_"&amp;D56,[2]ref!$E:$E,[2]ref!$A:$A))</f>
        <v>V_FG</v>
      </c>
      <c r="B56" t="str">
        <v>Volvo GPA</v>
      </c>
      <c r="C56" t="str">
        <v>ARM</v>
      </c>
      <c r="D56" t="str">
        <v>ASSY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287</v>
      </c>
      <c r="Q56">
        <v>287</v>
      </c>
      <c r="R56">
        <v>215</v>
      </c>
      <c r="S56">
        <v>287</v>
      </c>
      <c r="T56">
        <v>253</v>
      </c>
      <c r="U56">
        <v>253</v>
      </c>
      <c r="V56">
        <v>507</v>
      </c>
      <c r="W56">
        <v>507</v>
      </c>
      <c r="X56">
        <v>507</v>
      </c>
      <c r="Y56">
        <v>507</v>
      </c>
      <c r="Z56">
        <v>844</v>
      </c>
      <c r="AA56">
        <v>844</v>
      </c>
      <c r="AB56">
        <v>1266</v>
      </c>
      <c r="AC56">
        <v>1266</v>
      </c>
      <c r="AD56">
        <v>1266</v>
      </c>
      <c r="AE56">
        <v>0</v>
      </c>
      <c r="AF56">
        <v>0</v>
      </c>
      <c r="AG56">
        <v>1689</v>
      </c>
      <c r="AH56">
        <v>1689</v>
      </c>
      <c r="AI56">
        <v>1689</v>
      </c>
      <c r="AJ56">
        <v>1689</v>
      </c>
      <c r="AK56">
        <v>1689</v>
      </c>
      <c r="AL56">
        <v>1689</v>
      </c>
      <c r="AM56">
        <v>1689</v>
      </c>
      <c r="AN56">
        <v>1689</v>
      </c>
      <c r="AO56">
        <v>1689</v>
      </c>
      <c r="AP56">
        <v>2026</v>
      </c>
      <c r="AQ56">
        <v>912</v>
      </c>
      <c r="AR56">
        <v>912</v>
      </c>
      <c r="AS56">
        <v>912</v>
      </c>
      <c r="AT56">
        <v>912</v>
      </c>
      <c r="AU56">
        <v>912</v>
      </c>
      <c r="AV56">
        <v>912</v>
      </c>
      <c r="AW56">
        <v>912</v>
      </c>
      <c r="AX56">
        <v>912</v>
      </c>
      <c r="AY56">
        <v>912</v>
      </c>
      <c r="AZ56">
        <v>912</v>
      </c>
      <c r="BA56">
        <v>912</v>
      </c>
    </row>
    <row r="57" spans="1:53">
      <c r="A57" t="str">
        <f>IF(B57="","",_xlfn.XLOOKUP(B57&amp;"_"&amp;C57&amp;"_"&amp;D57,[2]ref!$E:$E,[2]ref!$A:$A))</f>
        <v>A_FG</v>
      </c>
      <c r="B57" t="str">
        <v>Volvo GPA</v>
      </c>
      <c r="C57" t="str">
        <v>ARM</v>
      </c>
      <c r="D57" t="str">
        <v>SEW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321</v>
      </c>
      <c r="L57">
        <v>353</v>
      </c>
      <c r="M57">
        <v>385</v>
      </c>
      <c r="N57">
        <v>417</v>
      </c>
      <c r="O57">
        <v>449</v>
      </c>
      <c r="P57">
        <v>385</v>
      </c>
      <c r="Q57">
        <v>410</v>
      </c>
      <c r="R57">
        <v>545</v>
      </c>
      <c r="S57">
        <v>462</v>
      </c>
      <c r="T57">
        <v>609</v>
      </c>
      <c r="U57">
        <v>641</v>
      </c>
      <c r="V57">
        <v>641</v>
      </c>
      <c r="W57">
        <v>641</v>
      </c>
      <c r="X57">
        <v>641</v>
      </c>
      <c r="Y57">
        <v>641</v>
      </c>
      <c r="Z57">
        <v>962</v>
      </c>
      <c r="AA57">
        <v>962</v>
      </c>
      <c r="AB57">
        <v>962</v>
      </c>
      <c r="AC57">
        <v>962</v>
      </c>
      <c r="AD57">
        <v>1282</v>
      </c>
      <c r="AE57">
        <v>1282</v>
      </c>
      <c r="AF57">
        <v>0</v>
      </c>
      <c r="AG57">
        <v>0</v>
      </c>
      <c r="AH57">
        <v>1603</v>
      </c>
      <c r="AI57">
        <v>1603</v>
      </c>
      <c r="AJ57">
        <v>1603</v>
      </c>
      <c r="AK57">
        <v>1603</v>
      </c>
      <c r="AL57">
        <v>1603</v>
      </c>
      <c r="AM57">
        <v>1603</v>
      </c>
      <c r="AN57">
        <v>1603</v>
      </c>
      <c r="AO57">
        <v>1603</v>
      </c>
      <c r="AP57">
        <v>1154</v>
      </c>
      <c r="AQ57">
        <v>692</v>
      </c>
      <c r="AR57">
        <v>692</v>
      </c>
      <c r="AS57">
        <v>692</v>
      </c>
      <c r="AT57">
        <v>692</v>
      </c>
      <c r="AU57">
        <v>692</v>
      </c>
      <c r="AV57">
        <v>692</v>
      </c>
      <c r="AW57">
        <v>692</v>
      </c>
      <c r="AX57">
        <v>692</v>
      </c>
      <c r="AY57">
        <v>692</v>
      </c>
      <c r="AZ57">
        <v>692</v>
      </c>
      <c r="BA57">
        <v>692</v>
      </c>
    </row>
    <row r="58" spans="1:53">
      <c r="A58" t="str">
        <f>IF(B58="","",_xlfn.XLOOKUP(B58&amp;"_"&amp;C58&amp;"_"&amp;D58,[2]ref!$E:$E,[2]ref!$A:$A))</f>
        <v>V_FG</v>
      </c>
      <c r="B58" t="str">
        <v>Volvo GPA</v>
      </c>
      <c r="C58" t="str">
        <v>ROHR</v>
      </c>
      <c r="D58" t="str">
        <v>ASSY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287</v>
      </c>
      <c r="O58">
        <v>0</v>
      </c>
      <c r="P58">
        <v>574</v>
      </c>
      <c r="Q58">
        <v>574</v>
      </c>
      <c r="R58">
        <v>718</v>
      </c>
      <c r="S58">
        <v>574</v>
      </c>
      <c r="T58">
        <v>718</v>
      </c>
      <c r="U58">
        <v>1076</v>
      </c>
      <c r="V58">
        <v>1076</v>
      </c>
      <c r="W58">
        <v>1076</v>
      </c>
      <c r="X58">
        <v>1076</v>
      </c>
      <c r="Y58">
        <v>1076</v>
      </c>
      <c r="Z58">
        <v>1076</v>
      </c>
      <c r="AA58">
        <v>1076</v>
      </c>
      <c r="AB58">
        <v>1076</v>
      </c>
      <c r="AC58">
        <v>1076</v>
      </c>
      <c r="AD58">
        <v>1076</v>
      </c>
      <c r="AE58">
        <v>0</v>
      </c>
      <c r="AF58">
        <v>0</v>
      </c>
      <c r="AG58">
        <v>1435</v>
      </c>
      <c r="AH58">
        <v>1435</v>
      </c>
      <c r="AI58">
        <v>1435</v>
      </c>
      <c r="AJ58">
        <v>1435</v>
      </c>
      <c r="AK58">
        <v>1435</v>
      </c>
      <c r="AL58">
        <v>1794</v>
      </c>
      <c r="AM58">
        <v>1794</v>
      </c>
      <c r="AN58">
        <v>1794</v>
      </c>
      <c r="AO58">
        <v>1794</v>
      </c>
      <c r="AP58">
        <v>1520</v>
      </c>
      <c r="AQ58">
        <v>912</v>
      </c>
      <c r="AR58">
        <v>912</v>
      </c>
      <c r="AS58">
        <v>912</v>
      </c>
      <c r="AT58">
        <v>912</v>
      </c>
      <c r="AU58">
        <v>912</v>
      </c>
      <c r="AV58">
        <v>912</v>
      </c>
      <c r="AW58">
        <v>912</v>
      </c>
      <c r="AX58">
        <v>912</v>
      </c>
      <c r="AY58">
        <v>912</v>
      </c>
      <c r="AZ58">
        <v>912</v>
      </c>
      <c r="BA58">
        <v>912</v>
      </c>
    </row>
    <row r="59" spans="1:53">
      <c r="A59" t="str">
        <f>IF(B59="","",_xlfn.XLOOKUP(B59&amp;"_"&amp;C59&amp;"_"&amp;D59,[2]ref!$E:$E,[2]ref!$A:$A))</f>
        <v>A_FG</v>
      </c>
      <c r="B59" t="str">
        <v>Volvo GPA</v>
      </c>
      <c r="C59" t="str">
        <v>ROHR</v>
      </c>
      <c r="D59" t="str">
        <v>SEW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349</v>
      </c>
      <c r="L59">
        <v>384</v>
      </c>
      <c r="M59">
        <v>419</v>
      </c>
      <c r="N59">
        <v>454</v>
      </c>
      <c r="O59">
        <v>489</v>
      </c>
      <c r="P59">
        <v>419</v>
      </c>
      <c r="Q59">
        <v>447</v>
      </c>
      <c r="R59">
        <v>594</v>
      </c>
      <c r="S59">
        <v>503</v>
      </c>
      <c r="T59">
        <v>996</v>
      </c>
      <c r="U59">
        <v>1048</v>
      </c>
      <c r="V59">
        <v>1048</v>
      </c>
      <c r="W59">
        <v>1048</v>
      </c>
      <c r="X59">
        <v>1048</v>
      </c>
      <c r="Y59">
        <v>1048</v>
      </c>
      <c r="Z59">
        <v>1048</v>
      </c>
      <c r="AA59">
        <v>1048</v>
      </c>
      <c r="AB59">
        <v>1048</v>
      </c>
      <c r="AC59">
        <v>1048</v>
      </c>
      <c r="AD59">
        <v>1048</v>
      </c>
      <c r="AE59">
        <v>0</v>
      </c>
      <c r="AF59">
        <v>0</v>
      </c>
      <c r="AG59">
        <v>1398</v>
      </c>
      <c r="AH59">
        <v>1398</v>
      </c>
      <c r="AI59">
        <v>1398</v>
      </c>
      <c r="AJ59">
        <v>1747</v>
      </c>
      <c r="AK59">
        <v>1747</v>
      </c>
      <c r="AL59">
        <v>1747</v>
      </c>
      <c r="AM59">
        <v>1747</v>
      </c>
      <c r="AN59">
        <v>1747</v>
      </c>
      <c r="AO59">
        <v>1747</v>
      </c>
      <c r="AP59">
        <v>1258</v>
      </c>
      <c r="AQ59">
        <v>755</v>
      </c>
      <c r="AR59">
        <v>755</v>
      </c>
      <c r="AS59">
        <v>755</v>
      </c>
      <c r="AT59">
        <v>755</v>
      </c>
      <c r="AU59">
        <v>755</v>
      </c>
      <c r="AV59">
        <v>755</v>
      </c>
      <c r="AW59">
        <v>755</v>
      </c>
      <c r="AX59">
        <v>755</v>
      </c>
      <c r="AY59">
        <v>755</v>
      </c>
      <c r="AZ59">
        <v>755</v>
      </c>
      <c r="BA59">
        <v>755</v>
      </c>
    </row>
    <row r="60" spans="1:53">
      <c r="A60" t="str">
        <f>IF(B60="","",_xlfn.XLOOKUP(B60&amp;"_"&amp;C60&amp;"_"&amp;D60,[2]ref!$E:$E,[2]ref!$A:$A))</f>
        <v>V_FG</v>
      </c>
      <c r="B60" t="str">
        <v>Volvo GPA</v>
      </c>
      <c r="C60" t="str">
        <v>SB</v>
      </c>
      <c r="D60" t="str">
        <v>ASSY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287</v>
      </c>
      <c r="Q60">
        <v>287</v>
      </c>
      <c r="R60">
        <v>718</v>
      </c>
      <c r="S60">
        <v>574</v>
      </c>
      <c r="T60">
        <v>718</v>
      </c>
      <c r="U60">
        <v>1076</v>
      </c>
      <c r="V60">
        <v>1076</v>
      </c>
      <c r="W60">
        <v>1076</v>
      </c>
      <c r="X60">
        <v>1076</v>
      </c>
      <c r="Y60">
        <v>1794</v>
      </c>
      <c r="Z60">
        <v>1794</v>
      </c>
      <c r="AA60">
        <v>1794</v>
      </c>
      <c r="AB60">
        <v>1794</v>
      </c>
      <c r="AC60">
        <v>1794</v>
      </c>
      <c r="AD60">
        <v>1794</v>
      </c>
      <c r="AE60">
        <v>0</v>
      </c>
      <c r="AF60">
        <v>0</v>
      </c>
      <c r="AG60">
        <v>3588</v>
      </c>
      <c r="AH60">
        <v>3588</v>
      </c>
      <c r="AI60">
        <v>3588</v>
      </c>
      <c r="AJ60">
        <v>3588</v>
      </c>
      <c r="AK60">
        <v>3588</v>
      </c>
      <c r="AL60">
        <v>3588</v>
      </c>
      <c r="AM60">
        <v>3588</v>
      </c>
      <c r="AN60">
        <v>3588</v>
      </c>
      <c r="AO60">
        <v>3588</v>
      </c>
      <c r="AP60">
        <v>1520</v>
      </c>
      <c r="AQ60">
        <v>912</v>
      </c>
      <c r="AR60">
        <v>912</v>
      </c>
      <c r="AS60">
        <v>912</v>
      </c>
      <c r="AT60">
        <v>912</v>
      </c>
      <c r="AU60">
        <v>912</v>
      </c>
      <c r="AV60">
        <v>912</v>
      </c>
      <c r="AW60">
        <v>912</v>
      </c>
      <c r="AX60">
        <v>912</v>
      </c>
      <c r="AY60">
        <v>912</v>
      </c>
      <c r="AZ60">
        <v>912</v>
      </c>
      <c r="BA60">
        <v>912</v>
      </c>
    </row>
    <row r="61" spans="1:53">
      <c r="A61" t="str">
        <f>IF(B61="","",_xlfn.XLOOKUP(B61&amp;"_"&amp;C61&amp;"_"&amp;D61,[2]ref!$E:$E,[2]ref!$A:$A))</f>
        <v>A_FG</v>
      </c>
      <c r="B61" t="str">
        <v>Volvo GPA</v>
      </c>
      <c r="C61" t="str">
        <v>SB</v>
      </c>
      <c r="D61" t="str">
        <v>SEW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418</v>
      </c>
      <c r="L61">
        <v>460</v>
      </c>
      <c r="M61">
        <v>502</v>
      </c>
      <c r="N61">
        <v>544</v>
      </c>
      <c r="O61">
        <v>586</v>
      </c>
      <c r="P61">
        <v>502</v>
      </c>
      <c r="Q61">
        <v>535</v>
      </c>
      <c r="R61">
        <v>711</v>
      </c>
      <c r="S61">
        <v>602</v>
      </c>
      <c r="T61">
        <v>795</v>
      </c>
      <c r="U61">
        <v>1673</v>
      </c>
      <c r="V61">
        <v>1673</v>
      </c>
      <c r="W61">
        <v>1673</v>
      </c>
      <c r="X61">
        <v>1673</v>
      </c>
      <c r="Y61">
        <v>1673</v>
      </c>
      <c r="Z61">
        <v>1673</v>
      </c>
      <c r="AA61">
        <v>1673</v>
      </c>
      <c r="AB61">
        <v>2509</v>
      </c>
      <c r="AC61">
        <v>2509</v>
      </c>
      <c r="AD61">
        <v>2509</v>
      </c>
      <c r="AE61">
        <v>0</v>
      </c>
      <c r="AF61">
        <v>0</v>
      </c>
      <c r="AG61">
        <v>3346</v>
      </c>
      <c r="AH61">
        <v>3346</v>
      </c>
      <c r="AI61">
        <v>3346</v>
      </c>
      <c r="AJ61">
        <v>3346</v>
      </c>
      <c r="AK61">
        <v>3346</v>
      </c>
      <c r="AL61">
        <v>3346</v>
      </c>
      <c r="AM61">
        <v>3346</v>
      </c>
      <c r="AN61">
        <v>836</v>
      </c>
      <c r="AO61">
        <v>836</v>
      </c>
      <c r="AP61">
        <v>1004</v>
      </c>
      <c r="AQ61">
        <v>201</v>
      </c>
      <c r="AR61">
        <v>201</v>
      </c>
      <c r="AS61">
        <v>201</v>
      </c>
      <c r="AT61">
        <v>201</v>
      </c>
      <c r="AU61">
        <v>201</v>
      </c>
      <c r="AV61">
        <v>201</v>
      </c>
      <c r="AW61">
        <v>201</v>
      </c>
      <c r="AX61">
        <v>201</v>
      </c>
      <c r="AY61">
        <v>201</v>
      </c>
      <c r="AZ61">
        <v>201</v>
      </c>
      <c r="BA61">
        <v>201</v>
      </c>
    </row>
    <row r="62" spans="1:53">
      <c r="A62" t="str">
        <f>IF(B62="","",_xlfn.XLOOKUP(B62&amp;"_"&amp;C62&amp;"_"&amp;D62,[2]ref!$E:$E,[2]ref!$A:$A))</f>
        <v>L_FG</v>
      </c>
      <c r="B62" t="str">
        <v>JLR</v>
      </c>
      <c r="C62" t="str">
        <v>EMA</v>
      </c>
      <c r="D62" t="str">
        <v>ASSY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287</v>
      </c>
      <c r="S62">
        <v>287</v>
      </c>
      <c r="T62">
        <v>359</v>
      </c>
      <c r="U62">
        <v>359</v>
      </c>
      <c r="V62">
        <v>718</v>
      </c>
      <c r="W62">
        <v>718</v>
      </c>
      <c r="X62">
        <v>718</v>
      </c>
      <c r="Y62">
        <v>718</v>
      </c>
      <c r="Z62">
        <v>718</v>
      </c>
      <c r="AA62">
        <v>718</v>
      </c>
      <c r="AB62">
        <v>718</v>
      </c>
      <c r="AC62">
        <v>718</v>
      </c>
      <c r="AD62">
        <v>718</v>
      </c>
      <c r="AE62">
        <v>0</v>
      </c>
      <c r="AF62">
        <v>0</v>
      </c>
      <c r="AG62">
        <v>718</v>
      </c>
      <c r="AH62">
        <v>1076</v>
      </c>
      <c r="AI62">
        <v>1076</v>
      </c>
      <c r="AJ62">
        <v>1076</v>
      </c>
      <c r="AK62">
        <v>1076</v>
      </c>
      <c r="AL62">
        <v>1076</v>
      </c>
      <c r="AM62">
        <v>1076</v>
      </c>
      <c r="AN62">
        <v>1076</v>
      </c>
      <c r="AO62">
        <v>1076</v>
      </c>
      <c r="AP62">
        <v>1520</v>
      </c>
      <c r="AQ62">
        <v>912</v>
      </c>
      <c r="AR62">
        <v>912</v>
      </c>
      <c r="AS62">
        <v>912</v>
      </c>
      <c r="AT62">
        <v>912</v>
      </c>
      <c r="AU62">
        <v>912</v>
      </c>
      <c r="AV62">
        <v>912</v>
      </c>
      <c r="AW62">
        <v>912</v>
      </c>
      <c r="AX62">
        <v>912</v>
      </c>
      <c r="AY62">
        <v>912</v>
      </c>
      <c r="AZ62">
        <v>912</v>
      </c>
      <c r="BA62">
        <v>912</v>
      </c>
    </row>
    <row r="63" spans="1:53">
      <c r="A63" t="str">
        <f>IF(B63="","",_xlfn.XLOOKUP(B63&amp;"_"&amp;C63&amp;"_"&amp;D63,[2]ref!$E:$E,[2]ref!$A:$A))</f>
        <v>J_FG</v>
      </c>
      <c r="B63" t="str">
        <v>JLR</v>
      </c>
      <c r="C63" t="str">
        <v>EMA</v>
      </c>
      <c r="D63" t="str">
        <v>SEW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161</v>
      </c>
      <c r="M63">
        <v>161</v>
      </c>
      <c r="N63">
        <v>344</v>
      </c>
      <c r="O63">
        <v>367</v>
      </c>
      <c r="P63">
        <v>312</v>
      </c>
      <c r="Q63">
        <v>331</v>
      </c>
      <c r="R63">
        <v>436</v>
      </c>
      <c r="S63">
        <v>367</v>
      </c>
      <c r="T63">
        <v>918</v>
      </c>
      <c r="U63">
        <v>918</v>
      </c>
      <c r="V63">
        <v>918</v>
      </c>
      <c r="W63">
        <v>918</v>
      </c>
      <c r="X63">
        <v>918</v>
      </c>
      <c r="Y63">
        <v>918</v>
      </c>
      <c r="Z63">
        <v>918</v>
      </c>
      <c r="AA63">
        <v>918</v>
      </c>
      <c r="AB63">
        <v>918</v>
      </c>
      <c r="AC63">
        <v>918</v>
      </c>
      <c r="AD63">
        <v>918</v>
      </c>
      <c r="AE63">
        <v>0</v>
      </c>
      <c r="AF63">
        <v>0</v>
      </c>
      <c r="AG63">
        <v>918</v>
      </c>
      <c r="AH63">
        <v>918</v>
      </c>
      <c r="AI63">
        <v>918</v>
      </c>
      <c r="AJ63">
        <v>918</v>
      </c>
      <c r="AK63">
        <v>918</v>
      </c>
      <c r="AL63">
        <v>918</v>
      </c>
      <c r="AM63">
        <v>918</v>
      </c>
      <c r="AN63">
        <v>918</v>
      </c>
      <c r="AO63">
        <v>918</v>
      </c>
      <c r="AP63">
        <v>827</v>
      </c>
      <c r="AQ63">
        <v>496</v>
      </c>
      <c r="AR63">
        <v>496</v>
      </c>
      <c r="AS63">
        <v>496</v>
      </c>
      <c r="AT63">
        <v>496</v>
      </c>
      <c r="AU63">
        <v>496</v>
      </c>
      <c r="AV63">
        <v>496</v>
      </c>
      <c r="AW63">
        <v>496</v>
      </c>
      <c r="AX63">
        <v>496</v>
      </c>
      <c r="AY63">
        <v>496</v>
      </c>
      <c r="AZ63">
        <v>496</v>
      </c>
      <c r="BA63">
        <v>496</v>
      </c>
    </row>
    <row r="64" spans="1:53">
      <c r="A64" t="str">
        <f>IF(B64="","",_xlfn.XLOOKUP(B64,[2]ref!$B:$B,[2]ref!$A:$A))</f>
        <v/>
      </c>
    </row>
  </sheetData>
  <pageMargins left="0.7" right="0.7" top="0.75" bottom="0.75" header="0.3" footer="0.3"/>
  <pageSetup paperSize="9" orientation="portrait" r:id="rId1"/>
  <headerFooter>
    <oddFooter>&amp;C_x000D_&amp;1#&amp;"Aptos"&amp;10&amp;K000000 Adient –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3D97-2674-414E-8BDB-35776F511C47}">
  <dimension ref="A1:AX22"/>
  <sheetViews>
    <sheetView workbookViewId="0">
      <selection activeCell="B2" sqref="B2:B22"/>
    </sheetView>
  </sheetViews>
  <sheetFormatPr defaultRowHeight="14.25"/>
  <cols>
    <col min="2" max="50" width="9.875" bestFit="1" customWidth="1"/>
  </cols>
  <sheetData>
    <row r="1" spans="1:50">
      <c r="A1" t="str" cm="1">
        <f t="array" ref="A1:A22">_xlfn.UNIQUE(_xlfn._xlws.FILTER(LTP_Formulas!A:A,LTP_Formulas!A:A&lt;&gt;""))</f>
        <v>Prod Line</v>
      </c>
      <c r="B1" s="2" cm="1">
        <f t="array" ref="B1:AX1">[1]PLANING!$Z63:$BV$63</f>
        <v>46041</v>
      </c>
      <c r="C1" s="2">
        <v>46048</v>
      </c>
      <c r="D1" s="2">
        <v>46055</v>
      </c>
      <c r="E1" s="2">
        <v>46062</v>
      </c>
      <c r="F1" s="2">
        <v>46069</v>
      </c>
      <c r="G1" s="2">
        <v>46076</v>
      </c>
      <c r="H1" s="2">
        <v>46083</v>
      </c>
      <c r="I1" s="2">
        <v>46090</v>
      </c>
      <c r="J1" s="2">
        <v>46097</v>
      </c>
      <c r="K1" s="2">
        <v>46104</v>
      </c>
      <c r="L1" s="2">
        <v>46111</v>
      </c>
      <c r="M1" s="2">
        <v>46118</v>
      </c>
      <c r="N1" s="2">
        <v>46125</v>
      </c>
      <c r="O1" s="2">
        <v>46132</v>
      </c>
      <c r="P1" s="2">
        <v>46139</v>
      </c>
      <c r="Q1" s="2">
        <v>46146</v>
      </c>
      <c r="R1" s="2">
        <v>46153</v>
      </c>
      <c r="S1" s="2">
        <v>46160</v>
      </c>
      <c r="T1" s="2">
        <v>46167</v>
      </c>
      <c r="U1" s="2">
        <v>46174</v>
      </c>
      <c r="V1" s="2">
        <v>46181</v>
      </c>
      <c r="W1" s="2">
        <v>46188</v>
      </c>
      <c r="X1" s="2">
        <v>46195</v>
      </c>
      <c r="Y1" s="2">
        <v>46202</v>
      </c>
      <c r="Z1" s="2">
        <v>46209</v>
      </c>
      <c r="AA1" s="2">
        <v>46216</v>
      </c>
      <c r="AB1" s="2">
        <v>46223</v>
      </c>
      <c r="AC1" s="2">
        <v>46230</v>
      </c>
      <c r="AD1" s="2">
        <v>46237</v>
      </c>
      <c r="AE1" s="2">
        <v>46244</v>
      </c>
      <c r="AF1" s="2">
        <v>46251</v>
      </c>
      <c r="AG1" s="2">
        <v>46258</v>
      </c>
      <c r="AH1" s="2">
        <v>46265</v>
      </c>
      <c r="AI1" s="2">
        <v>46272</v>
      </c>
      <c r="AJ1" s="2">
        <v>46279</v>
      </c>
      <c r="AK1" s="2">
        <v>46286</v>
      </c>
      <c r="AL1" s="2">
        <v>46293</v>
      </c>
      <c r="AM1" s="2">
        <v>46300</v>
      </c>
      <c r="AN1" s="2">
        <v>46307</v>
      </c>
      <c r="AO1" s="2">
        <v>46314</v>
      </c>
      <c r="AP1" s="2">
        <v>46321</v>
      </c>
      <c r="AQ1" s="2">
        <v>46328</v>
      </c>
      <c r="AR1" s="2">
        <v>46335</v>
      </c>
      <c r="AS1" s="2">
        <v>46342</v>
      </c>
      <c r="AT1" s="2">
        <v>46349</v>
      </c>
      <c r="AU1" s="2">
        <v>46356</v>
      </c>
      <c r="AV1" s="2">
        <v>46363</v>
      </c>
      <c r="AW1" s="2">
        <v>46370</v>
      </c>
      <c r="AX1" s="2">
        <v>46377</v>
      </c>
    </row>
    <row r="2" spans="1:50">
      <c r="A2" t="str">
        <v>B_FG</v>
      </c>
      <c r="B2" cm="1">
        <f t="array" ref="B2">SUM(_xlfn._xlws.FILTER(LTP_Formulas!E:E,LTP_Formulas!$A:$A=LTP_Aggregated!A2,0))</f>
        <v>3298</v>
      </c>
      <c r="C2" cm="1">
        <f t="array" ref="C2">SUM(_xlfn._xlws.FILTER(LTP_Formulas!F:F,LTP_Formulas!$A:$A=LTP_Aggregated!B2,0))</f>
        <v>0</v>
      </c>
      <c r="D2" cm="1">
        <f t="array" ref="D2">SUM(_xlfn._xlws.FILTER(LTP_Formulas!G:G,LTP_Formulas!$A:$A=LTP_Aggregated!C2,0))</f>
        <v>0</v>
      </c>
      <c r="E2" cm="1">
        <f t="array" ref="E2">SUM(_xlfn._xlws.FILTER(LTP_Formulas!H:H,LTP_Formulas!$A:$A=LTP_Aggregated!D2,0))</f>
        <v>0</v>
      </c>
      <c r="F2" cm="1">
        <f t="array" ref="F2">SUM(_xlfn._xlws.FILTER(LTP_Formulas!I:I,LTP_Formulas!$A:$A=LTP_Aggregated!E2,0))</f>
        <v>0</v>
      </c>
      <c r="G2" cm="1">
        <f t="array" ref="G2">SUM(_xlfn._xlws.FILTER(LTP_Formulas!J:J,LTP_Formulas!$A:$A=LTP_Aggregated!F2,0))</f>
        <v>0</v>
      </c>
      <c r="H2" cm="1">
        <f t="array" ref="H2">SUM(_xlfn._xlws.FILTER(LTP_Formulas!K:K,LTP_Formulas!$A:$A=LTP_Aggregated!G2,0))</f>
        <v>0</v>
      </c>
      <c r="I2" cm="1">
        <f t="array" ref="I2">SUM(_xlfn._xlws.FILTER(LTP_Formulas!L:L,LTP_Formulas!$A:$A=LTP_Aggregated!H2,0))</f>
        <v>0</v>
      </c>
      <c r="J2" cm="1">
        <f t="array" ref="J2">SUM(_xlfn._xlws.FILTER(LTP_Formulas!M:M,LTP_Formulas!$A:$A=LTP_Aggregated!I2,0))</f>
        <v>0</v>
      </c>
      <c r="K2" cm="1">
        <f t="array" ref="K2">SUM(_xlfn._xlws.FILTER(LTP_Formulas!N:N,LTP_Formulas!$A:$A=LTP_Aggregated!J2,0))</f>
        <v>0</v>
      </c>
      <c r="L2" cm="1">
        <f t="array" ref="L2">SUM(_xlfn._xlws.FILTER(LTP_Formulas!O:O,LTP_Formulas!$A:$A=LTP_Aggregated!K2,0))</f>
        <v>0</v>
      </c>
      <c r="M2" cm="1">
        <f t="array" ref="M2">SUM(_xlfn._xlws.FILTER(LTP_Formulas!P:P,LTP_Formulas!$A:$A=LTP_Aggregated!L2,0))</f>
        <v>0</v>
      </c>
      <c r="N2" cm="1">
        <f t="array" ref="N2">SUM(_xlfn._xlws.FILTER(LTP_Formulas!Q:Q,LTP_Formulas!$A:$A=LTP_Aggregated!M2,0))</f>
        <v>0</v>
      </c>
      <c r="O2" cm="1">
        <f t="array" ref="O2">SUM(_xlfn._xlws.FILTER(LTP_Formulas!R:R,LTP_Formulas!$A:$A=LTP_Aggregated!N2,0))</f>
        <v>0</v>
      </c>
      <c r="P2" cm="1">
        <f t="array" ref="P2">SUM(_xlfn._xlws.FILTER(LTP_Formulas!S:S,LTP_Formulas!$A:$A=LTP_Aggregated!O2,0))</f>
        <v>0</v>
      </c>
      <c r="Q2" cm="1">
        <f t="array" ref="Q2">SUM(_xlfn._xlws.FILTER(LTP_Formulas!T:T,LTP_Formulas!$A:$A=LTP_Aggregated!P2,0))</f>
        <v>0</v>
      </c>
      <c r="R2" cm="1">
        <f t="array" ref="R2">SUM(_xlfn._xlws.FILTER(LTP_Formulas!U:U,LTP_Formulas!$A:$A=LTP_Aggregated!Q2,0))</f>
        <v>0</v>
      </c>
      <c r="S2" cm="1">
        <f t="array" ref="S2">SUM(_xlfn._xlws.FILTER(LTP_Formulas!V:V,LTP_Formulas!$A:$A=LTP_Aggregated!R2,0))</f>
        <v>0</v>
      </c>
      <c r="T2" cm="1">
        <f t="array" ref="T2">SUM(_xlfn._xlws.FILTER(LTP_Formulas!W:W,LTP_Formulas!$A:$A=LTP_Aggregated!S2,0))</f>
        <v>0</v>
      </c>
      <c r="U2" cm="1">
        <f t="array" ref="U2">SUM(_xlfn._xlws.FILTER(LTP_Formulas!X:X,LTP_Formulas!$A:$A=LTP_Aggregated!T2,0))</f>
        <v>0</v>
      </c>
      <c r="V2" cm="1">
        <f t="array" ref="V2">SUM(_xlfn._xlws.FILTER(LTP_Formulas!Y:Y,LTP_Formulas!$A:$A=LTP_Aggregated!U2,0))</f>
        <v>0</v>
      </c>
      <c r="W2" cm="1">
        <f t="array" ref="W2">SUM(_xlfn._xlws.FILTER(LTP_Formulas!Z:Z,LTP_Formulas!$A:$A=LTP_Aggregated!V2,0))</f>
        <v>0</v>
      </c>
      <c r="X2" cm="1">
        <f t="array" ref="X2">SUM(_xlfn._xlws.FILTER(LTP_Formulas!AA:AA,LTP_Formulas!$A:$A=LTP_Aggregated!W2,0))</f>
        <v>0</v>
      </c>
      <c r="Y2" cm="1">
        <f t="array" ref="Y2">SUM(_xlfn._xlws.FILTER(LTP_Formulas!AB:AB,LTP_Formulas!$A:$A=LTP_Aggregated!X2,0))</f>
        <v>0</v>
      </c>
      <c r="Z2" cm="1">
        <f t="array" ref="Z2">SUM(_xlfn._xlws.FILTER(LTP_Formulas!AC:AC,LTP_Formulas!$A:$A=LTP_Aggregated!Y2,0))</f>
        <v>0</v>
      </c>
      <c r="AA2" cm="1">
        <f t="array" ref="AA2">SUM(_xlfn._xlws.FILTER(LTP_Formulas!AD:AD,LTP_Formulas!$A:$A=LTP_Aggregated!Z2,0))</f>
        <v>0</v>
      </c>
      <c r="AB2" cm="1">
        <f t="array" ref="AB2">SUM(_xlfn._xlws.FILTER(LTP_Formulas!AE:AE,LTP_Formulas!$A:$A=LTP_Aggregated!AA2,0))</f>
        <v>0</v>
      </c>
      <c r="AC2" cm="1">
        <f t="array" ref="AC2">SUM(_xlfn._xlws.FILTER(LTP_Formulas!AF:AF,LTP_Formulas!$A:$A=LTP_Aggregated!AB2,0))</f>
        <v>0</v>
      </c>
      <c r="AD2" cm="1">
        <f t="array" ref="AD2">SUM(_xlfn._xlws.FILTER(LTP_Formulas!AG:AG,LTP_Formulas!$A:$A=LTP_Aggregated!AC2,0))</f>
        <v>0</v>
      </c>
      <c r="AE2" cm="1">
        <f t="array" ref="AE2">SUM(_xlfn._xlws.FILTER(LTP_Formulas!AH:AH,LTP_Formulas!$A:$A=LTP_Aggregated!AD2,0))</f>
        <v>0</v>
      </c>
      <c r="AF2" cm="1">
        <f t="array" ref="AF2">SUM(_xlfn._xlws.FILTER(LTP_Formulas!AI:AI,LTP_Formulas!$A:$A=LTP_Aggregated!AE2,0))</f>
        <v>0</v>
      </c>
      <c r="AG2" cm="1">
        <f t="array" ref="AG2">SUM(_xlfn._xlws.FILTER(LTP_Formulas!AJ:AJ,LTP_Formulas!$A:$A=LTP_Aggregated!AF2,0))</f>
        <v>0</v>
      </c>
      <c r="AH2" cm="1">
        <f t="array" ref="AH2">SUM(_xlfn._xlws.FILTER(LTP_Formulas!AK:AK,LTP_Formulas!$A:$A=LTP_Aggregated!AG2,0))</f>
        <v>0</v>
      </c>
      <c r="AI2" cm="1">
        <f t="array" ref="AI2">SUM(_xlfn._xlws.FILTER(LTP_Formulas!AL:AL,LTP_Formulas!$A:$A=LTP_Aggregated!AH2,0))</f>
        <v>0</v>
      </c>
      <c r="AJ2" cm="1">
        <f t="array" ref="AJ2">SUM(_xlfn._xlws.FILTER(LTP_Formulas!AM:AM,LTP_Formulas!$A:$A=LTP_Aggregated!AI2,0))</f>
        <v>0</v>
      </c>
      <c r="AK2" cm="1">
        <f t="array" ref="AK2">SUM(_xlfn._xlws.FILTER(LTP_Formulas!AN:AN,LTP_Formulas!$A:$A=LTP_Aggregated!AJ2,0))</f>
        <v>0</v>
      </c>
      <c r="AL2" cm="1">
        <f t="array" ref="AL2">SUM(_xlfn._xlws.FILTER(LTP_Formulas!AO:AO,LTP_Formulas!$A:$A=LTP_Aggregated!AK2,0))</f>
        <v>0</v>
      </c>
      <c r="AM2" cm="1">
        <f t="array" ref="AM2">SUM(_xlfn._xlws.FILTER(LTP_Formulas!AP:AP,LTP_Formulas!$A:$A=LTP_Aggregated!AL2,0))</f>
        <v>0</v>
      </c>
      <c r="AN2" cm="1">
        <f t="array" ref="AN2">SUM(_xlfn._xlws.FILTER(LTP_Formulas!AQ:AQ,LTP_Formulas!$A:$A=LTP_Aggregated!AM2,0))</f>
        <v>0</v>
      </c>
      <c r="AO2" cm="1">
        <f t="array" ref="AO2">SUM(_xlfn._xlws.FILTER(LTP_Formulas!AR:AR,LTP_Formulas!$A:$A=LTP_Aggregated!AN2,0))</f>
        <v>0</v>
      </c>
      <c r="AP2" cm="1">
        <f t="array" ref="AP2">SUM(_xlfn._xlws.FILTER(LTP_Formulas!AS:AS,LTP_Formulas!$A:$A=LTP_Aggregated!AO2,0))</f>
        <v>0</v>
      </c>
      <c r="AQ2" cm="1">
        <f t="array" ref="AQ2">SUM(_xlfn._xlws.FILTER(LTP_Formulas!AT:AT,LTP_Formulas!$A:$A=LTP_Aggregated!AP2,0))</f>
        <v>0</v>
      </c>
      <c r="AR2" cm="1">
        <f t="array" ref="AR2">SUM(_xlfn._xlws.FILTER(LTP_Formulas!AU:AU,LTP_Formulas!$A:$A=LTP_Aggregated!AQ2,0))</f>
        <v>0</v>
      </c>
      <c r="AS2" cm="1">
        <f t="array" ref="AS2">SUM(_xlfn._xlws.FILTER(LTP_Formulas!AV:AV,LTP_Formulas!$A:$A=LTP_Aggregated!AR2,0))</f>
        <v>0</v>
      </c>
      <c r="AT2" cm="1">
        <f t="array" ref="AT2">SUM(_xlfn._xlws.FILTER(LTP_Formulas!AW:AW,LTP_Formulas!$A:$A=LTP_Aggregated!AS2,0))</f>
        <v>0</v>
      </c>
      <c r="AU2" cm="1">
        <f t="array" ref="AU2">SUM(_xlfn._xlws.FILTER(LTP_Formulas!AX:AX,LTP_Formulas!$A:$A=LTP_Aggregated!AT2,0))</f>
        <v>0</v>
      </c>
      <c r="AV2" cm="1">
        <f t="array" ref="AV2">SUM(_xlfn._xlws.FILTER(LTP_Formulas!AY:AY,LTP_Formulas!$A:$A=LTP_Aggregated!AU2,0))</f>
        <v>0</v>
      </c>
      <c r="AW2" cm="1">
        <f t="array" ref="AW2">SUM(_xlfn._xlws.FILTER(LTP_Formulas!AZ:AZ,LTP_Formulas!$A:$A=LTP_Aggregated!AV2,0))</f>
        <v>0</v>
      </c>
      <c r="AX2" cm="1">
        <f t="array" ref="AX2">SUM(_xlfn._xlws.FILTER(LTP_Formulas!BA:BA,LTP_Formulas!$A:$A=LTP_Aggregated!AW2,0))</f>
        <v>0</v>
      </c>
    </row>
    <row r="3" spans="1:50">
      <c r="A3" t="str">
        <v>F_FG</v>
      </c>
      <c r="B3" cm="1">
        <f t="array" ref="B3">SUM(_xlfn._xlws.FILTER(LTP_Formulas!E:E,LTP_Formulas!$A:$A=LTP_Aggregated!A3,0))</f>
        <v>5524</v>
      </c>
      <c r="C3" cm="1">
        <f t="array" ref="C3">SUM(_xlfn._xlws.FILTER(LTP_Formulas!F:F,LTP_Formulas!$A:$A=LTP_Aggregated!B3,0))</f>
        <v>0</v>
      </c>
      <c r="D3" cm="1">
        <f t="array" ref="D3">SUM(_xlfn._xlws.FILTER(LTP_Formulas!G:G,LTP_Formulas!$A:$A=LTP_Aggregated!C3,0))</f>
        <v>0</v>
      </c>
      <c r="E3" cm="1">
        <f t="array" ref="E3">SUM(_xlfn._xlws.FILTER(LTP_Formulas!H:H,LTP_Formulas!$A:$A=LTP_Aggregated!D3,0))</f>
        <v>0</v>
      </c>
      <c r="F3" cm="1">
        <f t="array" ref="F3">SUM(_xlfn._xlws.FILTER(LTP_Formulas!I:I,LTP_Formulas!$A:$A=LTP_Aggregated!E3,0))</f>
        <v>0</v>
      </c>
      <c r="G3" cm="1">
        <f t="array" ref="G3">SUM(_xlfn._xlws.FILTER(LTP_Formulas!J:J,LTP_Formulas!$A:$A=LTP_Aggregated!F3,0))</f>
        <v>0</v>
      </c>
      <c r="H3" cm="1">
        <f t="array" ref="H3">SUM(_xlfn._xlws.FILTER(LTP_Formulas!K:K,LTP_Formulas!$A:$A=LTP_Aggregated!G3,0))</f>
        <v>0</v>
      </c>
      <c r="I3" cm="1">
        <f t="array" ref="I3">SUM(_xlfn._xlws.FILTER(LTP_Formulas!L:L,LTP_Formulas!$A:$A=LTP_Aggregated!H3,0))</f>
        <v>0</v>
      </c>
      <c r="J3" cm="1">
        <f t="array" ref="J3">SUM(_xlfn._xlws.FILTER(LTP_Formulas!M:M,LTP_Formulas!$A:$A=LTP_Aggregated!I3,0))</f>
        <v>0</v>
      </c>
      <c r="K3" cm="1">
        <f t="array" ref="K3">SUM(_xlfn._xlws.FILTER(LTP_Formulas!N:N,LTP_Formulas!$A:$A=LTP_Aggregated!J3,0))</f>
        <v>0</v>
      </c>
      <c r="L3" cm="1">
        <f t="array" ref="L3">SUM(_xlfn._xlws.FILTER(LTP_Formulas!O:O,LTP_Formulas!$A:$A=LTP_Aggregated!K3,0))</f>
        <v>0</v>
      </c>
      <c r="M3" cm="1">
        <f t="array" ref="M3">SUM(_xlfn._xlws.FILTER(LTP_Formulas!P:P,LTP_Formulas!$A:$A=LTP_Aggregated!L3,0))</f>
        <v>0</v>
      </c>
      <c r="N3" cm="1">
        <f t="array" ref="N3">SUM(_xlfn._xlws.FILTER(LTP_Formulas!Q:Q,LTP_Formulas!$A:$A=LTP_Aggregated!M3,0))</f>
        <v>0</v>
      </c>
      <c r="O3" cm="1">
        <f t="array" ref="O3">SUM(_xlfn._xlws.FILTER(LTP_Formulas!R:R,LTP_Formulas!$A:$A=LTP_Aggregated!N3,0))</f>
        <v>0</v>
      </c>
      <c r="P3" cm="1">
        <f t="array" ref="P3">SUM(_xlfn._xlws.FILTER(LTP_Formulas!S:S,LTP_Formulas!$A:$A=LTP_Aggregated!O3,0))</f>
        <v>0</v>
      </c>
      <c r="Q3" cm="1">
        <f t="array" ref="Q3">SUM(_xlfn._xlws.FILTER(LTP_Formulas!T:T,LTP_Formulas!$A:$A=LTP_Aggregated!P3,0))</f>
        <v>0</v>
      </c>
      <c r="R3" cm="1">
        <f t="array" ref="R3">SUM(_xlfn._xlws.FILTER(LTP_Formulas!U:U,LTP_Formulas!$A:$A=LTP_Aggregated!Q3,0))</f>
        <v>0</v>
      </c>
      <c r="S3" cm="1">
        <f t="array" ref="S3">SUM(_xlfn._xlws.FILTER(LTP_Formulas!V:V,LTP_Formulas!$A:$A=LTP_Aggregated!R3,0))</f>
        <v>0</v>
      </c>
      <c r="T3" cm="1">
        <f t="array" ref="T3">SUM(_xlfn._xlws.FILTER(LTP_Formulas!W:W,LTP_Formulas!$A:$A=LTP_Aggregated!S3,0))</f>
        <v>0</v>
      </c>
      <c r="U3" cm="1">
        <f t="array" ref="U3">SUM(_xlfn._xlws.FILTER(LTP_Formulas!X:X,LTP_Formulas!$A:$A=LTP_Aggregated!T3,0))</f>
        <v>0</v>
      </c>
      <c r="V3" cm="1">
        <f t="array" ref="V3">SUM(_xlfn._xlws.FILTER(LTP_Formulas!Y:Y,LTP_Formulas!$A:$A=LTP_Aggregated!U3,0))</f>
        <v>0</v>
      </c>
      <c r="W3" cm="1">
        <f t="array" ref="W3">SUM(_xlfn._xlws.FILTER(LTP_Formulas!Z:Z,LTP_Formulas!$A:$A=LTP_Aggregated!V3,0))</f>
        <v>0</v>
      </c>
      <c r="X3" cm="1">
        <f t="array" ref="X3">SUM(_xlfn._xlws.FILTER(LTP_Formulas!AA:AA,LTP_Formulas!$A:$A=LTP_Aggregated!W3,0))</f>
        <v>0</v>
      </c>
      <c r="Y3" cm="1">
        <f t="array" ref="Y3">SUM(_xlfn._xlws.FILTER(LTP_Formulas!AB:AB,LTP_Formulas!$A:$A=LTP_Aggregated!X3,0))</f>
        <v>0</v>
      </c>
      <c r="Z3" cm="1">
        <f t="array" ref="Z3">SUM(_xlfn._xlws.FILTER(LTP_Formulas!AC:AC,LTP_Formulas!$A:$A=LTP_Aggregated!Y3,0))</f>
        <v>0</v>
      </c>
      <c r="AA3" cm="1">
        <f t="array" ref="AA3">SUM(_xlfn._xlws.FILTER(LTP_Formulas!AD:AD,LTP_Formulas!$A:$A=LTP_Aggregated!Z3,0))</f>
        <v>0</v>
      </c>
      <c r="AB3" cm="1">
        <f t="array" ref="AB3">SUM(_xlfn._xlws.FILTER(LTP_Formulas!AE:AE,LTP_Formulas!$A:$A=LTP_Aggregated!AA3,0))</f>
        <v>0</v>
      </c>
      <c r="AC3" cm="1">
        <f t="array" ref="AC3">SUM(_xlfn._xlws.FILTER(LTP_Formulas!AF:AF,LTP_Formulas!$A:$A=LTP_Aggregated!AB3,0))</f>
        <v>0</v>
      </c>
      <c r="AD3" cm="1">
        <f t="array" ref="AD3">SUM(_xlfn._xlws.FILTER(LTP_Formulas!AG:AG,LTP_Formulas!$A:$A=LTP_Aggregated!AC3,0))</f>
        <v>0</v>
      </c>
      <c r="AE3" cm="1">
        <f t="array" ref="AE3">SUM(_xlfn._xlws.FILTER(LTP_Formulas!AH:AH,LTP_Formulas!$A:$A=LTP_Aggregated!AD3,0))</f>
        <v>0</v>
      </c>
      <c r="AF3" cm="1">
        <f t="array" ref="AF3">SUM(_xlfn._xlws.FILTER(LTP_Formulas!AI:AI,LTP_Formulas!$A:$A=LTP_Aggregated!AE3,0))</f>
        <v>0</v>
      </c>
      <c r="AG3" cm="1">
        <f t="array" ref="AG3">SUM(_xlfn._xlws.FILTER(LTP_Formulas!AJ:AJ,LTP_Formulas!$A:$A=LTP_Aggregated!AF3,0))</f>
        <v>0</v>
      </c>
      <c r="AH3" cm="1">
        <f t="array" ref="AH3">SUM(_xlfn._xlws.FILTER(LTP_Formulas!AK:AK,LTP_Formulas!$A:$A=LTP_Aggregated!AG3,0))</f>
        <v>0</v>
      </c>
      <c r="AI3" cm="1">
        <f t="array" ref="AI3">SUM(_xlfn._xlws.FILTER(LTP_Formulas!AL:AL,LTP_Formulas!$A:$A=LTP_Aggregated!AH3,0))</f>
        <v>0</v>
      </c>
      <c r="AJ3" cm="1">
        <f t="array" ref="AJ3">SUM(_xlfn._xlws.FILTER(LTP_Formulas!AM:AM,LTP_Formulas!$A:$A=LTP_Aggregated!AI3,0))</f>
        <v>0</v>
      </c>
      <c r="AK3" cm="1">
        <f t="array" ref="AK3">SUM(_xlfn._xlws.FILTER(LTP_Formulas!AN:AN,LTP_Formulas!$A:$A=LTP_Aggregated!AJ3,0))</f>
        <v>0</v>
      </c>
      <c r="AL3" cm="1">
        <f t="array" ref="AL3">SUM(_xlfn._xlws.FILTER(LTP_Formulas!AO:AO,LTP_Formulas!$A:$A=LTP_Aggregated!AK3,0))</f>
        <v>0</v>
      </c>
      <c r="AM3" cm="1">
        <f t="array" ref="AM3">SUM(_xlfn._xlws.FILTER(LTP_Formulas!AP:AP,LTP_Formulas!$A:$A=LTP_Aggregated!AL3,0))</f>
        <v>0</v>
      </c>
      <c r="AN3" cm="1">
        <f t="array" ref="AN3">SUM(_xlfn._xlws.FILTER(LTP_Formulas!AQ:AQ,LTP_Formulas!$A:$A=LTP_Aggregated!AM3,0))</f>
        <v>0</v>
      </c>
      <c r="AO3" cm="1">
        <f t="array" ref="AO3">SUM(_xlfn._xlws.FILTER(LTP_Formulas!AR:AR,LTP_Formulas!$A:$A=LTP_Aggregated!AN3,0))</f>
        <v>0</v>
      </c>
      <c r="AP3" cm="1">
        <f t="array" ref="AP3">SUM(_xlfn._xlws.FILTER(LTP_Formulas!AS:AS,LTP_Formulas!$A:$A=LTP_Aggregated!AO3,0))</f>
        <v>0</v>
      </c>
      <c r="AQ3" cm="1">
        <f t="array" ref="AQ3">SUM(_xlfn._xlws.FILTER(LTP_Formulas!AT:AT,LTP_Formulas!$A:$A=LTP_Aggregated!AP3,0))</f>
        <v>0</v>
      </c>
      <c r="AR3" cm="1">
        <f t="array" ref="AR3">SUM(_xlfn._xlws.FILTER(LTP_Formulas!AU:AU,LTP_Formulas!$A:$A=LTP_Aggregated!AQ3,0))</f>
        <v>0</v>
      </c>
      <c r="AS3" cm="1">
        <f t="array" ref="AS3">SUM(_xlfn._xlws.FILTER(LTP_Formulas!AV:AV,LTP_Formulas!$A:$A=LTP_Aggregated!AR3,0))</f>
        <v>0</v>
      </c>
      <c r="AT3" cm="1">
        <f t="array" ref="AT3">SUM(_xlfn._xlws.FILTER(LTP_Formulas!AW:AW,LTP_Formulas!$A:$A=LTP_Aggregated!AS3,0))</f>
        <v>0</v>
      </c>
      <c r="AU3" cm="1">
        <f t="array" ref="AU3">SUM(_xlfn._xlws.FILTER(LTP_Formulas!AX:AX,LTP_Formulas!$A:$A=LTP_Aggregated!AT3,0))</f>
        <v>0</v>
      </c>
      <c r="AV3" cm="1">
        <f t="array" ref="AV3">SUM(_xlfn._xlws.FILTER(LTP_Formulas!AY:AY,LTP_Formulas!$A:$A=LTP_Aggregated!AU3,0))</f>
        <v>0</v>
      </c>
      <c r="AW3" cm="1">
        <f t="array" ref="AW3">SUM(_xlfn._xlws.FILTER(LTP_Formulas!AZ:AZ,LTP_Formulas!$A:$A=LTP_Aggregated!AV3,0))</f>
        <v>0</v>
      </c>
      <c r="AX3" cm="1">
        <f t="array" ref="AX3">SUM(_xlfn._xlws.FILTER(LTP_Formulas!BA:BA,LTP_Formulas!$A:$A=LTP_Aggregated!AW3,0))</f>
        <v>0</v>
      </c>
    </row>
    <row r="4" spans="1:50">
      <c r="A4" t="str">
        <v>P_FG</v>
      </c>
      <c r="B4" cm="1">
        <f t="array" ref="B4">SUM(_xlfn._xlws.FILTER(LTP_Formulas!E:E,LTP_Formulas!$A:$A=LTP_Aggregated!A4,0))</f>
        <v>2478</v>
      </c>
      <c r="C4" cm="1">
        <f t="array" ref="C4">SUM(_xlfn._xlws.FILTER(LTP_Formulas!F:F,LTP_Formulas!$A:$A=LTP_Aggregated!B4,0))</f>
        <v>0</v>
      </c>
      <c r="D4" cm="1">
        <f t="array" ref="D4">SUM(_xlfn._xlws.FILTER(LTP_Formulas!G:G,LTP_Formulas!$A:$A=LTP_Aggregated!C4,0))</f>
        <v>0</v>
      </c>
      <c r="E4" cm="1">
        <f t="array" ref="E4">SUM(_xlfn._xlws.FILTER(LTP_Formulas!H:H,LTP_Formulas!$A:$A=LTP_Aggregated!D4,0))</f>
        <v>0</v>
      </c>
      <c r="F4" cm="1">
        <f t="array" ref="F4">SUM(_xlfn._xlws.FILTER(LTP_Formulas!I:I,LTP_Formulas!$A:$A=LTP_Aggregated!E4,0))</f>
        <v>0</v>
      </c>
      <c r="G4" cm="1">
        <f t="array" ref="G4">SUM(_xlfn._xlws.FILTER(LTP_Formulas!J:J,LTP_Formulas!$A:$A=LTP_Aggregated!F4,0))</f>
        <v>0</v>
      </c>
      <c r="H4" cm="1">
        <f t="array" ref="H4">SUM(_xlfn._xlws.FILTER(LTP_Formulas!K:K,LTP_Formulas!$A:$A=LTP_Aggregated!G4,0))</f>
        <v>0</v>
      </c>
      <c r="I4" cm="1">
        <f t="array" ref="I4">SUM(_xlfn._xlws.FILTER(LTP_Formulas!L:L,LTP_Formulas!$A:$A=LTP_Aggregated!H4,0))</f>
        <v>0</v>
      </c>
      <c r="J4" cm="1">
        <f t="array" ref="J4">SUM(_xlfn._xlws.FILTER(LTP_Formulas!M:M,LTP_Formulas!$A:$A=LTP_Aggregated!I4,0))</f>
        <v>0</v>
      </c>
      <c r="K4" cm="1">
        <f t="array" ref="K4">SUM(_xlfn._xlws.FILTER(LTP_Formulas!N:N,LTP_Formulas!$A:$A=LTP_Aggregated!J4,0))</f>
        <v>0</v>
      </c>
      <c r="L4" cm="1">
        <f t="array" ref="L4">SUM(_xlfn._xlws.FILTER(LTP_Formulas!O:O,LTP_Formulas!$A:$A=LTP_Aggregated!K4,0))</f>
        <v>0</v>
      </c>
      <c r="M4" cm="1">
        <f t="array" ref="M4">SUM(_xlfn._xlws.FILTER(LTP_Formulas!P:P,LTP_Formulas!$A:$A=LTP_Aggregated!L4,0))</f>
        <v>0</v>
      </c>
      <c r="N4" cm="1">
        <f t="array" ref="N4">SUM(_xlfn._xlws.FILTER(LTP_Formulas!Q:Q,LTP_Formulas!$A:$A=LTP_Aggregated!M4,0))</f>
        <v>0</v>
      </c>
      <c r="O4" cm="1">
        <f t="array" ref="O4">SUM(_xlfn._xlws.FILTER(LTP_Formulas!R:R,LTP_Formulas!$A:$A=LTP_Aggregated!N4,0))</f>
        <v>0</v>
      </c>
      <c r="P4" cm="1">
        <f t="array" ref="P4">SUM(_xlfn._xlws.FILTER(LTP_Formulas!S:S,LTP_Formulas!$A:$A=LTP_Aggregated!O4,0))</f>
        <v>0</v>
      </c>
      <c r="Q4" cm="1">
        <f t="array" ref="Q4">SUM(_xlfn._xlws.FILTER(LTP_Formulas!T:T,LTP_Formulas!$A:$A=LTP_Aggregated!P4,0))</f>
        <v>0</v>
      </c>
      <c r="R4" cm="1">
        <f t="array" ref="R4">SUM(_xlfn._xlws.FILTER(LTP_Formulas!U:U,LTP_Formulas!$A:$A=LTP_Aggregated!Q4,0))</f>
        <v>0</v>
      </c>
      <c r="S4" cm="1">
        <f t="array" ref="S4">SUM(_xlfn._xlws.FILTER(LTP_Formulas!V:V,LTP_Formulas!$A:$A=LTP_Aggregated!R4,0))</f>
        <v>0</v>
      </c>
      <c r="T4" cm="1">
        <f t="array" ref="T4">SUM(_xlfn._xlws.FILTER(LTP_Formulas!W:W,LTP_Formulas!$A:$A=LTP_Aggregated!S4,0))</f>
        <v>0</v>
      </c>
      <c r="U4" cm="1">
        <f t="array" ref="U4">SUM(_xlfn._xlws.FILTER(LTP_Formulas!X:X,LTP_Formulas!$A:$A=LTP_Aggregated!T4,0))</f>
        <v>0</v>
      </c>
      <c r="V4" cm="1">
        <f t="array" ref="V4">SUM(_xlfn._xlws.FILTER(LTP_Formulas!Y:Y,LTP_Formulas!$A:$A=LTP_Aggregated!U4,0))</f>
        <v>0</v>
      </c>
      <c r="W4" cm="1">
        <f t="array" ref="W4">SUM(_xlfn._xlws.FILTER(LTP_Formulas!Z:Z,LTP_Formulas!$A:$A=LTP_Aggregated!V4,0))</f>
        <v>0</v>
      </c>
      <c r="X4" cm="1">
        <f t="array" ref="X4">SUM(_xlfn._xlws.FILTER(LTP_Formulas!AA:AA,LTP_Formulas!$A:$A=LTP_Aggregated!W4,0))</f>
        <v>0</v>
      </c>
      <c r="Y4" cm="1">
        <f t="array" ref="Y4">SUM(_xlfn._xlws.FILTER(LTP_Formulas!AB:AB,LTP_Formulas!$A:$A=LTP_Aggregated!X4,0))</f>
        <v>0</v>
      </c>
      <c r="Z4" cm="1">
        <f t="array" ref="Z4">SUM(_xlfn._xlws.FILTER(LTP_Formulas!AC:AC,LTP_Formulas!$A:$A=LTP_Aggregated!Y4,0))</f>
        <v>0</v>
      </c>
      <c r="AA4" cm="1">
        <f t="array" ref="AA4">SUM(_xlfn._xlws.FILTER(LTP_Formulas!AD:AD,LTP_Formulas!$A:$A=LTP_Aggregated!Z4,0))</f>
        <v>0</v>
      </c>
      <c r="AB4" cm="1">
        <f t="array" ref="AB4">SUM(_xlfn._xlws.FILTER(LTP_Formulas!AE:AE,LTP_Formulas!$A:$A=LTP_Aggregated!AA4,0))</f>
        <v>0</v>
      </c>
      <c r="AC4" cm="1">
        <f t="array" ref="AC4">SUM(_xlfn._xlws.FILTER(LTP_Formulas!AF:AF,LTP_Formulas!$A:$A=LTP_Aggregated!AB4,0))</f>
        <v>0</v>
      </c>
      <c r="AD4" cm="1">
        <f t="array" ref="AD4">SUM(_xlfn._xlws.FILTER(LTP_Formulas!AG:AG,LTP_Formulas!$A:$A=LTP_Aggregated!AC4,0))</f>
        <v>0</v>
      </c>
      <c r="AE4" cm="1">
        <f t="array" ref="AE4">SUM(_xlfn._xlws.FILTER(LTP_Formulas!AH:AH,LTP_Formulas!$A:$A=LTP_Aggregated!AD4,0))</f>
        <v>0</v>
      </c>
      <c r="AF4" cm="1">
        <f t="array" ref="AF4">SUM(_xlfn._xlws.FILTER(LTP_Formulas!AI:AI,LTP_Formulas!$A:$A=LTP_Aggregated!AE4,0))</f>
        <v>0</v>
      </c>
      <c r="AG4" cm="1">
        <f t="array" ref="AG4">SUM(_xlfn._xlws.FILTER(LTP_Formulas!AJ:AJ,LTP_Formulas!$A:$A=LTP_Aggregated!AF4,0))</f>
        <v>0</v>
      </c>
      <c r="AH4" cm="1">
        <f t="array" ref="AH4">SUM(_xlfn._xlws.FILTER(LTP_Formulas!AK:AK,LTP_Formulas!$A:$A=LTP_Aggregated!AG4,0))</f>
        <v>0</v>
      </c>
      <c r="AI4" cm="1">
        <f t="array" ref="AI4">SUM(_xlfn._xlws.FILTER(LTP_Formulas!AL:AL,LTP_Formulas!$A:$A=LTP_Aggregated!AH4,0))</f>
        <v>0</v>
      </c>
      <c r="AJ4" cm="1">
        <f t="array" ref="AJ4">SUM(_xlfn._xlws.FILTER(LTP_Formulas!AM:AM,LTP_Formulas!$A:$A=LTP_Aggregated!AI4,0))</f>
        <v>0</v>
      </c>
      <c r="AK4" cm="1">
        <f t="array" ref="AK4">SUM(_xlfn._xlws.FILTER(LTP_Formulas!AN:AN,LTP_Formulas!$A:$A=LTP_Aggregated!AJ4,0))</f>
        <v>0</v>
      </c>
      <c r="AL4" cm="1">
        <f t="array" ref="AL4">SUM(_xlfn._xlws.FILTER(LTP_Formulas!AO:AO,LTP_Formulas!$A:$A=LTP_Aggregated!AK4,0))</f>
        <v>0</v>
      </c>
      <c r="AM4" cm="1">
        <f t="array" ref="AM4">SUM(_xlfn._xlws.FILTER(LTP_Formulas!AP:AP,LTP_Formulas!$A:$A=LTP_Aggregated!AL4,0))</f>
        <v>0</v>
      </c>
      <c r="AN4" cm="1">
        <f t="array" ref="AN4">SUM(_xlfn._xlws.FILTER(LTP_Formulas!AQ:AQ,LTP_Formulas!$A:$A=LTP_Aggregated!AM4,0))</f>
        <v>0</v>
      </c>
      <c r="AO4" cm="1">
        <f t="array" ref="AO4">SUM(_xlfn._xlws.FILTER(LTP_Formulas!AR:AR,LTP_Formulas!$A:$A=LTP_Aggregated!AN4,0))</f>
        <v>0</v>
      </c>
      <c r="AP4" cm="1">
        <f t="array" ref="AP4">SUM(_xlfn._xlws.FILTER(LTP_Formulas!AS:AS,LTP_Formulas!$A:$A=LTP_Aggregated!AO4,0))</f>
        <v>0</v>
      </c>
      <c r="AQ4" cm="1">
        <f t="array" ref="AQ4">SUM(_xlfn._xlws.FILTER(LTP_Formulas!AT:AT,LTP_Formulas!$A:$A=LTP_Aggregated!AP4,0))</f>
        <v>0</v>
      </c>
      <c r="AR4" cm="1">
        <f t="array" ref="AR4">SUM(_xlfn._xlws.FILTER(LTP_Formulas!AU:AU,LTP_Formulas!$A:$A=LTP_Aggregated!AQ4,0))</f>
        <v>0</v>
      </c>
      <c r="AS4" cm="1">
        <f t="array" ref="AS4">SUM(_xlfn._xlws.FILTER(LTP_Formulas!AV:AV,LTP_Formulas!$A:$A=LTP_Aggregated!AR4,0))</f>
        <v>0</v>
      </c>
      <c r="AT4" cm="1">
        <f t="array" ref="AT4">SUM(_xlfn._xlws.FILTER(LTP_Formulas!AW:AW,LTP_Formulas!$A:$A=LTP_Aggregated!AS4,0))</f>
        <v>0</v>
      </c>
      <c r="AU4" cm="1">
        <f t="array" ref="AU4">SUM(_xlfn._xlws.FILTER(LTP_Formulas!AX:AX,LTP_Formulas!$A:$A=LTP_Aggregated!AT4,0))</f>
        <v>0</v>
      </c>
      <c r="AV4" cm="1">
        <f t="array" ref="AV4">SUM(_xlfn._xlws.FILTER(LTP_Formulas!AY:AY,LTP_Formulas!$A:$A=LTP_Aggregated!AU4,0))</f>
        <v>0</v>
      </c>
      <c r="AW4" cm="1">
        <f t="array" ref="AW4">SUM(_xlfn._xlws.FILTER(LTP_Formulas!AZ:AZ,LTP_Formulas!$A:$A=LTP_Aggregated!AV4,0))</f>
        <v>0</v>
      </c>
      <c r="AX4" cm="1">
        <f t="array" ref="AX4">SUM(_xlfn._xlws.FILTER(LTP_Formulas!BA:BA,LTP_Formulas!$A:$A=LTP_Aggregated!AW4,0))</f>
        <v>0</v>
      </c>
    </row>
    <row r="5" spans="1:50">
      <c r="A5" t="str">
        <v>V_FG</v>
      </c>
      <c r="B5" cm="1">
        <f t="array" ref="B5">SUM(_xlfn._xlws.FILTER(LTP_Formulas!E:E,LTP_Formulas!$A:$A=LTP_Aggregated!A5,0))</f>
        <v>20490</v>
      </c>
      <c r="C5" cm="1">
        <f t="array" ref="C5">SUM(_xlfn._xlws.FILTER(LTP_Formulas!F:F,LTP_Formulas!$A:$A=LTP_Aggregated!B5,0))</f>
        <v>0</v>
      </c>
      <c r="D5" cm="1">
        <f t="array" ref="D5">SUM(_xlfn._xlws.FILTER(LTP_Formulas!G:G,LTP_Formulas!$A:$A=LTP_Aggregated!C5,0))</f>
        <v>0</v>
      </c>
      <c r="E5" cm="1">
        <f t="array" ref="E5">SUM(_xlfn._xlws.FILTER(LTP_Formulas!H:H,LTP_Formulas!$A:$A=LTP_Aggregated!D5,0))</f>
        <v>0</v>
      </c>
      <c r="F5" cm="1">
        <f t="array" ref="F5">SUM(_xlfn._xlws.FILTER(LTP_Formulas!I:I,LTP_Formulas!$A:$A=LTP_Aggregated!E5,0))</f>
        <v>0</v>
      </c>
      <c r="G5" cm="1">
        <f t="array" ref="G5">SUM(_xlfn._xlws.FILTER(LTP_Formulas!J:J,LTP_Formulas!$A:$A=LTP_Aggregated!F5,0))</f>
        <v>0</v>
      </c>
      <c r="H5" cm="1">
        <f t="array" ref="H5">SUM(_xlfn._xlws.FILTER(LTP_Formulas!K:K,LTP_Formulas!$A:$A=LTP_Aggregated!G5,0))</f>
        <v>0</v>
      </c>
      <c r="I5" cm="1">
        <f t="array" ref="I5">SUM(_xlfn._xlws.FILTER(LTP_Formulas!L:L,LTP_Formulas!$A:$A=LTP_Aggregated!H5,0))</f>
        <v>0</v>
      </c>
      <c r="J5" cm="1">
        <f t="array" ref="J5">SUM(_xlfn._xlws.FILTER(LTP_Formulas!M:M,LTP_Formulas!$A:$A=LTP_Aggregated!I5,0))</f>
        <v>0</v>
      </c>
      <c r="K5" cm="1">
        <f t="array" ref="K5">SUM(_xlfn._xlws.FILTER(LTP_Formulas!N:N,LTP_Formulas!$A:$A=LTP_Aggregated!J5,0))</f>
        <v>0</v>
      </c>
      <c r="L5" cm="1">
        <f t="array" ref="L5">SUM(_xlfn._xlws.FILTER(LTP_Formulas!O:O,LTP_Formulas!$A:$A=LTP_Aggregated!K5,0))</f>
        <v>0</v>
      </c>
      <c r="M5" cm="1">
        <f t="array" ref="M5">SUM(_xlfn._xlws.FILTER(LTP_Formulas!P:P,LTP_Formulas!$A:$A=LTP_Aggregated!L5,0))</f>
        <v>0</v>
      </c>
      <c r="N5" cm="1">
        <f t="array" ref="N5">SUM(_xlfn._xlws.FILTER(LTP_Formulas!Q:Q,LTP_Formulas!$A:$A=LTP_Aggregated!M5,0))</f>
        <v>0</v>
      </c>
      <c r="O5" cm="1">
        <f t="array" ref="O5">SUM(_xlfn._xlws.FILTER(LTP_Formulas!R:R,LTP_Formulas!$A:$A=LTP_Aggregated!N5,0))</f>
        <v>0</v>
      </c>
      <c r="P5" cm="1">
        <f t="array" ref="P5">SUM(_xlfn._xlws.FILTER(LTP_Formulas!S:S,LTP_Formulas!$A:$A=LTP_Aggregated!O5,0))</f>
        <v>0</v>
      </c>
      <c r="Q5" cm="1">
        <f t="array" ref="Q5">SUM(_xlfn._xlws.FILTER(LTP_Formulas!T:T,LTP_Formulas!$A:$A=LTP_Aggregated!P5,0))</f>
        <v>0</v>
      </c>
      <c r="R5" cm="1">
        <f t="array" ref="R5">SUM(_xlfn._xlws.FILTER(LTP_Formulas!U:U,LTP_Formulas!$A:$A=LTP_Aggregated!Q5,0))</f>
        <v>0</v>
      </c>
      <c r="S5" cm="1">
        <f t="array" ref="S5">SUM(_xlfn._xlws.FILTER(LTP_Formulas!V:V,LTP_Formulas!$A:$A=LTP_Aggregated!R5,0))</f>
        <v>0</v>
      </c>
      <c r="T5" cm="1">
        <f t="array" ref="T5">SUM(_xlfn._xlws.FILTER(LTP_Formulas!W:W,LTP_Formulas!$A:$A=LTP_Aggregated!S5,0))</f>
        <v>0</v>
      </c>
      <c r="U5" cm="1">
        <f t="array" ref="U5">SUM(_xlfn._xlws.FILTER(LTP_Formulas!X:X,LTP_Formulas!$A:$A=LTP_Aggregated!T5,0))</f>
        <v>0</v>
      </c>
      <c r="V5" cm="1">
        <f t="array" ref="V5">SUM(_xlfn._xlws.FILTER(LTP_Formulas!Y:Y,LTP_Formulas!$A:$A=LTP_Aggregated!U5,0))</f>
        <v>0</v>
      </c>
      <c r="W5" cm="1">
        <f t="array" ref="W5">SUM(_xlfn._xlws.FILTER(LTP_Formulas!Z:Z,LTP_Formulas!$A:$A=LTP_Aggregated!V5,0))</f>
        <v>0</v>
      </c>
      <c r="X5" cm="1">
        <f t="array" ref="X5">SUM(_xlfn._xlws.FILTER(LTP_Formulas!AA:AA,LTP_Formulas!$A:$A=LTP_Aggregated!W5,0))</f>
        <v>0</v>
      </c>
      <c r="Y5" cm="1">
        <f t="array" ref="Y5">SUM(_xlfn._xlws.FILTER(LTP_Formulas!AB:AB,LTP_Formulas!$A:$A=LTP_Aggregated!X5,0))</f>
        <v>0</v>
      </c>
      <c r="Z5" cm="1">
        <f t="array" ref="Z5">SUM(_xlfn._xlws.FILTER(LTP_Formulas!AC:AC,LTP_Formulas!$A:$A=LTP_Aggregated!Y5,0))</f>
        <v>0</v>
      </c>
      <c r="AA5" cm="1">
        <f t="array" ref="AA5">SUM(_xlfn._xlws.FILTER(LTP_Formulas!AD:AD,LTP_Formulas!$A:$A=LTP_Aggregated!Z5,0))</f>
        <v>0</v>
      </c>
      <c r="AB5" cm="1">
        <f t="array" ref="AB5">SUM(_xlfn._xlws.FILTER(LTP_Formulas!AE:AE,LTP_Formulas!$A:$A=LTP_Aggregated!AA5,0))</f>
        <v>0</v>
      </c>
      <c r="AC5" cm="1">
        <f t="array" ref="AC5">SUM(_xlfn._xlws.FILTER(LTP_Formulas!AF:AF,LTP_Formulas!$A:$A=LTP_Aggregated!AB5,0))</f>
        <v>0</v>
      </c>
      <c r="AD5" cm="1">
        <f t="array" ref="AD5">SUM(_xlfn._xlws.FILTER(LTP_Formulas!AG:AG,LTP_Formulas!$A:$A=LTP_Aggregated!AC5,0))</f>
        <v>0</v>
      </c>
      <c r="AE5" cm="1">
        <f t="array" ref="AE5">SUM(_xlfn._xlws.FILTER(LTP_Formulas!AH:AH,LTP_Formulas!$A:$A=LTP_Aggregated!AD5,0))</f>
        <v>0</v>
      </c>
      <c r="AF5" cm="1">
        <f t="array" ref="AF5">SUM(_xlfn._xlws.FILTER(LTP_Formulas!AI:AI,LTP_Formulas!$A:$A=LTP_Aggregated!AE5,0))</f>
        <v>0</v>
      </c>
      <c r="AG5" cm="1">
        <f t="array" ref="AG5">SUM(_xlfn._xlws.FILTER(LTP_Formulas!AJ:AJ,LTP_Formulas!$A:$A=LTP_Aggregated!AF5,0))</f>
        <v>0</v>
      </c>
      <c r="AH5" cm="1">
        <f t="array" ref="AH5">SUM(_xlfn._xlws.FILTER(LTP_Formulas!AK:AK,LTP_Formulas!$A:$A=LTP_Aggregated!AG5,0))</f>
        <v>0</v>
      </c>
      <c r="AI5" cm="1">
        <f t="array" ref="AI5">SUM(_xlfn._xlws.FILTER(LTP_Formulas!AL:AL,LTP_Formulas!$A:$A=LTP_Aggregated!AH5,0))</f>
        <v>0</v>
      </c>
      <c r="AJ5" cm="1">
        <f t="array" ref="AJ5">SUM(_xlfn._xlws.FILTER(LTP_Formulas!AM:AM,LTP_Formulas!$A:$A=LTP_Aggregated!AI5,0))</f>
        <v>0</v>
      </c>
      <c r="AK5" cm="1">
        <f t="array" ref="AK5">SUM(_xlfn._xlws.FILTER(LTP_Formulas!AN:AN,LTP_Formulas!$A:$A=LTP_Aggregated!AJ5,0))</f>
        <v>0</v>
      </c>
      <c r="AL5" cm="1">
        <f t="array" ref="AL5">SUM(_xlfn._xlws.FILTER(LTP_Formulas!AO:AO,LTP_Formulas!$A:$A=LTP_Aggregated!AK5,0))</f>
        <v>0</v>
      </c>
      <c r="AM5" cm="1">
        <f t="array" ref="AM5">SUM(_xlfn._xlws.FILTER(LTP_Formulas!AP:AP,LTP_Formulas!$A:$A=LTP_Aggregated!AL5,0))</f>
        <v>0</v>
      </c>
      <c r="AN5" cm="1">
        <f t="array" ref="AN5">SUM(_xlfn._xlws.FILTER(LTP_Formulas!AQ:AQ,LTP_Formulas!$A:$A=LTP_Aggregated!AM5,0))</f>
        <v>0</v>
      </c>
      <c r="AO5" cm="1">
        <f t="array" ref="AO5">SUM(_xlfn._xlws.FILTER(LTP_Formulas!AR:AR,LTP_Formulas!$A:$A=LTP_Aggregated!AN5,0))</f>
        <v>0</v>
      </c>
      <c r="AP5" cm="1">
        <f t="array" ref="AP5">SUM(_xlfn._xlws.FILTER(LTP_Formulas!AS:AS,LTP_Formulas!$A:$A=LTP_Aggregated!AO5,0))</f>
        <v>0</v>
      </c>
      <c r="AQ5" cm="1">
        <f t="array" ref="AQ5">SUM(_xlfn._xlws.FILTER(LTP_Formulas!AT:AT,LTP_Formulas!$A:$A=LTP_Aggregated!AP5,0))</f>
        <v>0</v>
      </c>
      <c r="AR5" cm="1">
        <f t="array" ref="AR5">SUM(_xlfn._xlws.FILTER(LTP_Formulas!AU:AU,LTP_Formulas!$A:$A=LTP_Aggregated!AQ5,0))</f>
        <v>0</v>
      </c>
      <c r="AS5" cm="1">
        <f t="array" ref="AS5">SUM(_xlfn._xlws.FILTER(LTP_Formulas!AV:AV,LTP_Formulas!$A:$A=LTP_Aggregated!AR5,0))</f>
        <v>0</v>
      </c>
      <c r="AT5" cm="1">
        <f t="array" ref="AT5">SUM(_xlfn._xlws.FILTER(LTP_Formulas!AW:AW,LTP_Formulas!$A:$A=LTP_Aggregated!AS5,0))</f>
        <v>0</v>
      </c>
      <c r="AU5" cm="1">
        <f t="array" ref="AU5">SUM(_xlfn._xlws.FILTER(LTP_Formulas!AX:AX,LTP_Formulas!$A:$A=LTP_Aggregated!AT5,0))</f>
        <v>0</v>
      </c>
      <c r="AV5" cm="1">
        <f t="array" ref="AV5">SUM(_xlfn._xlws.FILTER(LTP_Formulas!AY:AY,LTP_Formulas!$A:$A=LTP_Aggregated!AU5,0))</f>
        <v>0</v>
      </c>
      <c r="AW5" cm="1">
        <f t="array" ref="AW5">SUM(_xlfn._xlws.FILTER(LTP_Formulas!AZ:AZ,LTP_Formulas!$A:$A=LTP_Aggregated!AV5,0))</f>
        <v>0</v>
      </c>
      <c r="AX5" cm="1">
        <f t="array" ref="AX5">SUM(_xlfn._xlws.FILTER(LTP_Formulas!BA:BA,LTP_Formulas!$A:$A=LTP_Aggregated!AW5,0))</f>
        <v>0</v>
      </c>
    </row>
    <row r="6" spans="1:50">
      <c r="A6" t="str">
        <v>T_FG</v>
      </c>
      <c r="B6" cm="1">
        <f t="array" ref="B6">SUM(_xlfn._xlws.FILTER(LTP_Formulas!E:E,LTP_Formulas!$A:$A=LTP_Aggregated!A6,0))</f>
        <v>0</v>
      </c>
      <c r="C6" cm="1">
        <f t="array" ref="C6">SUM(_xlfn._xlws.FILTER(LTP_Formulas!F:F,LTP_Formulas!$A:$A=LTP_Aggregated!B6,0))</f>
        <v>0</v>
      </c>
      <c r="D6" cm="1">
        <f t="array" ref="D6">SUM(_xlfn._xlws.FILTER(LTP_Formulas!G:G,LTP_Formulas!$A:$A=LTP_Aggregated!C6,0))</f>
        <v>0</v>
      </c>
      <c r="E6" cm="1">
        <f t="array" ref="E6">SUM(_xlfn._xlws.FILTER(LTP_Formulas!H:H,LTP_Formulas!$A:$A=LTP_Aggregated!D6,0))</f>
        <v>0</v>
      </c>
      <c r="F6" cm="1">
        <f t="array" ref="F6">SUM(_xlfn._xlws.FILTER(LTP_Formulas!I:I,LTP_Formulas!$A:$A=LTP_Aggregated!E6,0))</f>
        <v>0</v>
      </c>
      <c r="G6" cm="1">
        <f t="array" ref="G6">SUM(_xlfn._xlws.FILTER(LTP_Formulas!J:J,LTP_Formulas!$A:$A=LTP_Aggregated!F6,0))</f>
        <v>0</v>
      </c>
      <c r="H6" cm="1">
        <f t="array" ref="H6">SUM(_xlfn._xlws.FILTER(LTP_Formulas!K:K,LTP_Formulas!$A:$A=LTP_Aggregated!G6,0))</f>
        <v>0</v>
      </c>
      <c r="I6" cm="1">
        <f t="array" ref="I6">SUM(_xlfn._xlws.FILTER(LTP_Formulas!L:L,LTP_Formulas!$A:$A=LTP_Aggregated!H6,0))</f>
        <v>0</v>
      </c>
      <c r="J6" cm="1">
        <f t="array" ref="J6">SUM(_xlfn._xlws.FILTER(LTP_Formulas!M:M,LTP_Formulas!$A:$A=LTP_Aggregated!I6,0))</f>
        <v>0</v>
      </c>
      <c r="K6" cm="1">
        <f t="array" ref="K6">SUM(_xlfn._xlws.FILTER(LTP_Formulas!N:N,LTP_Formulas!$A:$A=LTP_Aggregated!J6,0))</f>
        <v>0</v>
      </c>
      <c r="L6" cm="1">
        <f t="array" ref="L6">SUM(_xlfn._xlws.FILTER(LTP_Formulas!O:O,LTP_Formulas!$A:$A=LTP_Aggregated!K6,0))</f>
        <v>0</v>
      </c>
      <c r="M6" cm="1">
        <f t="array" ref="M6">SUM(_xlfn._xlws.FILTER(LTP_Formulas!P:P,LTP_Formulas!$A:$A=LTP_Aggregated!L6,0))</f>
        <v>0</v>
      </c>
      <c r="N6" cm="1">
        <f t="array" ref="N6">SUM(_xlfn._xlws.FILTER(LTP_Formulas!Q:Q,LTP_Formulas!$A:$A=LTP_Aggregated!M6,0))</f>
        <v>0</v>
      </c>
      <c r="O6" cm="1">
        <f t="array" ref="O6">SUM(_xlfn._xlws.FILTER(LTP_Formulas!R:R,LTP_Formulas!$A:$A=LTP_Aggregated!N6,0))</f>
        <v>0</v>
      </c>
      <c r="P6" cm="1">
        <f t="array" ref="P6">SUM(_xlfn._xlws.FILTER(LTP_Formulas!S:S,LTP_Formulas!$A:$A=LTP_Aggregated!O6,0))</f>
        <v>0</v>
      </c>
      <c r="Q6" cm="1">
        <f t="array" ref="Q6">SUM(_xlfn._xlws.FILTER(LTP_Formulas!T:T,LTP_Formulas!$A:$A=LTP_Aggregated!P6,0))</f>
        <v>0</v>
      </c>
      <c r="R6" cm="1">
        <f t="array" ref="R6">SUM(_xlfn._xlws.FILTER(LTP_Formulas!U:U,LTP_Formulas!$A:$A=LTP_Aggregated!Q6,0))</f>
        <v>0</v>
      </c>
      <c r="S6" cm="1">
        <f t="array" ref="S6">SUM(_xlfn._xlws.FILTER(LTP_Formulas!V:V,LTP_Formulas!$A:$A=LTP_Aggregated!R6,0))</f>
        <v>0</v>
      </c>
      <c r="T6" cm="1">
        <f t="array" ref="T6">SUM(_xlfn._xlws.FILTER(LTP_Formulas!W:W,LTP_Formulas!$A:$A=LTP_Aggregated!S6,0))</f>
        <v>0</v>
      </c>
      <c r="U6" cm="1">
        <f t="array" ref="U6">SUM(_xlfn._xlws.FILTER(LTP_Formulas!X:X,LTP_Formulas!$A:$A=LTP_Aggregated!T6,0))</f>
        <v>0</v>
      </c>
      <c r="V6" cm="1">
        <f t="array" ref="V6">SUM(_xlfn._xlws.FILTER(LTP_Formulas!Y:Y,LTP_Formulas!$A:$A=LTP_Aggregated!U6,0))</f>
        <v>0</v>
      </c>
      <c r="W6" cm="1">
        <f t="array" ref="W6">SUM(_xlfn._xlws.FILTER(LTP_Formulas!Z:Z,LTP_Formulas!$A:$A=LTP_Aggregated!V6,0))</f>
        <v>0</v>
      </c>
      <c r="X6" cm="1">
        <f t="array" ref="X6">SUM(_xlfn._xlws.FILTER(LTP_Formulas!AA:AA,LTP_Formulas!$A:$A=LTP_Aggregated!W6,0))</f>
        <v>0</v>
      </c>
      <c r="Y6" cm="1">
        <f t="array" ref="Y6">SUM(_xlfn._xlws.FILTER(LTP_Formulas!AB:AB,LTP_Formulas!$A:$A=LTP_Aggregated!X6,0))</f>
        <v>0</v>
      </c>
      <c r="Z6" cm="1">
        <f t="array" ref="Z6">SUM(_xlfn._xlws.FILTER(LTP_Formulas!AC:AC,LTP_Formulas!$A:$A=LTP_Aggregated!Y6,0))</f>
        <v>0</v>
      </c>
      <c r="AA6" cm="1">
        <f t="array" ref="AA6">SUM(_xlfn._xlws.FILTER(LTP_Formulas!AD:AD,LTP_Formulas!$A:$A=LTP_Aggregated!Z6,0))</f>
        <v>0</v>
      </c>
      <c r="AB6" cm="1">
        <f t="array" ref="AB6">SUM(_xlfn._xlws.FILTER(LTP_Formulas!AE:AE,LTP_Formulas!$A:$A=LTP_Aggregated!AA6,0))</f>
        <v>0</v>
      </c>
      <c r="AC6" cm="1">
        <f t="array" ref="AC6">SUM(_xlfn._xlws.FILTER(LTP_Formulas!AF:AF,LTP_Formulas!$A:$A=LTP_Aggregated!AB6,0))</f>
        <v>0</v>
      </c>
      <c r="AD6" cm="1">
        <f t="array" ref="AD6">SUM(_xlfn._xlws.FILTER(LTP_Formulas!AG:AG,LTP_Formulas!$A:$A=LTP_Aggregated!AC6,0))</f>
        <v>0</v>
      </c>
      <c r="AE6" cm="1">
        <f t="array" ref="AE6">SUM(_xlfn._xlws.FILTER(LTP_Formulas!AH:AH,LTP_Formulas!$A:$A=LTP_Aggregated!AD6,0))</f>
        <v>0</v>
      </c>
      <c r="AF6" cm="1">
        <f t="array" ref="AF6">SUM(_xlfn._xlws.FILTER(LTP_Formulas!AI:AI,LTP_Formulas!$A:$A=LTP_Aggregated!AE6,0))</f>
        <v>0</v>
      </c>
      <c r="AG6" cm="1">
        <f t="array" ref="AG6">SUM(_xlfn._xlws.FILTER(LTP_Formulas!AJ:AJ,LTP_Formulas!$A:$A=LTP_Aggregated!AF6,0))</f>
        <v>0</v>
      </c>
      <c r="AH6" cm="1">
        <f t="array" ref="AH6">SUM(_xlfn._xlws.FILTER(LTP_Formulas!AK:AK,LTP_Formulas!$A:$A=LTP_Aggregated!AG6,0))</f>
        <v>0</v>
      </c>
      <c r="AI6" cm="1">
        <f t="array" ref="AI6">SUM(_xlfn._xlws.FILTER(LTP_Formulas!AL:AL,LTP_Formulas!$A:$A=LTP_Aggregated!AH6,0))</f>
        <v>0</v>
      </c>
      <c r="AJ6" cm="1">
        <f t="array" ref="AJ6">SUM(_xlfn._xlws.FILTER(LTP_Formulas!AM:AM,LTP_Formulas!$A:$A=LTP_Aggregated!AI6,0))</f>
        <v>0</v>
      </c>
      <c r="AK6" cm="1">
        <f t="array" ref="AK6">SUM(_xlfn._xlws.FILTER(LTP_Formulas!AN:AN,LTP_Formulas!$A:$A=LTP_Aggregated!AJ6,0))</f>
        <v>0</v>
      </c>
      <c r="AL6" cm="1">
        <f t="array" ref="AL6">SUM(_xlfn._xlws.FILTER(LTP_Formulas!AO:AO,LTP_Formulas!$A:$A=LTP_Aggregated!AK6,0))</f>
        <v>0</v>
      </c>
      <c r="AM6" cm="1">
        <f t="array" ref="AM6">SUM(_xlfn._xlws.FILTER(LTP_Formulas!AP:AP,LTP_Formulas!$A:$A=LTP_Aggregated!AL6,0))</f>
        <v>0</v>
      </c>
      <c r="AN6" cm="1">
        <f t="array" ref="AN6">SUM(_xlfn._xlws.FILTER(LTP_Formulas!AQ:AQ,LTP_Formulas!$A:$A=LTP_Aggregated!AM6,0))</f>
        <v>0</v>
      </c>
      <c r="AO6" cm="1">
        <f t="array" ref="AO6">SUM(_xlfn._xlws.FILTER(LTP_Formulas!AR:AR,LTP_Formulas!$A:$A=LTP_Aggregated!AN6,0))</f>
        <v>0</v>
      </c>
      <c r="AP6" cm="1">
        <f t="array" ref="AP6">SUM(_xlfn._xlws.FILTER(LTP_Formulas!AS:AS,LTP_Formulas!$A:$A=LTP_Aggregated!AO6,0))</f>
        <v>0</v>
      </c>
      <c r="AQ6" cm="1">
        <f t="array" ref="AQ6">SUM(_xlfn._xlws.FILTER(LTP_Formulas!AT:AT,LTP_Formulas!$A:$A=LTP_Aggregated!AP6,0))</f>
        <v>0</v>
      </c>
      <c r="AR6" cm="1">
        <f t="array" ref="AR6">SUM(_xlfn._xlws.FILTER(LTP_Formulas!AU:AU,LTP_Formulas!$A:$A=LTP_Aggregated!AQ6,0))</f>
        <v>0</v>
      </c>
      <c r="AS6" cm="1">
        <f t="array" ref="AS6">SUM(_xlfn._xlws.FILTER(LTP_Formulas!AV:AV,LTP_Formulas!$A:$A=LTP_Aggregated!AR6,0))</f>
        <v>0</v>
      </c>
      <c r="AT6" cm="1">
        <f t="array" ref="AT6">SUM(_xlfn._xlws.FILTER(LTP_Formulas!AW:AW,LTP_Formulas!$A:$A=LTP_Aggregated!AS6,0))</f>
        <v>0</v>
      </c>
      <c r="AU6" cm="1">
        <f t="array" ref="AU6">SUM(_xlfn._xlws.FILTER(LTP_Formulas!AX:AX,LTP_Formulas!$A:$A=LTP_Aggregated!AT6,0))</f>
        <v>0</v>
      </c>
      <c r="AV6" cm="1">
        <f t="array" ref="AV6">SUM(_xlfn._xlws.FILTER(LTP_Formulas!AY:AY,LTP_Formulas!$A:$A=LTP_Aggregated!AU6,0))</f>
        <v>0</v>
      </c>
      <c r="AW6" cm="1">
        <f t="array" ref="AW6">SUM(_xlfn._xlws.FILTER(LTP_Formulas!AZ:AZ,LTP_Formulas!$A:$A=LTP_Aggregated!AV6,0))</f>
        <v>0</v>
      </c>
      <c r="AX6" cm="1">
        <f t="array" ref="AX6">SUM(_xlfn._xlws.FILTER(LTP_Formulas!BA:BA,LTP_Formulas!$A:$A=LTP_Aggregated!AW6,0))</f>
        <v>0</v>
      </c>
    </row>
    <row r="7" spans="1:50">
      <c r="A7" t="str">
        <v>Z_FG</v>
      </c>
      <c r="B7" cm="1">
        <f t="array" ref="B7">SUM(_xlfn._xlws.FILTER(LTP_Formulas!E:E,LTP_Formulas!$A:$A=LTP_Aggregated!A7,0))</f>
        <v>4730</v>
      </c>
      <c r="C7" cm="1">
        <f t="array" ref="C7">SUM(_xlfn._xlws.FILTER(LTP_Formulas!F:F,LTP_Formulas!$A:$A=LTP_Aggregated!B7,0))</f>
        <v>0</v>
      </c>
      <c r="D7" cm="1">
        <f t="array" ref="D7">SUM(_xlfn._xlws.FILTER(LTP_Formulas!G:G,LTP_Formulas!$A:$A=LTP_Aggregated!C7,0))</f>
        <v>0</v>
      </c>
      <c r="E7" cm="1">
        <f t="array" ref="E7">SUM(_xlfn._xlws.FILTER(LTP_Formulas!H:H,LTP_Formulas!$A:$A=LTP_Aggregated!D7,0))</f>
        <v>0</v>
      </c>
      <c r="F7" cm="1">
        <f t="array" ref="F7">SUM(_xlfn._xlws.FILTER(LTP_Formulas!I:I,LTP_Formulas!$A:$A=LTP_Aggregated!E7,0))</f>
        <v>0</v>
      </c>
      <c r="G7" cm="1">
        <f t="array" ref="G7">SUM(_xlfn._xlws.FILTER(LTP_Formulas!J:J,LTP_Formulas!$A:$A=LTP_Aggregated!F7,0))</f>
        <v>0</v>
      </c>
      <c r="H7" cm="1">
        <f t="array" ref="H7">SUM(_xlfn._xlws.FILTER(LTP_Formulas!K:K,LTP_Formulas!$A:$A=LTP_Aggregated!G7,0))</f>
        <v>0</v>
      </c>
      <c r="I7" cm="1">
        <f t="array" ref="I7">SUM(_xlfn._xlws.FILTER(LTP_Formulas!L:L,LTP_Formulas!$A:$A=LTP_Aggregated!H7,0))</f>
        <v>0</v>
      </c>
      <c r="J7" cm="1">
        <f t="array" ref="J7">SUM(_xlfn._xlws.FILTER(LTP_Formulas!M:M,LTP_Formulas!$A:$A=LTP_Aggregated!I7,0))</f>
        <v>0</v>
      </c>
      <c r="K7" cm="1">
        <f t="array" ref="K7">SUM(_xlfn._xlws.FILTER(LTP_Formulas!N:N,LTP_Formulas!$A:$A=LTP_Aggregated!J7,0))</f>
        <v>0</v>
      </c>
      <c r="L7" cm="1">
        <f t="array" ref="L7">SUM(_xlfn._xlws.FILTER(LTP_Formulas!O:O,LTP_Formulas!$A:$A=LTP_Aggregated!K7,0))</f>
        <v>0</v>
      </c>
      <c r="M7" cm="1">
        <f t="array" ref="M7">SUM(_xlfn._xlws.FILTER(LTP_Formulas!P:P,LTP_Formulas!$A:$A=LTP_Aggregated!L7,0))</f>
        <v>0</v>
      </c>
      <c r="N7" cm="1">
        <f t="array" ref="N7">SUM(_xlfn._xlws.FILTER(LTP_Formulas!Q:Q,LTP_Formulas!$A:$A=LTP_Aggregated!M7,0))</f>
        <v>0</v>
      </c>
      <c r="O7" cm="1">
        <f t="array" ref="O7">SUM(_xlfn._xlws.FILTER(LTP_Formulas!R:R,LTP_Formulas!$A:$A=LTP_Aggregated!N7,0))</f>
        <v>0</v>
      </c>
      <c r="P7" cm="1">
        <f t="array" ref="P7">SUM(_xlfn._xlws.FILTER(LTP_Formulas!S:S,LTP_Formulas!$A:$A=LTP_Aggregated!O7,0))</f>
        <v>0</v>
      </c>
      <c r="Q7" cm="1">
        <f t="array" ref="Q7">SUM(_xlfn._xlws.FILTER(LTP_Formulas!T:T,LTP_Formulas!$A:$A=LTP_Aggregated!P7,0))</f>
        <v>0</v>
      </c>
      <c r="R7" cm="1">
        <f t="array" ref="R7">SUM(_xlfn._xlws.FILTER(LTP_Formulas!U:U,LTP_Formulas!$A:$A=LTP_Aggregated!Q7,0))</f>
        <v>0</v>
      </c>
      <c r="S7" cm="1">
        <f t="array" ref="S7">SUM(_xlfn._xlws.FILTER(LTP_Formulas!V:V,LTP_Formulas!$A:$A=LTP_Aggregated!R7,0))</f>
        <v>0</v>
      </c>
      <c r="T7" cm="1">
        <f t="array" ref="T7">SUM(_xlfn._xlws.FILTER(LTP_Formulas!W:W,LTP_Formulas!$A:$A=LTP_Aggregated!S7,0))</f>
        <v>0</v>
      </c>
      <c r="U7" cm="1">
        <f t="array" ref="U7">SUM(_xlfn._xlws.FILTER(LTP_Formulas!X:X,LTP_Formulas!$A:$A=LTP_Aggregated!T7,0))</f>
        <v>0</v>
      </c>
      <c r="V7" cm="1">
        <f t="array" ref="V7">SUM(_xlfn._xlws.FILTER(LTP_Formulas!Y:Y,LTP_Formulas!$A:$A=LTP_Aggregated!U7,0))</f>
        <v>0</v>
      </c>
      <c r="W7" cm="1">
        <f t="array" ref="W7">SUM(_xlfn._xlws.FILTER(LTP_Formulas!Z:Z,LTP_Formulas!$A:$A=LTP_Aggregated!V7,0))</f>
        <v>0</v>
      </c>
      <c r="X7" cm="1">
        <f t="array" ref="X7">SUM(_xlfn._xlws.FILTER(LTP_Formulas!AA:AA,LTP_Formulas!$A:$A=LTP_Aggregated!W7,0))</f>
        <v>0</v>
      </c>
      <c r="Y7" cm="1">
        <f t="array" ref="Y7">SUM(_xlfn._xlws.FILTER(LTP_Formulas!AB:AB,LTP_Formulas!$A:$A=LTP_Aggregated!X7,0))</f>
        <v>0</v>
      </c>
      <c r="Z7" cm="1">
        <f t="array" ref="Z7">SUM(_xlfn._xlws.FILTER(LTP_Formulas!AC:AC,LTP_Formulas!$A:$A=LTP_Aggregated!Y7,0))</f>
        <v>0</v>
      </c>
      <c r="AA7" cm="1">
        <f t="array" ref="AA7">SUM(_xlfn._xlws.FILTER(LTP_Formulas!AD:AD,LTP_Formulas!$A:$A=LTP_Aggregated!Z7,0))</f>
        <v>0</v>
      </c>
      <c r="AB7" cm="1">
        <f t="array" ref="AB7">SUM(_xlfn._xlws.FILTER(LTP_Formulas!AE:AE,LTP_Formulas!$A:$A=LTP_Aggregated!AA7,0))</f>
        <v>0</v>
      </c>
      <c r="AC7" cm="1">
        <f t="array" ref="AC7">SUM(_xlfn._xlws.FILTER(LTP_Formulas!AF:AF,LTP_Formulas!$A:$A=LTP_Aggregated!AB7,0))</f>
        <v>0</v>
      </c>
      <c r="AD7" cm="1">
        <f t="array" ref="AD7">SUM(_xlfn._xlws.FILTER(LTP_Formulas!AG:AG,LTP_Formulas!$A:$A=LTP_Aggregated!AC7,0))</f>
        <v>0</v>
      </c>
      <c r="AE7" cm="1">
        <f t="array" ref="AE7">SUM(_xlfn._xlws.FILTER(LTP_Formulas!AH:AH,LTP_Formulas!$A:$A=LTP_Aggregated!AD7,0))</f>
        <v>0</v>
      </c>
      <c r="AF7" cm="1">
        <f t="array" ref="AF7">SUM(_xlfn._xlws.FILTER(LTP_Formulas!AI:AI,LTP_Formulas!$A:$A=LTP_Aggregated!AE7,0))</f>
        <v>0</v>
      </c>
      <c r="AG7" cm="1">
        <f t="array" ref="AG7">SUM(_xlfn._xlws.FILTER(LTP_Formulas!AJ:AJ,LTP_Formulas!$A:$A=LTP_Aggregated!AF7,0))</f>
        <v>0</v>
      </c>
      <c r="AH7" cm="1">
        <f t="array" ref="AH7">SUM(_xlfn._xlws.FILTER(LTP_Formulas!AK:AK,LTP_Formulas!$A:$A=LTP_Aggregated!AG7,0))</f>
        <v>0</v>
      </c>
      <c r="AI7" cm="1">
        <f t="array" ref="AI7">SUM(_xlfn._xlws.FILTER(LTP_Formulas!AL:AL,LTP_Formulas!$A:$A=LTP_Aggregated!AH7,0))</f>
        <v>0</v>
      </c>
      <c r="AJ7" cm="1">
        <f t="array" ref="AJ7">SUM(_xlfn._xlws.FILTER(LTP_Formulas!AM:AM,LTP_Formulas!$A:$A=LTP_Aggregated!AI7,0))</f>
        <v>0</v>
      </c>
      <c r="AK7" cm="1">
        <f t="array" ref="AK7">SUM(_xlfn._xlws.FILTER(LTP_Formulas!AN:AN,LTP_Formulas!$A:$A=LTP_Aggregated!AJ7,0))</f>
        <v>0</v>
      </c>
      <c r="AL7" cm="1">
        <f t="array" ref="AL7">SUM(_xlfn._xlws.FILTER(LTP_Formulas!AO:AO,LTP_Formulas!$A:$A=LTP_Aggregated!AK7,0))</f>
        <v>0</v>
      </c>
      <c r="AM7" cm="1">
        <f t="array" ref="AM7">SUM(_xlfn._xlws.FILTER(LTP_Formulas!AP:AP,LTP_Formulas!$A:$A=LTP_Aggregated!AL7,0))</f>
        <v>0</v>
      </c>
      <c r="AN7" cm="1">
        <f t="array" ref="AN7">SUM(_xlfn._xlws.FILTER(LTP_Formulas!AQ:AQ,LTP_Formulas!$A:$A=LTP_Aggregated!AM7,0))</f>
        <v>0</v>
      </c>
      <c r="AO7" cm="1">
        <f t="array" ref="AO7">SUM(_xlfn._xlws.FILTER(LTP_Formulas!AR:AR,LTP_Formulas!$A:$A=LTP_Aggregated!AN7,0))</f>
        <v>0</v>
      </c>
      <c r="AP7" cm="1">
        <f t="array" ref="AP7">SUM(_xlfn._xlws.FILTER(LTP_Formulas!AS:AS,LTP_Formulas!$A:$A=LTP_Aggregated!AO7,0))</f>
        <v>0</v>
      </c>
      <c r="AQ7" cm="1">
        <f t="array" ref="AQ7">SUM(_xlfn._xlws.FILTER(LTP_Formulas!AT:AT,LTP_Formulas!$A:$A=LTP_Aggregated!AP7,0))</f>
        <v>0</v>
      </c>
      <c r="AR7" cm="1">
        <f t="array" ref="AR7">SUM(_xlfn._xlws.FILTER(LTP_Formulas!AU:AU,LTP_Formulas!$A:$A=LTP_Aggregated!AQ7,0))</f>
        <v>0</v>
      </c>
      <c r="AS7" cm="1">
        <f t="array" ref="AS7">SUM(_xlfn._xlws.FILTER(LTP_Formulas!AV:AV,LTP_Formulas!$A:$A=LTP_Aggregated!AR7,0))</f>
        <v>0</v>
      </c>
      <c r="AT7" cm="1">
        <f t="array" ref="AT7">SUM(_xlfn._xlws.FILTER(LTP_Formulas!AW:AW,LTP_Formulas!$A:$A=LTP_Aggregated!AS7,0))</f>
        <v>0</v>
      </c>
      <c r="AU7" cm="1">
        <f t="array" ref="AU7">SUM(_xlfn._xlws.FILTER(LTP_Formulas!AX:AX,LTP_Formulas!$A:$A=LTP_Aggregated!AT7,0))</f>
        <v>0</v>
      </c>
      <c r="AV7" cm="1">
        <f t="array" ref="AV7">SUM(_xlfn._xlws.FILTER(LTP_Formulas!AY:AY,LTP_Formulas!$A:$A=LTP_Aggregated!AU7,0))</f>
        <v>0</v>
      </c>
      <c r="AW7" cm="1">
        <f t="array" ref="AW7">SUM(_xlfn._xlws.FILTER(LTP_Formulas!AZ:AZ,LTP_Formulas!$A:$A=LTP_Aggregated!AV7,0))</f>
        <v>0</v>
      </c>
      <c r="AX7" cm="1">
        <f t="array" ref="AX7">SUM(_xlfn._xlws.FILTER(LTP_Formulas!BA:BA,LTP_Formulas!$A:$A=LTP_Aggregated!AW7,0))</f>
        <v>0</v>
      </c>
    </row>
    <row r="8" spans="1:50">
      <c r="A8" t="str">
        <v>G_FG</v>
      </c>
      <c r="B8" cm="1">
        <f t="array" ref="B8">SUM(_xlfn._xlws.FILTER(LTP_Formulas!E:E,LTP_Formulas!$A:$A=LTP_Aggregated!A8,0))</f>
        <v>380</v>
      </c>
      <c r="C8" cm="1">
        <f t="array" ref="C8">SUM(_xlfn._xlws.FILTER(LTP_Formulas!F:F,LTP_Formulas!$A:$A=LTP_Aggregated!B8,0))</f>
        <v>0</v>
      </c>
      <c r="D8" cm="1">
        <f t="array" ref="D8">SUM(_xlfn._xlws.FILTER(LTP_Formulas!G:G,LTP_Formulas!$A:$A=LTP_Aggregated!C8,0))</f>
        <v>0</v>
      </c>
      <c r="E8" cm="1">
        <f t="array" ref="E8">SUM(_xlfn._xlws.FILTER(LTP_Formulas!H:H,LTP_Formulas!$A:$A=LTP_Aggregated!D8,0))</f>
        <v>0</v>
      </c>
      <c r="F8" cm="1">
        <f t="array" ref="F8">SUM(_xlfn._xlws.FILTER(LTP_Formulas!I:I,LTP_Formulas!$A:$A=LTP_Aggregated!E8,0))</f>
        <v>0</v>
      </c>
      <c r="G8" cm="1">
        <f t="array" ref="G8">SUM(_xlfn._xlws.FILTER(LTP_Formulas!J:J,LTP_Formulas!$A:$A=LTP_Aggregated!F8,0))</f>
        <v>0</v>
      </c>
      <c r="H8" cm="1">
        <f t="array" ref="H8">SUM(_xlfn._xlws.FILTER(LTP_Formulas!K:K,LTP_Formulas!$A:$A=LTP_Aggregated!G8,0))</f>
        <v>0</v>
      </c>
      <c r="I8" cm="1">
        <f t="array" ref="I8">SUM(_xlfn._xlws.FILTER(LTP_Formulas!L:L,LTP_Formulas!$A:$A=LTP_Aggregated!H8,0))</f>
        <v>0</v>
      </c>
      <c r="J8" cm="1">
        <f t="array" ref="J8">SUM(_xlfn._xlws.FILTER(LTP_Formulas!M:M,LTP_Formulas!$A:$A=LTP_Aggregated!I8,0))</f>
        <v>0</v>
      </c>
      <c r="K8" cm="1">
        <f t="array" ref="K8">SUM(_xlfn._xlws.FILTER(LTP_Formulas!N:N,LTP_Formulas!$A:$A=LTP_Aggregated!J8,0))</f>
        <v>0</v>
      </c>
      <c r="L8" cm="1">
        <f t="array" ref="L8">SUM(_xlfn._xlws.FILTER(LTP_Formulas!O:O,LTP_Formulas!$A:$A=LTP_Aggregated!K8,0))</f>
        <v>0</v>
      </c>
      <c r="M8" cm="1">
        <f t="array" ref="M8">SUM(_xlfn._xlws.FILTER(LTP_Formulas!P:P,LTP_Formulas!$A:$A=LTP_Aggregated!L8,0))</f>
        <v>0</v>
      </c>
      <c r="N8" cm="1">
        <f t="array" ref="N8">SUM(_xlfn._xlws.FILTER(LTP_Formulas!Q:Q,LTP_Formulas!$A:$A=LTP_Aggregated!M8,0))</f>
        <v>0</v>
      </c>
      <c r="O8" cm="1">
        <f t="array" ref="O8">SUM(_xlfn._xlws.FILTER(LTP_Formulas!R:R,LTP_Formulas!$A:$A=LTP_Aggregated!N8,0))</f>
        <v>0</v>
      </c>
      <c r="P8" cm="1">
        <f t="array" ref="P8">SUM(_xlfn._xlws.FILTER(LTP_Formulas!S:S,LTP_Formulas!$A:$A=LTP_Aggregated!O8,0))</f>
        <v>0</v>
      </c>
      <c r="Q8" cm="1">
        <f t="array" ref="Q8">SUM(_xlfn._xlws.FILTER(LTP_Formulas!T:T,LTP_Formulas!$A:$A=LTP_Aggregated!P8,0))</f>
        <v>0</v>
      </c>
      <c r="R8" cm="1">
        <f t="array" ref="R8">SUM(_xlfn._xlws.FILTER(LTP_Formulas!U:U,LTP_Formulas!$A:$A=LTP_Aggregated!Q8,0))</f>
        <v>0</v>
      </c>
      <c r="S8" cm="1">
        <f t="array" ref="S8">SUM(_xlfn._xlws.FILTER(LTP_Formulas!V:V,LTP_Formulas!$A:$A=LTP_Aggregated!R8,0))</f>
        <v>0</v>
      </c>
      <c r="T8" cm="1">
        <f t="array" ref="T8">SUM(_xlfn._xlws.FILTER(LTP_Formulas!W:W,LTP_Formulas!$A:$A=LTP_Aggregated!S8,0))</f>
        <v>0</v>
      </c>
      <c r="U8" cm="1">
        <f t="array" ref="U8">SUM(_xlfn._xlws.FILTER(LTP_Formulas!X:X,LTP_Formulas!$A:$A=LTP_Aggregated!T8,0))</f>
        <v>0</v>
      </c>
      <c r="V8" cm="1">
        <f t="array" ref="V8">SUM(_xlfn._xlws.FILTER(LTP_Formulas!Y:Y,LTP_Formulas!$A:$A=LTP_Aggregated!U8,0))</f>
        <v>0</v>
      </c>
      <c r="W8" cm="1">
        <f t="array" ref="W8">SUM(_xlfn._xlws.FILTER(LTP_Formulas!Z:Z,LTP_Formulas!$A:$A=LTP_Aggregated!V8,0))</f>
        <v>0</v>
      </c>
      <c r="X8" cm="1">
        <f t="array" ref="X8">SUM(_xlfn._xlws.FILTER(LTP_Formulas!AA:AA,LTP_Formulas!$A:$A=LTP_Aggregated!W8,0))</f>
        <v>0</v>
      </c>
      <c r="Y8" cm="1">
        <f t="array" ref="Y8">SUM(_xlfn._xlws.FILTER(LTP_Formulas!AB:AB,LTP_Formulas!$A:$A=LTP_Aggregated!X8,0))</f>
        <v>0</v>
      </c>
      <c r="Z8" cm="1">
        <f t="array" ref="Z8">SUM(_xlfn._xlws.FILTER(LTP_Formulas!AC:AC,LTP_Formulas!$A:$A=LTP_Aggregated!Y8,0))</f>
        <v>0</v>
      </c>
      <c r="AA8" cm="1">
        <f t="array" ref="AA8">SUM(_xlfn._xlws.FILTER(LTP_Formulas!AD:AD,LTP_Formulas!$A:$A=LTP_Aggregated!Z8,0))</f>
        <v>0</v>
      </c>
      <c r="AB8" cm="1">
        <f t="array" ref="AB8">SUM(_xlfn._xlws.FILTER(LTP_Formulas!AE:AE,LTP_Formulas!$A:$A=LTP_Aggregated!AA8,0))</f>
        <v>0</v>
      </c>
      <c r="AC8" cm="1">
        <f t="array" ref="AC8">SUM(_xlfn._xlws.FILTER(LTP_Formulas!AF:AF,LTP_Formulas!$A:$A=LTP_Aggregated!AB8,0))</f>
        <v>0</v>
      </c>
      <c r="AD8" cm="1">
        <f t="array" ref="AD8">SUM(_xlfn._xlws.FILTER(LTP_Formulas!AG:AG,LTP_Formulas!$A:$A=LTP_Aggregated!AC8,0))</f>
        <v>0</v>
      </c>
      <c r="AE8" cm="1">
        <f t="array" ref="AE8">SUM(_xlfn._xlws.FILTER(LTP_Formulas!AH:AH,LTP_Formulas!$A:$A=LTP_Aggregated!AD8,0))</f>
        <v>0</v>
      </c>
      <c r="AF8" cm="1">
        <f t="array" ref="AF8">SUM(_xlfn._xlws.FILTER(LTP_Formulas!AI:AI,LTP_Formulas!$A:$A=LTP_Aggregated!AE8,0))</f>
        <v>0</v>
      </c>
      <c r="AG8" cm="1">
        <f t="array" ref="AG8">SUM(_xlfn._xlws.FILTER(LTP_Formulas!AJ:AJ,LTP_Formulas!$A:$A=LTP_Aggregated!AF8,0))</f>
        <v>0</v>
      </c>
      <c r="AH8" cm="1">
        <f t="array" ref="AH8">SUM(_xlfn._xlws.FILTER(LTP_Formulas!AK:AK,LTP_Formulas!$A:$A=LTP_Aggregated!AG8,0))</f>
        <v>0</v>
      </c>
      <c r="AI8" cm="1">
        <f t="array" ref="AI8">SUM(_xlfn._xlws.FILTER(LTP_Formulas!AL:AL,LTP_Formulas!$A:$A=LTP_Aggregated!AH8,0))</f>
        <v>0</v>
      </c>
      <c r="AJ8" cm="1">
        <f t="array" ref="AJ8">SUM(_xlfn._xlws.FILTER(LTP_Formulas!AM:AM,LTP_Formulas!$A:$A=LTP_Aggregated!AI8,0))</f>
        <v>0</v>
      </c>
      <c r="AK8" cm="1">
        <f t="array" ref="AK8">SUM(_xlfn._xlws.FILTER(LTP_Formulas!AN:AN,LTP_Formulas!$A:$A=LTP_Aggregated!AJ8,0))</f>
        <v>0</v>
      </c>
      <c r="AL8" cm="1">
        <f t="array" ref="AL8">SUM(_xlfn._xlws.FILTER(LTP_Formulas!AO:AO,LTP_Formulas!$A:$A=LTP_Aggregated!AK8,0))</f>
        <v>0</v>
      </c>
      <c r="AM8" cm="1">
        <f t="array" ref="AM8">SUM(_xlfn._xlws.FILTER(LTP_Formulas!AP:AP,LTP_Formulas!$A:$A=LTP_Aggregated!AL8,0))</f>
        <v>0</v>
      </c>
      <c r="AN8" cm="1">
        <f t="array" ref="AN8">SUM(_xlfn._xlws.FILTER(LTP_Formulas!AQ:AQ,LTP_Formulas!$A:$A=LTP_Aggregated!AM8,0))</f>
        <v>0</v>
      </c>
      <c r="AO8" cm="1">
        <f t="array" ref="AO8">SUM(_xlfn._xlws.FILTER(LTP_Formulas!AR:AR,LTP_Formulas!$A:$A=LTP_Aggregated!AN8,0))</f>
        <v>0</v>
      </c>
      <c r="AP8" cm="1">
        <f t="array" ref="AP8">SUM(_xlfn._xlws.FILTER(LTP_Formulas!AS:AS,LTP_Formulas!$A:$A=LTP_Aggregated!AO8,0))</f>
        <v>0</v>
      </c>
      <c r="AQ8" cm="1">
        <f t="array" ref="AQ8">SUM(_xlfn._xlws.FILTER(LTP_Formulas!AT:AT,LTP_Formulas!$A:$A=LTP_Aggregated!AP8,0))</f>
        <v>0</v>
      </c>
      <c r="AR8" cm="1">
        <f t="array" ref="AR8">SUM(_xlfn._xlws.FILTER(LTP_Formulas!AU:AU,LTP_Formulas!$A:$A=LTP_Aggregated!AQ8,0))</f>
        <v>0</v>
      </c>
      <c r="AS8" cm="1">
        <f t="array" ref="AS8">SUM(_xlfn._xlws.FILTER(LTP_Formulas!AV:AV,LTP_Formulas!$A:$A=LTP_Aggregated!AR8,0))</f>
        <v>0</v>
      </c>
      <c r="AT8" cm="1">
        <f t="array" ref="AT8">SUM(_xlfn._xlws.FILTER(LTP_Formulas!AW:AW,LTP_Formulas!$A:$A=LTP_Aggregated!AS8,0))</f>
        <v>0</v>
      </c>
      <c r="AU8" cm="1">
        <f t="array" ref="AU8">SUM(_xlfn._xlws.FILTER(LTP_Formulas!AX:AX,LTP_Formulas!$A:$A=LTP_Aggregated!AT8,0))</f>
        <v>0</v>
      </c>
      <c r="AV8" cm="1">
        <f t="array" ref="AV8">SUM(_xlfn._xlws.FILTER(LTP_Formulas!AY:AY,LTP_Formulas!$A:$A=LTP_Aggregated!AU8,0))</f>
        <v>0</v>
      </c>
      <c r="AW8" cm="1">
        <f t="array" ref="AW8">SUM(_xlfn._xlws.FILTER(LTP_Formulas!AZ:AZ,LTP_Formulas!$A:$A=LTP_Aggregated!AV8,0))</f>
        <v>0</v>
      </c>
      <c r="AX8" cm="1">
        <f t="array" ref="AX8">SUM(_xlfn._xlws.FILTER(LTP_Formulas!BA:BA,LTP_Formulas!$A:$A=LTP_Aggregated!AW8,0))</f>
        <v>0</v>
      </c>
    </row>
    <row r="9" spans="1:50">
      <c r="A9" t="str">
        <v>U_FG</v>
      </c>
      <c r="B9" cm="1">
        <f t="array" ref="B9">SUM(_xlfn._xlws.FILTER(LTP_Formulas!E:E,LTP_Formulas!$A:$A=LTP_Aggregated!A9,0))</f>
        <v>2678</v>
      </c>
      <c r="C9" cm="1">
        <f t="array" ref="C9">SUM(_xlfn._xlws.FILTER(LTP_Formulas!F:F,LTP_Formulas!$A:$A=LTP_Aggregated!B9,0))</f>
        <v>0</v>
      </c>
      <c r="D9" cm="1">
        <f t="array" ref="D9">SUM(_xlfn._xlws.FILTER(LTP_Formulas!G:G,LTP_Formulas!$A:$A=LTP_Aggregated!C9,0))</f>
        <v>0</v>
      </c>
      <c r="E9" cm="1">
        <f t="array" ref="E9">SUM(_xlfn._xlws.FILTER(LTP_Formulas!H:H,LTP_Formulas!$A:$A=LTP_Aggregated!D9,0))</f>
        <v>0</v>
      </c>
      <c r="F9" cm="1">
        <f t="array" ref="F9">SUM(_xlfn._xlws.FILTER(LTP_Formulas!I:I,LTP_Formulas!$A:$A=LTP_Aggregated!E9,0))</f>
        <v>0</v>
      </c>
      <c r="G9" cm="1">
        <f t="array" ref="G9">SUM(_xlfn._xlws.FILTER(LTP_Formulas!J:J,LTP_Formulas!$A:$A=LTP_Aggregated!F9,0))</f>
        <v>0</v>
      </c>
      <c r="H9" cm="1">
        <f t="array" ref="H9">SUM(_xlfn._xlws.FILTER(LTP_Formulas!K:K,LTP_Formulas!$A:$A=LTP_Aggregated!G9,0))</f>
        <v>0</v>
      </c>
      <c r="I9" cm="1">
        <f t="array" ref="I9">SUM(_xlfn._xlws.FILTER(LTP_Formulas!L:L,LTP_Formulas!$A:$A=LTP_Aggregated!H9,0))</f>
        <v>0</v>
      </c>
      <c r="J9" cm="1">
        <f t="array" ref="J9">SUM(_xlfn._xlws.FILTER(LTP_Formulas!M:M,LTP_Formulas!$A:$A=LTP_Aggregated!I9,0))</f>
        <v>0</v>
      </c>
      <c r="K9" cm="1">
        <f t="array" ref="K9">SUM(_xlfn._xlws.FILTER(LTP_Formulas!N:N,LTP_Formulas!$A:$A=LTP_Aggregated!J9,0))</f>
        <v>0</v>
      </c>
      <c r="L9" cm="1">
        <f t="array" ref="L9">SUM(_xlfn._xlws.FILTER(LTP_Formulas!O:O,LTP_Formulas!$A:$A=LTP_Aggregated!K9,0))</f>
        <v>0</v>
      </c>
      <c r="M9" cm="1">
        <f t="array" ref="M9">SUM(_xlfn._xlws.FILTER(LTP_Formulas!P:P,LTP_Formulas!$A:$A=LTP_Aggregated!L9,0))</f>
        <v>0</v>
      </c>
      <c r="N9" cm="1">
        <f t="array" ref="N9">SUM(_xlfn._xlws.FILTER(LTP_Formulas!Q:Q,LTP_Formulas!$A:$A=LTP_Aggregated!M9,0))</f>
        <v>0</v>
      </c>
      <c r="O9" cm="1">
        <f t="array" ref="O9">SUM(_xlfn._xlws.FILTER(LTP_Formulas!R:R,LTP_Formulas!$A:$A=LTP_Aggregated!N9,0))</f>
        <v>0</v>
      </c>
      <c r="P9" cm="1">
        <f t="array" ref="P9">SUM(_xlfn._xlws.FILTER(LTP_Formulas!S:S,LTP_Formulas!$A:$A=LTP_Aggregated!O9,0))</f>
        <v>0</v>
      </c>
      <c r="Q9" cm="1">
        <f t="array" ref="Q9">SUM(_xlfn._xlws.FILTER(LTP_Formulas!T:T,LTP_Formulas!$A:$A=LTP_Aggregated!P9,0))</f>
        <v>0</v>
      </c>
      <c r="R9" cm="1">
        <f t="array" ref="R9">SUM(_xlfn._xlws.FILTER(LTP_Formulas!U:U,LTP_Formulas!$A:$A=LTP_Aggregated!Q9,0))</f>
        <v>0</v>
      </c>
      <c r="S9" cm="1">
        <f t="array" ref="S9">SUM(_xlfn._xlws.FILTER(LTP_Formulas!V:V,LTP_Formulas!$A:$A=LTP_Aggregated!R9,0))</f>
        <v>0</v>
      </c>
      <c r="T9" cm="1">
        <f t="array" ref="T9">SUM(_xlfn._xlws.FILTER(LTP_Formulas!W:W,LTP_Formulas!$A:$A=LTP_Aggregated!S9,0))</f>
        <v>0</v>
      </c>
      <c r="U9" cm="1">
        <f t="array" ref="U9">SUM(_xlfn._xlws.FILTER(LTP_Formulas!X:X,LTP_Formulas!$A:$A=LTP_Aggregated!T9,0))</f>
        <v>0</v>
      </c>
      <c r="V9" cm="1">
        <f t="array" ref="V9">SUM(_xlfn._xlws.FILTER(LTP_Formulas!Y:Y,LTP_Formulas!$A:$A=LTP_Aggregated!U9,0))</f>
        <v>0</v>
      </c>
      <c r="W9" cm="1">
        <f t="array" ref="W9">SUM(_xlfn._xlws.FILTER(LTP_Formulas!Z:Z,LTP_Formulas!$A:$A=LTP_Aggregated!V9,0))</f>
        <v>0</v>
      </c>
      <c r="X9" cm="1">
        <f t="array" ref="X9">SUM(_xlfn._xlws.FILTER(LTP_Formulas!AA:AA,LTP_Formulas!$A:$A=LTP_Aggregated!W9,0))</f>
        <v>0</v>
      </c>
      <c r="Y9" cm="1">
        <f t="array" ref="Y9">SUM(_xlfn._xlws.FILTER(LTP_Formulas!AB:AB,LTP_Formulas!$A:$A=LTP_Aggregated!X9,0))</f>
        <v>0</v>
      </c>
      <c r="Z9" cm="1">
        <f t="array" ref="Z9">SUM(_xlfn._xlws.FILTER(LTP_Formulas!AC:AC,LTP_Formulas!$A:$A=LTP_Aggregated!Y9,0))</f>
        <v>0</v>
      </c>
      <c r="AA9" cm="1">
        <f t="array" ref="AA9">SUM(_xlfn._xlws.FILTER(LTP_Formulas!AD:AD,LTP_Formulas!$A:$A=LTP_Aggregated!Z9,0))</f>
        <v>0</v>
      </c>
      <c r="AB9" cm="1">
        <f t="array" ref="AB9">SUM(_xlfn._xlws.FILTER(LTP_Formulas!AE:AE,LTP_Formulas!$A:$A=LTP_Aggregated!AA9,0))</f>
        <v>0</v>
      </c>
      <c r="AC9" cm="1">
        <f t="array" ref="AC9">SUM(_xlfn._xlws.FILTER(LTP_Formulas!AF:AF,LTP_Formulas!$A:$A=LTP_Aggregated!AB9,0))</f>
        <v>0</v>
      </c>
      <c r="AD9" cm="1">
        <f t="array" ref="AD9">SUM(_xlfn._xlws.FILTER(LTP_Formulas!AG:AG,LTP_Formulas!$A:$A=LTP_Aggregated!AC9,0))</f>
        <v>0</v>
      </c>
      <c r="AE9" cm="1">
        <f t="array" ref="AE9">SUM(_xlfn._xlws.FILTER(LTP_Formulas!AH:AH,LTP_Formulas!$A:$A=LTP_Aggregated!AD9,0))</f>
        <v>0</v>
      </c>
      <c r="AF9" cm="1">
        <f t="array" ref="AF9">SUM(_xlfn._xlws.FILTER(LTP_Formulas!AI:AI,LTP_Formulas!$A:$A=LTP_Aggregated!AE9,0))</f>
        <v>0</v>
      </c>
      <c r="AG9" cm="1">
        <f t="array" ref="AG9">SUM(_xlfn._xlws.FILTER(LTP_Formulas!AJ:AJ,LTP_Formulas!$A:$A=LTP_Aggregated!AF9,0))</f>
        <v>0</v>
      </c>
      <c r="AH9" cm="1">
        <f t="array" ref="AH9">SUM(_xlfn._xlws.FILTER(LTP_Formulas!AK:AK,LTP_Formulas!$A:$A=LTP_Aggregated!AG9,0))</f>
        <v>0</v>
      </c>
      <c r="AI9" cm="1">
        <f t="array" ref="AI9">SUM(_xlfn._xlws.FILTER(LTP_Formulas!AL:AL,LTP_Formulas!$A:$A=LTP_Aggregated!AH9,0))</f>
        <v>0</v>
      </c>
      <c r="AJ9" cm="1">
        <f t="array" ref="AJ9">SUM(_xlfn._xlws.FILTER(LTP_Formulas!AM:AM,LTP_Formulas!$A:$A=LTP_Aggregated!AI9,0))</f>
        <v>0</v>
      </c>
      <c r="AK9" cm="1">
        <f t="array" ref="AK9">SUM(_xlfn._xlws.FILTER(LTP_Formulas!AN:AN,LTP_Formulas!$A:$A=LTP_Aggregated!AJ9,0))</f>
        <v>0</v>
      </c>
      <c r="AL9" cm="1">
        <f t="array" ref="AL9">SUM(_xlfn._xlws.FILTER(LTP_Formulas!AO:AO,LTP_Formulas!$A:$A=LTP_Aggregated!AK9,0))</f>
        <v>0</v>
      </c>
      <c r="AM9" cm="1">
        <f t="array" ref="AM9">SUM(_xlfn._xlws.FILTER(LTP_Formulas!AP:AP,LTP_Formulas!$A:$A=LTP_Aggregated!AL9,0))</f>
        <v>0</v>
      </c>
      <c r="AN9" cm="1">
        <f t="array" ref="AN9">SUM(_xlfn._xlws.FILTER(LTP_Formulas!AQ:AQ,LTP_Formulas!$A:$A=LTP_Aggregated!AM9,0))</f>
        <v>0</v>
      </c>
      <c r="AO9" cm="1">
        <f t="array" ref="AO9">SUM(_xlfn._xlws.FILTER(LTP_Formulas!AR:AR,LTP_Formulas!$A:$A=LTP_Aggregated!AN9,0))</f>
        <v>0</v>
      </c>
      <c r="AP9" cm="1">
        <f t="array" ref="AP9">SUM(_xlfn._xlws.FILTER(LTP_Formulas!AS:AS,LTP_Formulas!$A:$A=LTP_Aggregated!AO9,0))</f>
        <v>0</v>
      </c>
      <c r="AQ9" cm="1">
        <f t="array" ref="AQ9">SUM(_xlfn._xlws.FILTER(LTP_Formulas!AT:AT,LTP_Formulas!$A:$A=LTP_Aggregated!AP9,0))</f>
        <v>0</v>
      </c>
      <c r="AR9" cm="1">
        <f t="array" ref="AR9">SUM(_xlfn._xlws.FILTER(LTP_Formulas!AU:AU,LTP_Formulas!$A:$A=LTP_Aggregated!AQ9,0))</f>
        <v>0</v>
      </c>
      <c r="AS9" cm="1">
        <f t="array" ref="AS9">SUM(_xlfn._xlws.FILTER(LTP_Formulas!AV:AV,LTP_Formulas!$A:$A=LTP_Aggregated!AR9,0))</f>
        <v>0</v>
      </c>
      <c r="AT9" cm="1">
        <f t="array" ref="AT9">SUM(_xlfn._xlws.FILTER(LTP_Formulas!AW:AW,LTP_Formulas!$A:$A=LTP_Aggregated!AS9,0))</f>
        <v>0</v>
      </c>
      <c r="AU9" cm="1">
        <f t="array" ref="AU9">SUM(_xlfn._xlws.FILTER(LTP_Formulas!AX:AX,LTP_Formulas!$A:$A=LTP_Aggregated!AT9,0))</f>
        <v>0</v>
      </c>
      <c r="AV9" cm="1">
        <f t="array" ref="AV9">SUM(_xlfn._xlws.FILTER(LTP_Formulas!AY:AY,LTP_Formulas!$A:$A=LTP_Aggregated!AU9,0))</f>
        <v>0</v>
      </c>
      <c r="AW9" cm="1">
        <f t="array" ref="AW9">SUM(_xlfn._xlws.FILTER(LTP_Formulas!AZ:AZ,LTP_Formulas!$A:$A=LTP_Aggregated!AV9,0))</f>
        <v>0</v>
      </c>
      <c r="AX9" cm="1">
        <f t="array" ref="AX9">SUM(_xlfn._xlws.FILTER(LTP_Formulas!BA:BA,LTP_Formulas!$A:$A=LTP_Aggregated!AW9,0))</f>
        <v>0</v>
      </c>
    </row>
    <row r="10" spans="1:50">
      <c r="A10" t="str">
        <v>E_FG</v>
      </c>
      <c r="B10" cm="1">
        <f t="array" ref="B10">SUM(_xlfn._xlws.FILTER(LTP_Formulas!E:E,LTP_Formulas!$A:$A=LTP_Aggregated!A10,0))</f>
        <v>1275</v>
      </c>
      <c r="C10" cm="1">
        <f t="array" ref="C10">SUM(_xlfn._xlws.FILTER(LTP_Formulas!F:F,LTP_Formulas!$A:$A=LTP_Aggregated!B10,0))</f>
        <v>0</v>
      </c>
      <c r="D10" cm="1">
        <f t="array" ref="D10">SUM(_xlfn._xlws.FILTER(LTP_Formulas!G:G,LTP_Formulas!$A:$A=LTP_Aggregated!C10,0))</f>
        <v>0</v>
      </c>
      <c r="E10" cm="1">
        <f t="array" ref="E10">SUM(_xlfn._xlws.FILTER(LTP_Formulas!H:H,LTP_Formulas!$A:$A=LTP_Aggregated!D10,0))</f>
        <v>0</v>
      </c>
      <c r="F10" cm="1">
        <f t="array" ref="F10">SUM(_xlfn._xlws.FILTER(LTP_Formulas!I:I,LTP_Formulas!$A:$A=LTP_Aggregated!E10,0))</f>
        <v>0</v>
      </c>
      <c r="G10" cm="1">
        <f t="array" ref="G10">SUM(_xlfn._xlws.FILTER(LTP_Formulas!J:J,LTP_Formulas!$A:$A=LTP_Aggregated!F10,0))</f>
        <v>0</v>
      </c>
      <c r="H10" cm="1">
        <f t="array" ref="H10">SUM(_xlfn._xlws.FILTER(LTP_Formulas!K:K,LTP_Formulas!$A:$A=LTP_Aggregated!G10,0))</f>
        <v>0</v>
      </c>
      <c r="I10" cm="1">
        <f t="array" ref="I10">SUM(_xlfn._xlws.FILTER(LTP_Formulas!L:L,LTP_Formulas!$A:$A=LTP_Aggregated!H10,0))</f>
        <v>0</v>
      </c>
      <c r="J10" cm="1">
        <f t="array" ref="J10">SUM(_xlfn._xlws.FILTER(LTP_Formulas!M:M,LTP_Formulas!$A:$A=LTP_Aggregated!I10,0))</f>
        <v>0</v>
      </c>
      <c r="K10" cm="1">
        <f t="array" ref="K10">SUM(_xlfn._xlws.FILTER(LTP_Formulas!N:N,LTP_Formulas!$A:$A=LTP_Aggregated!J10,0))</f>
        <v>0</v>
      </c>
      <c r="L10" cm="1">
        <f t="array" ref="L10">SUM(_xlfn._xlws.FILTER(LTP_Formulas!O:O,LTP_Formulas!$A:$A=LTP_Aggregated!K10,0))</f>
        <v>0</v>
      </c>
      <c r="M10" cm="1">
        <f t="array" ref="M10">SUM(_xlfn._xlws.FILTER(LTP_Formulas!P:P,LTP_Formulas!$A:$A=LTP_Aggregated!L10,0))</f>
        <v>0</v>
      </c>
      <c r="N10" cm="1">
        <f t="array" ref="N10">SUM(_xlfn._xlws.FILTER(LTP_Formulas!Q:Q,LTP_Formulas!$A:$A=LTP_Aggregated!M10,0))</f>
        <v>0</v>
      </c>
      <c r="O10" cm="1">
        <f t="array" ref="O10">SUM(_xlfn._xlws.FILTER(LTP_Formulas!R:R,LTP_Formulas!$A:$A=LTP_Aggregated!N10,0))</f>
        <v>0</v>
      </c>
      <c r="P10" cm="1">
        <f t="array" ref="P10">SUM(_xlfn._xlws.FILTER(LTP_Formulas!S:S,LTP_Formulas!$A:$A=LTP_Aggregated!O10,0))</f>
        <v>0</v>
      </c>
      <c r="Q10" cm="1">
        <f t="array" ref="Q10">SUM(_xlfn._xlws.FILTER(LTP_Formulas!T:T,LTP_Formulas!$A:$A=LTP_Aggregated!P10,0))</f>
        <v>0</v>
      </c>
      <c r="R10" cm="1">
        <f t="array" ref="R10">SUM(_xlfn._xlws.FILTER(LTP_Formulas!U:U,LTP_Formulas!$A:$A=LTP_Aggregated!Q10,0))</f>
        <v>0</v>
      </c>
      <c r="S10" cm="1">
        <f t="array" ref="S10">SUM(_xlfn._xlws.FILTER(LTP_Formulas!V:V,LTP_Formulas!$A:$A=LTP_Aggregated!R10,0))</f>
        <v>0</v>
      </c>
      <c r="T10" cm="1">
        <f t="array" ref="T10">SUM(_xlfn._xlws.FILTER(LTP_Formulas!W:W,LTP_Formulas!$A:$A=LTP_Aggregated!S10,0))</f>
        <v>0</v>
      </c>
      <c r="U10" cm="1">
        <f t="array" ref="U10">SUM(_xlfn._xlws.FILTER(LTP_Formulas!X:X,LTP_Formulas!$A:$A=LTP_Aggregated!T10,0))</f>
        <v>0</v>
      </c>
      <c r="V10" cm="1">
        <f t="array" ref="V10">SUM(_xlfn._xlws.FILTER(LTP_Formulas!Y:Y,LTP_Formulas!$A:$A=LTP_Aggregated!U10,0))</f>
        <v>0</v>
      </c>
      <c r="W10" cm="1">
        <f t="array" ref="W10">SUM(_xlfn._xlws.FILTER(LTP_Formulas!Z:Z,LTP_Formulas!$A:$A=LTP_Aggregated!V10,0))</f>
        <v>0</v>
      </c>
      <c r="X10" cm="1">
        <f t="array" ref="X10">SUM(_xlfn._xlws.FILTER(LTP_Formulas!AA:AA,LTP_Formulas!$A:$A=LTP_Aggregated!W10,0))</f>
        <v>0</v>
      </c>
      <c r="Y10" cm="1">
        <f t="array" ref="Y10">SUM(_xlfn._xlws.FILTER(LTP_Formulas!AB:AB,LTP_Formulas!$A:$A=LTP_Aggregated!X10,0))</f>
        <v>0</v>
      </c>
      <c r="Z10" cm="1">
        <f t="array" ref="Z10">SUM(_xlfn._xlws.FILTER(LTP_Formulas!AC:AC,LTP_Formulas!$A:$A=LTP_Aggregated!Y10,0))</f>
        <v>0</v>
      </c>
      <c r="AA10" cm="1">
        <f t="array" ref="AA10">SUM(_xlfn._xlws.FILTER(LTP_Formulas!AD:AD,LTP_Formulas!$A:$A=LTP_Aggregated!Z10,0))</f>
        <v>0</v>
      </c>
      <c r="AB10" cm="1">
        <f t="array" ref="AB10">SUM(_xlfn._xlws.FILTER(LTP_Formulas!AE:AE,LTP_Formulas!$A:$A=LTP_Aggregated!AA10,0))</f>
        <v>0</v>
      </c>
      <c r="AC10" cm="1">
        <f t="array" ref="AC10">SUM(_xlfn._xlws.FILTER(LTP_Formulas!AF:AF,LTP_Formulas!$A:$A=LTP_Aggregated!AB10,0))</f>
        <v>0</v>
      </c>
      <c r="AD10" cm="1">
        <f t="array" ref="AD10">SUM(_xlfn._xlws.FILTER(LTP_Formulas!AG:AG,LTP_Formulas!$A:$A=LTP_Aggregated!AC10,0))</f>
        <v>0</v>
      </c>
      <c r="AE10" cm="1">
        <f t="array" ref="AE10">SUM(_xlfn._xlws.FILTER(LTP_Formulas!AH:AH,LTP_Formulas!$A:$A=LTP_Aggregated!AD10,0))</f>
        <v>0</v>
      </c>
      <c r="AF10" cm="1">
        <f t="array" ref="AF10">SUM(_xlfn._xlws.FILTER(LTP_Formulas!AI:AI,LTP_Formulas!$A:$A=LTP_Aggregated!AE10,0))</f>
        <v>0</v>
      </c>
      <c r="AG10" cm="1">
        <f t="array" ref="AG10">SUM(_xlfn._xlws.FILTER(LTP_Formulas!AJ:AJ,LTP_Formulas!$A:$A=LTP_Aggregated!AF10,0))</f>
        <v>0</v>
      </c>
      <c r="AH10" cm="1">
        <f t="array" ref="AH10">SUM(_xlfn._xlws.FILTER(LTP_Formulas!AK:AK,LTP_Formulas!$A:$A=LTP_Aggregated!AG10,0))</f>
        <v>0</v>
      </c>
      <c r="AI10" cm="1">
        <f t="array" ref="AI10">SUM(_xlfn._xlws.FILTER(LTP_Formulas!AL:AL,LTP_Formulas!$A:$A=LTP_Aggregated!AH10,0))</f>
        <v>0</v>
      </c>
      <c r="AJ10" cm="1">
        <f t="array" ref="AJ10">SUM(_xlfn._xlws.FILTER(LTP_Formulas!AM:AM,LTP_Formulas!$A:$A=LTP_Aggregated!AI10,0))</f>
        <v>0</v>
      </c>
      <c r="AK10" cm="1">
        <f t="array" ref="AK10">SUM(_xlfn._xlws.FILTER(LTP_Formulas!AN:AN,LTP_Formulas!$A:$A=LTP_Aggregated!AJ10,0))</f>
        <v>0</v>
      </c>
      <c r="AL10" cm="1">
        <f t="array" ref="AL10">SUM(_xlfn._xlws.FILTER(LTP_Formulas!AO:AO,LTP_Formulas!$A:$A=LTP_Aggregated!AK10,0))</f>
        <v>0</v>
      </c>
      <c r="AM10" cm="1">
        <f t="array" ref="AM10">SUM(_xlfn._xlws.FILTER(LTP_Formulas!AP:AP,LTP_Formulas!$A:$A=LTP_Aggregated!AL10,0))</f>
        <v>0</v>
      </c>
      <c r="AN10" cm="1">
        <f t="array" ref="AN10">SUM(_xlfn._xlws.FILTER(LTP_Formulas!AQ:AQ,LTP_Formulas!$A:$A=LTP_Aggregated!AM10,0))</f>
        <v>0</v>
      </c>
      <c r="AO10" cm="1">
        <f t="array" ref="AO10">SUM(_xlfn._xlws.FILTER(LTP_Formulas!AR:AR,LTP_Formulas!$A:$A=LTP_Aggregated!AN10,0))</f>
        <v>0</v>
      </c>
      <c r="AP10" cm="1">
        <f t="array" ref="AP10">SUM(_xlfn._xlws.FILTER(LTP_Formulas!AS:AS,LTP_Formulas!$A:$A=LTP_Aggregated!AO10,0))</f>
        <v>0</v>
      </c>
      <c r="AQ10" cm="1">
        <f t="array" ref="AQ10">SUM(_xlfn._xlws.FILTER(LTP_Formulas!AT:AT,LTP_Formulas!$A:$A=LTP_Aggregated!AP10,0))</f>
        <v>0</v>
      </c>
      <c r="AR10" cm="1">
        <f t="array" ref="AR10">SUM(_xlfn._xlws.FILTER(LTP_Formulas!AU:AU,LTP_Formulas!$A:$A=LTP_Aggregated!AQ10,0))</f>
        <v>0</v>
      </c>
      <c r="AS10" cm="1">
        <f t="array" ref="AS10">SUM(_xlfn._xlws.FILTER(LTP_Formulas!AV:AV,LTP_Formulas!$A:$A=LTP_Aggregated!AR10,0))</f>
        <v>0</v>
      </c>
      <c r="AT10" cm="1">
        <f t="array" ref="AT10">SUM(_xlfn._xlws.FILTER(LTP_Formulas!AW:AW,LTP_Formulas!$A:$A=LTP_Aggregated!AS10,0))</f>
        <v>0</v>
      </c>
      <c r="AU10" cm="1">
        <f t="array" ref="AU10">SUM(_xlfn._xlws.FILTER(LTP_Formulas!AX:AX,LTP_Formulas!$A:$A=LTP_Aggregated!AT10,0))</f>
        <v>0</v>
      </c>
      <c r="AV10" cm="1">
        <f t="array" ref="AV10">SUM(_xlfn._xlws.FILTER(LTP_Formulas!AY:AY,LTP_Formulas!$A:$A=LTP_Aggregated!AU10,0))</f>
        <v>0</v>
      </c>
      <c r="AW10" cm="1">
        <f t="array" ref="AW10">SUM(_xlfn._xlws.FILTER(LTP_Formulas!AZ:AZ,LTP_Formulas!$A:$A=LTP_Aggregated!AV10,0))</f>
        <v>0</v>
      </c>
      <c r="AX10" cm="1">
        <f t="array" ref="AX10">SUM(_xlfn._xlws.FILTER(LTP_Formulas!BA:BA,LTP_Formulas!$A:$A=LTP_Aggregated!AW10,0))</f>
        <v>0</v>
      </c>
    </row>
    <row r="11" spans="1:50">
      <c r="A11" t="str">
        <v>R_FG</v>
      </c>
      <c r="B11" cm="1">
        <f t="array" ref="B11">SUM(_xlfn._xlws.FILTER(LTP_Formulas!E:E,LTP_Formulas!$A:$A=LTP_Aggregated!A11,0))</f>
        <v>1499</v>
      </c>
      <c r="C11" cm="1">
        <f t="array" ref="C11">SUM(_xlfn._xlws.FILTER(LTP_Formulas!F:F,LTP_Formulas!$A:$A=LTP_Aggregated!B11,0))</f>
        <v>0</v>
      </c>
      <c r="D11" cm="1">
        <f t="array" ref="D11">SUM(_xlfn._xlws.FILTER(LTP_Formulas!G:G,LTP_Formulas!$A:$A=LTP_Aggregated!C11,0))</f>
        <v>0</v>
      </c>
      <c r="E11" cm="1">
        <f t="array" ref="E11">SUM(_xlfn._xlws.FILTER(LTP_Formulas!H:H,LTP_Formulas!$A:$A=LTP_Aggregated!D11,0))</f>
        <v>0</v>
      </c>
      <c r="F11" cm="1">
        <f t="array" ref="F11">SUM(_xlfn._xlws.FILTER(LTP_Formulas!I:I,LTP_Formulas!$A:$A=LTP_Aggregated!E11,0))</f>
        <v>0</v>
      </c>
      <c r="G11" cm="1">
        <f t="array" ref="G11">SUM(_xlfn._xlws.FILTER(LTP_Formulas!J:J,LTP_Formulas!$A:$A=LTP_Aggregated!F11,0))</f>
        <v>0</v>
      </c>
      <c r="H11" cm="1">
        <f t="array" ref="H11">SUM(_xlfn._xlws.FILTER(LTP_Formulas!K:K,LTP_Formulas!$A:$A=LTP_Aggregated!G11,0))</f>
        <v>0</v>
      </c>
      <c r="I11" cm="1">
        <f t="array" ref="I11">SUM(_xlfn._xlws.FILTER(LTP_Formulas!L:L,LTP_Formulas!$A:$A=LTP_Aggregated!H11,0))</f>
        <v>0</v>
      </c>
      <c r="J11" cm="1">
        <f t="array" ref="J11">SUM(_xlfn._xlws.FILTER(LTP_Formulas!M:M,LTP_Formulas!$A:$A=LTP_Aggregated!I11,0))</f>
        <v>0</v>
      </c>
      <c r="K11" cm="1">
        <f t="array" ref="K11">SUM(_xlfn._xlws.FILTER(LTP_Formulas!N:N,LTP_Formulas!$A:$A=LTP_Aggregated!J11,0))</f>
        <v>0</v>
      </c>
      <c r="L11" cm="1">
        <f t="array" ref="L11">SUM(_xlfn._xlws.FILTER(LTP_Formulas!O:O,LTP_Formulas!$A:$A=LTP_Aggregated!K11,0))</f>
        <v>0</v>
      </c>
      <c r="M11" cm="1">
        <f t="array" ref="M11">SUM(_xlfn._xlws.FILTER(LTP_Formulas!P:P,LTP_Formulas!$A:$A=LTP_Aggregated!L11,0))</f>
        <v>0</v>
      </c>
      <c r="N11" cm="1">
        <f t="array" ref="N11">SUM(_xlfn._xlws.FILTER(LTP_Formulas!Q:Q,LTP_Formulas!$A:$A=LTP_Aggregated!M11,0))</f>
        <v>0</v>
      </c>
      <c r="O11" cm="1">
        <f t="array" ref="O11">SUM(_xlfn._xlws.FILTER(LTP_Formulas!R:R,LTP_Formulas!$A:$A=LTP_Aggregated!N11,0))</f>
        <v>0</v>
      </c>
      <c r="P11" cm="1">
        <f t="array" ref="P11">SUM(_xlfn._xlws.FILTER(LTP_Formulas!S:S,LTP_Formulas!$A:$A=LTP_Aggregated!O11,0))</f>
        <v>0</v>
      </c>
      <c r="Q11" cm="1">
        <f t="array" ref="Q11">SUM(_xlfn._xlws.FILTER(LTP_Formulas!T:T,LTP_Formulas!$A:$A=LTP_Aggregated!P11,0))</f>
        <v>0</v>
      </c>
      <c r="R11" cm="1">
        <f t="array" ref="R11">SUM(_xlfn._xlws.FILTER(LTP_Formulas!U:U,LTP_Formulas!$A:$A=LTP_Aggregated!Q11,0))</f>
        <v>0</v>
      </c>
      <c r="S11" cm="1">
        <f t="array" ref="S11">SUM(_xlfn._xlws.FILTER(LTP_Formulas!V:V,LTP_Formulas!$A:$A=LTP_Aggregated!R11,0))</f>
        <v>0</v>
      </c>
      <c r="T11" cm="1">
        <f t="array" ref="T11">SUM(_xlfn._xlws.FILTER(LTP_Formulas!W:W,LTP_Formulas!$A:$A=LTP_Aggregated!S11,0))</f>
        <v>0</v>
      </c>
      <c r="U11" cm="1">
        <f t="array" ref="U11">SUM(_xlfn._xlws.FILTER(LTP_Formulas!X:X,LTP_Formulas!$A:$A=LTP_Aggregated!T11,0))</f>
        <v>0</v>
      </c>
      <c r="V11" cm="1">
        <f t="array" ref="V11">SUM(_xlfn._xlws.FILTER(LTP_Formulas!Y:Y,LTP_Formulas!$A:$A=LTP_Aggregated!U11,0))</f>
        <v>0</v>
      </c>
      <c r="W11" cm="1">
        <f t="array" ref="W11">SUM(_xlfn._xlws.FILTER(LTP_Formulas!Z:Z,LTP_Formulas!$A:$A=LTP_Aggregated!V11,0))</f>
        <v>0</v>
      </c>
      <c r="X11" cm="1">
        <f t="array" ref="X11">SUM(_xlfn._xlws.FILTER(LTP_Formulas!AA:AA,LTP_Formulas!$A:$A=LTP_Aggregated!W11,0))</f>
        <v>0</v>
      </c>
      <c r="Y11" cm="1">
        <f t="array" ref="Y11">SUM(_xlfn._xlws.FILTER(LTP_Formulas!AB:AB,LTP_Formulas!$A:$A=LTP_Aggregated!X11,0))</f>
        <v>0</v>
      </c>
      <c r="Z11" cm="1">
        <f t="array" ref="Z11">SUM(_xlfn._xlws.FILTER(LTP_Formulas!AC:AC,LTP_Formulas!$A:$A=LTP_Aggregated!Y11,0))</f>
        <v>0</v>
      </c>
      <c r="AA11" cm="1">
        <f t="array" ref="AA11">SUM(_xlfn._xlws.FILTER(LTP_Formulas!AD:AD,LTP_Formulas!$A:$A=LTP_Aggregated!Z11,0))</f>
        <v>0</v>
      </c>
      <c r="AB11" cm="1">
        <f t="array" ref="AB11">SUM(_xlfn._xlws.FILTER(LTP_Formulas!AE:AE,LTP_Formulas!$A:$A=LTP_Aggregated!AA11,0))</f>
        <v>0</v>
      </c>
      <c r="AC11" cm="1">
        <f t="array" ref="AC11">SUM(_xlfn._xlws.FILTER(LTP_Formulas!AF:AF,LTP_Formulas!$A:$A=LTP_Aggregated!AB11,0))</f>
        <v>0</v>
      </c>
      <c r="AD11" cm="1">
        <f t="array" ref="AD11">SUM(_xlfn._xlws.FILTER(LTP_Formulas!AG:AG,LTP_Formulas!$A:$A=LTP_Aggregated!AC11,0))</f>
        <v>0</v>
      </c>
      <c r="AE11" cm="1">
        <f t="array" ref="AE11">SUM(_xlfn._xlws.FILTER(LTP_Formulas!AH:AH,LTP_Formulas!$A:$A=LTP_Aggregated!AD11,0))</f>
        <v>0</v>
      </c>
      <c r="AF11" cm="1">
        <f t="array" ref="AF11">SUM(_xlfn._xlws.FILTER(LTP_Formulas!AI:AI,LTP_Formulas!$A:$A=LTP_Aggregated!AE11,0))</f>
        <v>0</v>
      </c>
      <c r="AG11" cm="1">
        <f t="array" ref="AG11">SUM(_xlfn._xlws.FILTER(LTP_Formulas!AJ:AJ,LTP_Formulas!$A:$A=LTP_Aggregated!AF11,0))</f>
        <v>0</v>
      </c>
      <c r="AH11" cm="1">
        <f t="array" ref="AH11">SUM(_xlfn._xlws.FILTER(LTP_Formulas!AK:AK,LTP_Formulas!$A:$A=LTP_Aggregated!AG11,0))</f>
        <v>0</v>
      </c>
      <c r="AI11" cm="1">
        <f t="array" ref="AI11">SUM(_xlfn._xlws.FILTER(LTP_Formulas!AL:AL,LTP_Formulas!$A:$A=LTP_Aggregated!AH11,0))</f>
        <v>0</v>
      </c>
      <c r="AJ11" cm="1">
        <f t="array" ref="AJ11">SUM(_xlfn._xlws.FILTER(LTP_Formulas!AM:AM,LTP_Formulas!$A:$A=LTP_Aggregated!AI11,0))</f>
        <v>0</v>
      </c>
      <c r="AK11" cm="1">
        <f t="array" ref="AK11">SUM(_xlfn._xlws.FILTER(LTP_Formulas!AN:AN,LTP_Formulas!$A:$A=LTP_Aggregated!AJ11,0))</f>
        <v>0</v>
      </c>
      <c r="AL11" cm="1">
        <f t="array" ref="AL11">SUM(_xlfn._xlws.FILTER(LTP_Formulas!AO:AO,LTP_Formulas!$A:$A=LTP_Aggregated!AK11,0))</f>
        <v>0</v>
      </c>
      <c r="AM11" cm="1">
        <f t="array" ref="AM11">SUM(_xlfn._xlws.FILTER(LTP_Formulas!AP:AP,LTP_Formulas!$A:$A=LTP_Aggregated!AL11,0))</f>
        <v>0</v>
      </c>
      <c r="AN11" cm="1">
        <f t="array" ref="AN11">SUM(_xlfn._xlws.FILTER(LTP_Formulas!AQ:AQ,LTP_Formulas!$A:$A=LTP_Aggregated!AM11,0))</f>
        <v>0</v>
      </c>
      <c r="AO11" cm="1">
        <f t="array" ref="AO11">SUM(_xlfn._xlws.FILTER(LTP_Formulas!AR:AR,LTP_Formulas!$A:$A=LTP_Aggregated!AN11,0))</f>
        <v>0</v>
      </c>
      <c r="AP11" cm="1">
        <f t="array" ref="AP11">SUM(_xlfn._xlws.FILTER(LTP_Formulas!AS:AS,LTP_Formulas!$A:$A=LTP_Aggregated!AO11,0))</f>
        <v>0</v>
      </c>
      <c r="AQ11" cm="1">
        <f t="array" ref="AQ11">SUM(_xlfn._xlws.FILTER(LTP_Formulas!AT:AT,LTP_Formulas!$A:$A=LTP_Aggregated!AP11,0))</f>
        <v>0</v>
      </c>
      <c r="AR11" cm="1">
        <f t="array" ref="AR11">SUM(_xlfn._xlws.FILTER(LTP_Formulas!AU:AU,LTP_Formulas!$A:$A=LTP_Aggregated!AQ11,0))</f>
        <v>0</v>
      </c>
      <c r="AS11" cm="1">
        <f t="array" ref="AS11">SUM(_xlfn._xlws.FILTER(LTP_Formulas!AV:AV,LTP_Formulas!$A:$A=LTP_Aggregated!AR11,0))</f>
        <v>0</v>
      </c>
      <c r="AT11" cm="1">
        <f t="array" ref="AT11">SUM(_xlfn._xlws.FILTER(LTP_Formulas!AW:AW,LTP_Formulas!$A:$A=LTP_Aggregated!AS11,0))</f>
        <v>0</v>
      </c>
      <c r="AU11" cm="1">
        <f t="array" ref="AU11">SUM(_xlfn._xlws.FILTER(LTP_Formulas!AX:AX,LTP_Formulas!$A:$A=LTP_Aggregated!AT11,0))</f>
        <v>0</v>
      </c>
      <c r="AV11" cm="1">
        <f t="array" ref="AV11">SUM(_xlfn._xlws.FILTER(LTP_Formulas!AY:AY,LTP_Formulas!$A:$A=LTP_Aggregated!AU11,0))</f>
        <v>0</v>
      </c>
      <c r="AW11" cm="1">
        <f t="array" ref="AW11">SUM(_xlfn._xlws.FILTER(LTP_Formulas!AZ:AZ,LTP_Formulas!$A:$A=LTP_Aggregated!AV11,0))</f>
        <v>0</v>
      </c>
      <c r="AX11" cm="1">
        <f t="array" ref="AX11">SUM(_xlfn._xlws.FILTER(LTP_Formulas!BA:BA,LTP_Formulas!$A:$A=LTP_Aggregated!AW11,0))</f>
        <v>0</v>
      </c>
    </row>
    <row r="12" spans="1:50">
      <c r="A12" t="str">
        <v>H_FG</v>
      </c>
      <c r="B12" cm="1">
        <f t="array" ref="B12">SUM(_xlfn._xlws.FILTER(LTP_Formulas!E:E,LTP_Formulas!$A:$A=LTP_Aggregated!A12,0))</f>
        <v>5261</v>
      </c>
      <c r="C12" cm="1">
        <f t="array" ref="C12">SUM(_xlfn._xlws.FILTER(LTP_Formulas!F:F,LTP_Formulas!$A:$A=LTP_Aggregated!B12,0))</f>
        <v>0</v>
      </c>
      <c r="D12" cm="1">
        <f t="array" ref="D12">SUM(_xlfn._xlws.FILTER(LTP_Formulas!G:G,LTP_Formulas!$A:$A=LTP_Aggregated!C12,0))</f>
        <v>0</v>
      </c>
      <c r="E12" cm="1">
        <f t="array" ref="E12">SUM(_xlfn._xlws.FILTER(LTP_Formulas!H:H,LTP_Formulas!$A:$A=LTP_Aggregated!D12,0))</f>
        <v>0</v>
      </c>
      <c r="F12" cm="1">
        <f t="array" ref="F12">SUM(_xlfn._xlws.FILTER(LTP_Formulas!I:I,LTP_Formulas!$A:$A=LTP_Aggregated!E12,0))</f>
        <v>0</v>
      </c>
      <c r="G12" cm="1">
        <f t="array" ref="G12">SUM(_xlfn._xlws.FILTER(LTP_Formulas!J:J,LTP_Formulas!$A:$A=LTP_Aggregated!F12,0))</f>
        <v>0</v>
      </c>
      <c r="H12" cm="1">
        <f t="array" ref="H12">SUM(_xlfn._xlws.FILTER(LTP_Formulas!K:K,LTP_Formulas!$A:$A=LTP_Aggregated!G12,0))</f>
        <v>0</v>
      </c>
      <c r="I12" cm="1">
        <f t="array" ref="I12">SUM(_xlfn._xlws.FILTER(LTP_Formulas!L:L,LTP_Formulas!$A:$A=LTP_Aggregated!H12,0))</f>
        <v>0</v>
      </c>
      <c r="J12" cm="1">
        <f t="array" ref="J12">SUM(_xlfn._xlws.FILTER(LTP_Formulas!M:M,LTP_Formulas!$A:$A=LTP_Aggregated!I12,0))</f>
        <v>0</v>
      </c>
      <c r="K12" cm="1">
        <f t="array" ref="K12">SUM(_xlfn._xlws.FILTER(LTP_Formulas!N:N,LTP_Formulas!$A:$A=LTP_Aggregated!J12,0))</f>
        <v>0</v>
      </c>
      <c r="L12" cm="1">
        <f t="array" ref="L12">SUM(_xlfn._xlws.FILTER(LTP_Formulas!O:O,LTP_Formulas!$A:$A=LTP_Aggregated!K12,0))</f>
        <v>0</v>
      </c>
      <c r="M12" cm="1">
        <f t="array" ref="M12">SUM(_xlfn._xlws.FILTER(LTP_Formulas!P:P,LTP_Formulas!$A:$A=LTP_Aggregated!L12,0))</f>
        <v>0</v>
      </c>
      <c r="N12" cm="1">
        <f t="array" ref="N12">SUM(_xlfn._xlws.FILTER(LTP_Formulas!Q:Q,LTP_Formulas!$A:$A=LTP_Aggregated!M12,0))</f>
        <v>0</v>
      </c>
      <c r="O12" cm="1">
        <f t="array" ref="O12">SUM(_xlfn._xlws.FILTER(LTP_Formulas!R:R,LTP_Formulas!$A:$A=LTP_Aggregated!N12,0))</f>
        <v>0</v>
      </c>
      <c r="P12" cm="1">
        <f t="array" ref="P12">SUM(_xlfn._xlws.FILTER(LTP_Formulas!S:S,LTP_Formulas!$A:$A=LTP_Aggregated!O12,0))</f>
        <v>0</v>
      </c>
      <c r="Q12" cm="1">
        <f t="array" ref="Q12">SUM(_xlfn._xlws.FILTER(LTP_Formulas!T:T,LTP_Formulas!$A:$A=LTP_Aggregated!P12,0))</f>
        <v>0</v>
      </c>
      <c r="R12" cm="1">
        <f t="array" ref="R12">SUM(_xlfn._xlws.FILTER(LTP_Formulas!U:U,LTP_Formulas!$A:$A=LTP_Aggregated!Q12,0))</f>
        <v>0</v>
      </c>
      <c r="S12" cm="1">
        <f t="array" ref="S12">SUM(_xlfn._xlws.FILTER(LTP_Formulas!V:V,LTP_Formulas!$A:$A=LTP_Aggregated!R12,0))</f>
        <v>0</v>
      </c>
      <c r="T12" cm="1">
        <f t="array" ref="T12">SUM(_xlfn._xlws.FILTER(LTP_Formulas!W:W,LTP_Formulas!$A:$A=LTP_Aggregated!S12,0))</f>
        <v>0</v>
      </c>
      <c r="U12" cm="1">
        <f t="array" ref="U12">SUM(_xlfn._xlws.FILTER(LTP_Formulas!X:X,LTP_Formulas!$A:$A=LTP_Aggregated!T12,0))</f>
        <v>0</v>
      </c>
      <c r="V12" cm="1">
        <f t="array" ref="V12">SUM(_xlfn._xlws.FILTER(LTP_Formulas!Y:Y,LTP_Formulas!$A:$A=LTP_Aggregated!U12,0))</f>
        <v>0</v>
      </c>
      <c r="W12" cm="1">
        <f t="array" ref="W12">SUM(_xlfn._xlws.FILTER(LTP_Formulas!Z:Z,LTP_Formulas!$A:$A=LTP_Aggregated!V12,0))</f>
        <v>0</v>
      </c>
      <c r="X12" cm="1">
        <f t="array" ref="X12">SUM(_xlfn._xlws.FILTER(LTP_Formulas!AA:AA,LTP_Formulas!$A:$A=LTP_Aggregated!W12,0))</f>
        <v>0</v>
      </c>
      <c r="Y12" cm="1">
        <f t="array" ref="Y12">SUM(_xlfn._xlws.FILTER(LTP_Formulas!AB:AB,LTP_Formulas!$A:$A=LTP_Aggregated!X12,0))</f>
        <v>0</v>
      </c>
      <c r="Z12" cm="1">
        <f t="array" ref="Z12">SUM(_xlfn._xlws.FILTER(LTP_Formulas!AC:AC,LTP_Formulas!$A:$A=LTP_Aggregated!Y12,0))</f>
        <v>0</v>
      </c>
      <c r="AA12" cm="1">
        <f t="array" ref="AA12">SUM(_xlfn._xlws.FILTER(LTP_Formulas!AD:AD,LTP_Formulas!$A:$A=LTP_Aggregated!Z12,0))</f>
        <v>0</v>
      </c>
      <c r="AB12" cm="1">
        <f t="array" ref="AB12">SUM(_xlfn._xlws.FILTER(LTP_Formulas!AE:AE,LTP_Formulas!$A:$A=LTP_Aggregated!AA12,0))</f>
        <v>0</v>
      </c>
      <c r="AC12" cm="1">
        <f t="array" ref="AC12">SUM(_xlfn._xlws.FILTER(LTP_Formulas!AF:AF,LTP_Formulas!$A:$A=LTP_Aggregated!AB12,0))</f>
        <v>0</v>
      </c>
      <c r="AD12" cm="1">
        <f t="array" ref="AD12">SUM(_xlfn._xlws.FILTER(LTP_Formulas!AG:AG,LTP_Formulas!$A:$A=LTP_Aggregated!AC12,0))</f>
        <v>0</v>
      </c>
      <c r="AE12" cm="1">
        <f t="array" ref="AE12">SUM(_xlfn._xlws.FILTER(LTP_Formulas!AH:AH,LTP_Formulas!$A:$A=LTP_Aggregated!AD12,0))</f>
        <v>0</v>
      </c>
      <c r="AF12" cm="1">
        <f t="array" ref="AF12">SUM(_xlfn._xlws.FILTER(LTP_Formulas!AI:AI,LTP_Formulas!$A:$A=LTP_Aggregated!AE12,0))</f>
        <v>0</v>
      </c>
      <c r="AG12" cm="1">
        <f t="array" ref="AG12">SUM(_xlfn._xlws.FILTER(LTP_Formulas!AJ:AJ,LTP_Formulas!$A:$A=LTP_Aggregated!AF12,0))</f>
        <v>0</v>
      </c>
      <c r="AH12" cm="1">
        <f t="array" ref="AH12">SUM(_xlfn._xlws.FILTER(LTP_Formulas!AK:AK,LTP_Formulas!$A:$A=LTP_Aggregated!AG12,0))</f>
        <v>0</v>
      </c>
      <c r="AI12" cm="1">
        <f t="array" ref="AI12">SUM(_xlfn._xlws.FILTER(LTP_Formulas!AL:AL,LTP_Formulas!$A:$A=LTP_Aggregated!AH12,0))</f>
        <v>0</v>
      </c>
      <c r="AJ12" cm="1">
        <f t="array" ref="AJ12">SUM(_xlfn._xlws.FILTER(LTP_Formulas!AM:AM,LTP_Formulas!$A:$A=LTP_Aggregated!AI12,0))</f>
        <v>0</v>
      </c>
      <c r="AK12" cm="1">
        <f t="array" ref="AK12">SUM(_xlfn._xlws.FILTER(LTP_Formulas!AN:AN,LTP_Formulas!$A:$A=LTP_Aggregated!AJ12,0))</f>
        <v>0</v>
      </c>
      <c r="AL12" cm="1">
        <f t="array" ref="AL12">SUM(_xlfn._xlws.FILTER(LTP_Formulas!AO:AO,LTP_Formulas!$A:$A=LTP_Aggregated!AK12,0))</f>
        <v>0</v>
      </c>
      <c r="AM12" cm="1">
        <f t="array" ref="AM12">SUM(_xlfn._xlws.FILTER(LTP_Formulas!AP:AP,LTP_Formulas!$A:$A=LTP_Aggregated!AL12,0))</f>
        <v>0</v>
      </c>
      <c r="AN12" cm="1">
        <f t="array" ref="AN12">SUM(_xlfn._xlws.FILTER(LTP_Formulas!AQ:AQ,LTP_Formulas!$A:$A=LTP_Aggregated!AM12,0))</f>
        <v>0</v>
      </c>
      <c r="AO12" cm="1">
        <f t="array" ref="AO12">SUM(_xlfn._xlws.FILTER(LTP_Formulas!AR:AR,LTP_Formulas!$A:$A=LTP_Aggregated!AN12,0))</f>
        <v>0</v>
      </c>
      <c r="AP12" cm="1">
        <f t="array" ref="AP12">SUM(_xlfn._xlws.FILTER(LTP_Formulas!AS:AS,LTP_Formulas!$A:$A=LTP_Aggregated!AO12,0))</f>
        <v>0</v>
      </c>
      <c r="AQ12" cm="1">
        <f t="array" ref="AQ12">SUM(_xlfn._xlws.FILTER(LTP_Formulas!AT:AT,LTP_Formulas!$A:$A=LTP_Aggregated!AP12,0))</f>
        <v>0</v>
      </c>
      <c r="AR12" cm="1">
        <f t="array" ref="AR12">SUM(_xlfn._xlws.FILTER(LTP_Formulas!AU:AU,LTP_Formulas!$A:$A=LTP_Aggregated!AQ12,0))</f>
        <v>0</v>
      </c>
      <c r="AS12" cm="1">
        <f t="array" ref="AS12">SUM(_xlfn._xlws.FILTER(LTP_Formulas!AV:AV,LTP_Formulas!$A:$A=LTP_Aggregated!AR12,0))</f>
        <v>0</v>
      </c>
      <c r="AT12" cm="1">
        <f t="array" ref="AT12">SUM(_xlfn._xlws.FILTER(LTP_Formulas!AW:AW,LTP_Formulas!$A:$A=LTP_Aggregated!AS12,0))</f>
        <v>0</v>
      </c>
      <c r="AU12" cm="1">
        <f t="array" ref="AU12">SUM(_xlfn._xlws.FILTER(LTP_Formulas!AX:AX,LTP_Formulas!$A:$A=LTP_Aggregated!AT12,0))</f>
        <v>0</v>
      </c>
      <c r="AV12" cm="1">
        <f t="array" ref="AV12">SUM(_xlfn._xlws.FILTER(LTP_Formulas!AY:AY,LTP_Formulas!$A:$A=LTP_Aggregated!AU12,0))</f>
        <v>0</v>
      </c>
      <c r="AW12" cm="1">
        <f t="array" ref="AW12">SUM(_xlfn._xlws.FILTER(LTP_Formulas!AZ:AZ,LTP_Formulas!$A:$A=LTP_Aggregated!AV12,0))</f>
        <v>0</v>
      </c>
      <c r="AX12" cm="1">
        <f t="array" ref="AX12">SUM(_xlfn._xlws.FILTER(LTP_Formulas!BA:BA,LTP_Formulas!$A:$A=LTP_Aggregated!AW12,0))</f>
        <v>0</v>
      </c>
    </row>
    <row r="13" spans="1:50">
      <c r="A13" t="str">
        <v>K_FG</v>
      </c>
      <c r="B13" cm="1">
        <f t="array" ref="B13">SUM(_xlfn._xlws.FILTER(LTP_Formulas!E:E,LTP_Formulas!$A:$A=LTP_Aggregated!A13,0))</f>
        <v>1029</v>
      </c>
      <c r="C13" cm="1">
        <f t="array" ref="C13">SUM(_xlfn._xlws.FILTER(LTP_Formulas!F:F,LTP_Formulas!$A:$A=LTP_Aggregated!B13,0))</f>
        <v>0</v>
      </c>
      <c r="D13" cm="1">
        <f t="array" ref="D13">SUM(_xlfn._xlws.FILTER(LTP_Formulas!G:G,LTP_Formulas!$A:$A=LTP_Aggregated!C13,0))</f>
        <v>0</v>
      </c>
      <c r="E13" cm="1">
        <f t="array" ref="E13">SUM(_xlfn._xlws.FILTER(LTP_Formulas!H:H,LTP_Formulas!$A:$A=LTP_Aggregated!D13,0))</f>
        <v>0</v>
      </c>
      <c r="F13" cm="1">
        <f t="array" ref="F13">SUM(_xlfn._xlws.FILTER(LTP_Formulas!I:I,LTP_Formulas!$A:$A=LTP_Aggregated!E13,0))</f>
        <v>0</v>
      </c>
      <c r="G13" cm="1">
        <f t="array" ref="G13">SUM(_xlfn._xlws.FILTER(LTP_Formulas!J:J,LTP_Formulas!$A:$A=LTP_Aggregated!F13,0))</f>
        <v>0</v>
      </c>
      <c r="H13" cm="1">
        <f t="array" ref="H13">SUM(_xlfn._xlws.FILTER(LTP_Formulas!K:K,LTP_Formulas!$A:$A=LTP_Aggregated!G13,0))</f>
        <v>0</v>
      </c>
      <c r="I13" cm="1">
        <f t="array" ref="I13">SUM(_xlfn._xlws.FILTER(LTP_Formulas!L:L,LTP_Formulas!$A:$A=LTP_Aggregated!H13,0))</f>
        <v>0</v>
      </c>
      <c r="J13" cm="1">
        <f t="array" ref="J13">SUM(_xlfn._xlws.FILTER(LTP_Formulas!M:M,LTP_Formulas!$A:$A=LTP_Aggregated!I13,0))</f>
        <v>0</v>
      </c>
      <c r="K13" cm="1">
        <f t="array" ref="K13">SUM(_xlfn._xlws.FILTER(LTP_Formulas!N:N,LTP_Formulas!$A:$A=LTP_Aggregated!J13,0))</f>
        <v>0</v>
      </c>
      <c r="L13" cm="1">
        <f t="array" ref="L13">SUM(_xlfn._xlws.FILTER(LTP_Formulas!O:O,LTP_Formulas!$A:$A=LTP_Aggregated!K13,0))</f>
        <v>0</v>
      </c>
      <c r="M13" cm="1">
        <f t="array" ref="M13">SUM(_xlfn._xlws.FILTER(LTP_Formulas!P:P,LTP_Formulas!$A:$A=LTP_Aggregated!L13,0))</f>
        <v>0</v>
      </c>
      <c r="N13" cm="1">
        <f t="array" ref="N13">SUM(_xlfn._xlws.FILTER(LTP_Formulas!Q:Q,LTP_Formulas!$A:$A=LTP_Aggregated!M13,0))</f>
        <v>0</v>
      </c>
      <c r="O13" cm="1">
        <f t="array" ref="O13">SUM(_xlfn._xlws.FILTER(LTP_Formulas!R:R,LTP_Formulas!$A:$A=LTP_Aggregated!N13,0))</f>
        <v>0</v>
      </c>
      <c r="P13" cm="1">
        <f t="array" ref="P13">SUM(_xlfn._xlws.FILTER(LTP_Formulas!S:S,LTP_Formulas!$A:$A=LTP_Aggregated!O13,0))</f>
        <v>0</v>
      </c>
      <c r="Q13" cm="1">
        <f t="array" ref="Q13">SUM(_xlfn._xlws.FILTER(LTP_Formulas!T:T,LTP_Formulas!$A:$A=LTP_Aggregated!P13,0))</f>
        <v>0</v>
      </c>
      <c r="R13" cm="1">
        <f t="array" ref="R13">SUM(_xlfn._xlws.FILTER(LTP_Formulas!U:U,LTP_Formulas!$A:$A=LTP_Aggregated!Q13,0))</f>
        <v>0</v>
      </c>
      <c r="S13" cm="1">
        <f t="array" ref="S13">SUM(_xlfn._xlws.FILTER(LTP_Formulas!V:V,LTP_Formulas!$A:$A=LTP_Aggregated!R13,0))</f>
        <v>0</v>
      </c>
      <c r="T13" cm="1">
        <f t="array" ref="T13">SUM(_xlfn._xlws.FILTER(LTP_Formulas!W:W,LTP_Formulas!$A:$A=LTP_Aggregated!S13,0))</f>
        <v>0</v>
      </c>
      <c r="U13" cm="1">
        <f t="array" ref="U13">SUM(_xlfn._xlws.FILTER(LTP_Formulas!X:X,LTP_Formulas!$A:$A=LTP_Aggregated!T13,0))</f>
        <v>0</v>
      </c>
      <c r="V13" cm="1">
        <f t="array" ref="V13">SUM(_xlfn._xlws.FILTER(LTP_Formulas!Y:Y,LTP_Formulas!$A:$A=LTP_Aggregated!U13,0))</f>
        <v>0</v>
      </c>
      <c r="W13" cm="1">
        <f t="array" ref="W13">SUM(_xlfn._xlws.FILTER(LTP_Formulas!Z:Z,LTP_Formulas!$A:$A=LTP_Aggregated!V13,0))</f>
        <v>0</v>
      </c>
      <c r="X13" cm="1">
        <f t="array" ref="X13">SUM(_xlfn._xlws.FILTER(LTP_Formulas!AA:AA,LTP_Formulas!$A:$A=LTP_Aggregated!W13,0))</f>
        <v>0</v>
      </c>
      <c r="Y13" cm="1">
        <f t="array" ref="Y13">SUM(_xlfn._xlws.FILTER(LTP_Formulas!AB:AB,LTP_Formulas!$A:$A=LTP_Aggregated!X13,0))</f>
        <v>0</v>
      </c>
      <c r="Z13" cm="1">
        <f t="array" ref="Z13">SUM(_xlfn._xlws.FILTER(LTP_Formulas!AC:AC,LTP_Formulas!$A:$A=LTP_Aggregated!Y13,0))</f>
        <v>0</v>
      </c>
      <c r="AA13" cm="1">
        <f t="array" ref="AA13">SUM(_xlfn._xlws.FILTER(LTP_Formulas!AD:AD,LTP_Formulas!$A:$A=LTP_Aggregated!Z13,0))</f>
        <v>0</v>
      </c>
      <c r="AB13" cm="1">
        <f t="array" ref="AB13">SUM(_xlfn._xlws.FILTER(LTP_Formulas!AE:AE,LTP_Formulas!$A:$A=LTP_Aggregated!AA13,0))</f>
        <v>0</v>
      </c>
      <c r="AC13" cm="1">
        <f t="array" ref="AC13">SUM(_xlfn._xlws.FILTER(LTP_Formulas!AF:AF,LTP_Formulas!$A:$A=LTP_Aggregated!AB13,0))</f>
        <v>0</v>
      </c>
      <c r="AD13" cm="1">
        <f t="array" ref="AD13">SUM(_xlfn._xlws.FILTER(LTP_Formulas!AG:AG,LTP_Formulas!$A:$A=LTP_Aggregated!AC13,0))</f>
        <v>0</v>
      </c>
      <c r="AE13" cm="1">
        <f t="array" ref="AE13">SUM(_xlfn._xlws.FILTER(LTP_Formulas!AH:AH,LTP_Formulas!$A:$A=LTP_Aggregated!AD13,0))</f>
        <v>0</v>
      </c>
      <c r="AF13" cm="1">
        <f t="array" ref="AF13">SUM(_xlfn._xlws.FILTER(LTP_Formulas!AI:AI,LTP_Formulas!$A:$A=LTP_Aggregated!AE13,0))</f>
        <v>0</v>
      </c>
      <c r="AG13" cm="1">
        <f t="array" ref="AG13">SUM(_xlfn._xlws.FILTER(LTP_Formulas!AJ:AJ,LTP_Formulas!$A:$A=LTP_Aggregated!AF13,0))</f>
        <v>0</v>
      </c>
      <c r="AH13" cm="1">
        <f t="array" ref="AH13">SUM(_xlfn._xlws.FILTER(LTP_Formulas!AK:AK,LTP_Formulas!$A:$A=LTP_Aggregated!AG13,0))</f>
        <v>0</v>
      </c>
      <c r="AI13" cm="1">
        <f t="array" ref="AI13">SUM(_xlfn._xlws.FILTER(LTP_Formulas!AL:AL,LTP_Formulas!$A:$A=LTP_Aggregated!AH13,0))</f>
        <v>0</v>
      </c>
      <c r="AJ13" cm="1">
        <f t="array" ref="AJ13">SUM(_xlfn._xlws.FILTER(LTP_Formulas!AM:AM,LTP_Formulas!$A:$A=LTP_Aggregated!AI13,0))</f>
        <v>0</v>
      </c>
      <c r="AK13" cm="1">
        <f t="array" ref="AK13">SUM(_xlfn._xlws.FILTER(LTP_Formulas!AN:AN,LTP_Formulas!$A:$A=LTP_Aggregated!AJ13,0))</f>
        <v>0</v>
      </c>
      <c r="AL13" cm="1">
        <f t="array" ref="AL13">SUM(_xlfn._xlws.FILTER(LTP_Formulas!AO:AO,LTP_Formulas!$A:$A=LTP_Aggregated!AK13,0))</f>
        <v>0</v>
      </c>
      <c r="AM13" cm="1">
        <f t="array" ref="AM13">SUM(_xlfn._xlws.FILTER(LTP_Formulas!AP:AP,LTP_Formulas!$A:$A=LTP_Aggregated!AL13,0))</f>
        <v>0</v>
      </c>
      <c r="AN13" cm="1">
        <f t="array" ref="AN13">SUM(_xlfn._xlws.FILTER(LTP_Formulas!AQ:AQ,LTP_Formulas!$A:$A=LTP_Aggregated!AM13,0))</f>
        <v>0</v>
      </c>
      <c r="AO13" cm="1">
        <f t="array" ref="AO13">SUM(_xlfn._xlws.FILTER(LTP_Formulas!AR:AR,LTP_Formulas!$A:$A=LTP_Aggregated!AN13,0))</f>
        <v>0</v>
      </c>
      <c r="AP13" cm="1">
        <f t="array" ref="AP13">SUM(_xlfn._xlws.FILTER(LTP_Formulas!AS:AS,LTP_Formulas!$A:$A=LTP_Aggregated!AO13,0))</f>
        <v>0</v>
      </c>
      <c r="AQ13" cm="1">
        <f t="array" ref="AQ13">SUM(_xlfn._xlws.FILTER(LTP_Formulas!AT:AT,LTP_Formulas!$A:$A=LTP_Aggregated!AP13,0))</f>
        <v>0</v>
      </c>
      <c r="AR13" cm="1">
        <f t="array" ref="AR13">SUM(_xlfn._xlws.FILTER(LTP_Formulas!AU:AU,LTP_Formulas!$A:$A=LTP_Aggregated!AQ13,0))</f>
        <v>0</v>
      </c>
      <c r="AS13" cm="1">
        <f t="array" ref="AS13">SUM(_xlfn._xlws.FILTER(LTP_Formulas!AV:AV,LTP_Formulas!$A:$A=LTP_Aggregated!AR13,0))</f>
        <v>0</v>
      </c>
      <c r="AT13" cm="1">
        <f t="array" ref="AT13">SUM(_xlfn._xlws.FILTER(LTP_Formulas!AW:AW,LTP_Formulas!$A:$A=LTP_Aggregated!AS13,0))</f>
        <v>0</v>
      </c>
      <c r="AU13" cm="1">
        <f t="array" ref="AU13">SUM(_xlfn._xlws.FILTER(LTP_Formulas!AX:AX,LTP_Formulas!$A:$A=LTP_Aggregated!AT13,0))</f>
        <v>0</v>
      </c>
      <c r="AV13" cm="1">
        <f t="array" ref="AV13">SUM(_xlfn._xlws.FILTER(LTP_Formulas!AY:AY,LTP_Formulas!$A:$A=LTP_Aggregated!AU13,0))</f>
        <v>0</v>
      </c>
      <c r="AW13" cm="1">
        <f t="array" ref="AW13">SUM(_xlfn._xlws.FILTER(LTP_Formulas!AZ:AZ,LTP_Formulas!$A:$A=LTP_Aggregated!AV13,0))</f>
        <v>0</v>
      </c>
      <c r="AX13" cm="1">
        <f t="array" ref="AX13">SUM(_xlfn._xlws.FILTER(LTP_Formulas!BA:BA,LTP_Formulas!$A:$A=LTP_Aggregated!AW13,0))</f>
        <v>0</v>
      </c>
    </row>
    <row r="14" spans="1:50">
      <c r="A14" t="str">
        <v>Q_FG</v>
      </c>
      <c r="B14" cm="1">
        <f t="array" ref="B14">SUM(_xlfn._xlws.FILTER(LTP_Formulas!E:E,LTP_Formulas!$A:$A=LTP_Aggregated!A14,0))</f>
        <v>731</v>
      </c>
      <c r="C14" cm="1">
        <f t="array" ref="C14">SUM(_xlfn._xlws.FILTER(LTP_Formulas!F:F,LTP_Formulas!$A:$A=LTP_Aggregated!B14,0))</f>
        <v>0</v>
      </c>
      <c r="D14" cm="1">
        <f t="array" ref="D14">SUM(_xlfn._xlws.FILTER(LTP_Formulas!G:G,LTP_Formulas!$A:$A=LTP_Aggregated!C14,0))</f>
        <v>0</v>
      </c>
      <c r="E14" cm="1">
        <f t="array" ref="E14">SUM(_xlfn._xlws.FILTER(LTP_Formulas!H:H,LTP_Formulas!$A:$A=LTP_Aggregated!D14,0))</f>
        <v>0</v>
      </c>
      <c r="F14" cm="1">
        <f t="array" ref="F14">SUM(_xlfn._xlws.FILTER(LTP_Formulas!I:I,LTP_Formulas!$A:$A=LTP_Aggregated!E14,0))</f>
        <v>0</v>
      </c>
      <c r="G14" cm="1">
        <f t="array" ref="G14">SUM(_xlfn._xlws.FILTER(LTP_Formulas!J:J,LTP_Formulas!$A:$A=LTP_Aggregated!F14,0))</f>
        <v>0</v>
      </c>
      <c r="H14" cm="1">
        <f t="array" ref="H14">SUM(_xlfn._xlws.FILTER(LTP_Formulas!K:K,LTP_Formulas!$A:$A=LTP_Aggregated!G14,0))</f>
        <v>0</v>
      </c>
      <c r="I14" cm="1">
        <f t="array" ref="I14">SUM(_xlfn._xlws.FILTER(LTP_Formulas!L:L,LTP_Formulas!$A:$A=LTP_Aggregated!H14,0))</f>
        <v>0</v>
      </c>
      <c r="J14" cm="1">
        <f t="array" ref="J14">SUM(_xlfn._xlws.FILTER(LTP_Formulas!M:M,LTP_Formulas!$A:$A=LTP_Aggregated!I14,0))</f>
        <v>0</v>
      </c>
      <c r="K14" cm="1">
        <f t="array" ref="K14">SUM(_xlfn._xlws.FILTER(LTP_Formulas!N:N,LTP_Formulas!$A:$A=LTP_Aggregated!J14,0))</f>
        <v>0</v>
      </c>
      <c r="L14" cm="1">
        <f t="array" ref="L14">SUM(_xlfn._xlws.FILTER(LTP_Formulas!O:O,LTP_Formulas!$A:$A=LTP_Aggregated!K14,0))</f>
        <v>0</v>
      </c>
      <c r="M14" cm="1">
        <f t="array" ref="M14">SUM(_xlfn._xlws.FILTER(LTP_Formulas!P:P,LTP_Formulas!$A:$A=LTP_Aggregated!L14,0))</f>
        <v>0</v>
      </c>
      <c r="N14" cm="1">
        <f t="array" ref="N14">SUM(_xlfn._xlws.FILTER(LTP_Formulas!Q:Q,LTP_Formulas!$A:$A=LTP_Aggregated!M14,0))</f>
        <v>0</v>
      </c>
      <c r="O14" cm="1">
        <f t="array" ref="O14">SUM(_xlfn._xlws.FILTER(LTP_Formulas!R:R,LTP_Formulas!$A:$A=LTP_Aggregated!N14,0))</f>
        <v>0</v>
      </c>
      <c r="P14" cm="1">
        <f t="array" ref="P14">SUM(_xlfn._xlws.FILTER(LTP_Formulas!S:S,LTP_Formulas!$A:$A=LTP_Aggregated!O14,0))</f>
        <v>0</v>
      </c>
      <c r="Q14" cm="1">
        <f t="array" ref="Q14">SUM(_xlfn._xlws.FILTER(LTP_Formulas!T:T,LTP_Formulas!$A:$A=LTP_Aggregated!P14,0))</f>
        <v>0</v>
      </c>
      <c r="R14" cm="1">
        <f t="array" ref="R14">SUM(_xlfn._xlws.FILTER(LTP_Formulas!U:U,LTP_Formulas!$A:$A=LTP_Aggregated!Q14,0))</f>
        <v>0</v>
      </c>
      <c r="S14" cm="1">
        <f t="array" ref="S14">SUM(_xlfn._xlws.FILTER(LTP_Formulas!V:V,LTP_Formulas!$A:$A=LTP_Aggregated!R14,0))</f>
        <v>0</v>
      </c>
      <c r="T14" cm="1">
        <f t="array" ref="T14">SUM(_xlfn._xlws.FILTER(LTP_Formulas!W:W,LTP_Formulas!$A:$A=LTP_Aggregated!S14,0))</f>
        <v>0</v>
      </c>
      <c r="U14" cm="1">
        <f t="array" ref="U14">SUM(_xlfn._xlws.FILTER(LTP_Formulas!X:X,LTP_Formulas!$A:$A=LTP_Aggregated!T14,0))</f>
        <v>0</v>
      </c>
      <c r="V14" cm="1">
        <f t="array" ref="V14">SUM(_xlfn._xlws.FILTER(LTP_Formulas!Y:Y,LTP_Formulas!$A:$A=LTP_Aggregated!U14,0))</f>
        <v>0</v>
      </c>
      <c r="W14" cm="1">
        <f t="array" ref="W14">SUM(_xlfn._xlws.FILTER(LTP_Formulas!Z:Z,LTP_Formulas!$A:$A=LTP_Aggregated!V14,0))</f>
        <v>0</v>
      </c>
      <c r="X14" cm="1">
        <f t="array" ref="X14">SUM(_xlfn._xlws.FILTER(LTP_Formulas!AA:AA,LTP_Formulas!$A:$A=LTP_Aggregated!W14,0))</f>
        <v>0</v>
      </c>
      <c r="Y14" cm="1">
        <f t="array" ref="Y14">SUM(_xlfn._xlws.FILTER(LTP_Formulas!AB:AB,LTP_Formulas!$A:$A=LTP_Aggregated!X14,0))</f>
        <v>0</v>
      </c>
      <c r="Z14" cm="1">
        <f t="array" ref="Z14">SUM(_xlfn._xlws.FILTER(LTP_Formulas!AC:AC,LTP_Formulas!$A:$A=LTP_Aggregated!Y14,0))</f>
        <v>0</v>
      </c>
      <c r="AA14" cm="1">
        <f t="array" ref="AA14">SUM(_xlfn._xlws.FILTER(LTP_Formulas!AD:AD,LTP_Formulas!$A:$A=LTP_Aggregated!Z14,0))</f>
        <v>0</v>
      </c>
      <c r="AB14" cm="1">
        <f t="array" ref="AB14">SUM(_xlfn._xlws.FILTER(LTP_Formulas!AE:AE,LTP_Formulas!$A:$A=LTP_Aggregated!AA14,0))</f>
        <v>0</v>
      </c>
      <c r="AC14" cm="1">
        <f t="array" ref="AC14">SUM(_xlfn._xlws.FILTER(LTP_Formulas!AF:AF,LTP_Formulas!$A:$A=LTP_Aggregated!AB14,0))</f>
        <v>0</v>
      </c>
      <c r="AD14" cm="1">
        <f t="array" ref="AD14">SUM(_xlfn._xlws.FILTER(LTP_Formulas!AG:AG,LTP_Formulas!$A:$A=LTP_Aggregated!AC14,0))</f>
        <v>0</v>
      </c>
      <c r="AE14" cm="1">
        <f t="array" ref="AE14">SUM(_xlfn._xlws.FILTER(LTP_Formulas!AH:AH,LTP_Formulas!$A:$A=LTP_Aggregated!AD14,0))</f>
        <v>0</v>
      </c>
      <c r="AF14" cm="1">
        <f t="array" ref="AF14">SUM(_xlfn._xlws.FILTER(LTP_Formulas!AI:AI,LTP_Formulas!$A:$A=LTP_Aggregated!AE14,0))</f>
        <v>0</v>
      </c>
      <c r="AG14" cm="1">
        <f t="array" ref="AG14">SUM(_xlfn._xlws.FILTER(LTP_Formulas!AJ:AJ,LTP_Formulas!$A:$A=LTP_Aggregated!AF14,0))</f>
        <v>0</v>
      </c>
      <c r="AH14" cm="1">
        <f t="array" ref="AH14">SUM(_xlfn._xlws.FILTER(LTP_Formulas!AK:AK,LTP_Formulas!$A:$A=LTP_Aggregated!AG14,0))</f>
        <v>0</v>
      </c>
      <c r="AI14" cm="1">
        <f t="array" ref="AI14">SUM(_xlfn._xlws.FILTER(LTP_Formulas!AL:AL,LTP_Formulas!$A:$A=LTP_Aggregated!AH14,0))</f>
        <v>0</v>
      </c>
      <c r="AJ14" cm="1">
        <f t="array" ref="AJ14">SUM(_xlfn._xlws.FILTER(LTP_Formulas!AM:AM,LTP_Formulas!$A:$A=LTP_Aggregated!AI14,0))</f>
        <v>0</v>
      </c>
      <c r="AK14" cm="1">
        <f t="array" ref="AK14">SUM(_xlfn._xlws.FILTER(LTP_Formulas!AN:AN,LTP_Formulas!$A:$A=LTP_Aggregated!AJ14,0))</f>
        <v>0</v>
      </c>
      <c r="AL14" cm="1">
        <f t="array" ref="AL14">SUM(_xlfn._xlws.FILTER(LTP_Formulas!AO:AO,LTP_Formulas!$A:$A=LTP_Aggregated!AK14,0))</f>
        <v>0</v>
      </c>
      <c r="AM14" cm="1">
        <f t="array" ref="AM14">SUM(_xlfn._xlws.FILTER(LTP_Formulas!AP:AP,LTP_Formulas!$A:$A=LTP_Aggregated!AL14,0))</f>
        <v>0</v>
      </c>
      <c r="AN14" cm="1">
        <f t="array" ref="AN14">SUM(_xlfn._xlws.FILTER(LTP_Formulas!AQ:AQ,LTP_Formulas!$A:$A=LTP_Aggregated!AM14,0))</f>
        <v>0</v>
      </c>
      <c r="AO14" cm="1">
        <f t="array" ref="AO14">SUM(_xlfn._xlws.FILTER(LTP_Formulas!AR:AR,LTP_Formulas!$A:$A=LTP_Aggregated!AN14,0))</f>
        <v>0</v>
      </c>
      <c r="AP14" cm="1">
        <f t="array" ref="AP14">SUM(_xlfn._xlws.FILTER(LTP_Formulas!AS:AS,LTP_Formulas!$A:$A=LTP_Aggregated!AO14,0))</f>
        <v>0</v>
      </c>
      <c r="AQ14" cm="1">
        <f t="array" ref="AQ14">SUM(_xlfn._xlws.FILTER(LTP_Formulas!AT:AT,LTP_Formulas!$A:$A=LTP_Aggregated!AP14,0))</f>
        <v>0</v>
      </c>
      <c r="AR14" cm="1">
        <f t="array" ref="AR14">SUM(_xlfn._xlws.FILTER(LTP_Formulas!AU:AU,LTP_Formulas!$A:$A=LTP_Aggregated!AQ14,0))</f>
        <v>0</v>
      </c>
      <c r="AS14" cm="1">
        <f t="array" ref="AS14">SUM(_xlfn._xlws.FILTER(LTP_Formulas!AV:AV,LTP_Formulas!$A:$A=LTP_Aggregated!AR14,0))</f>
        <v>0</v>
      </c>
      <c r="AT14" cm="1">
        <f t="array" ref="AT14">SUM(_xlfn._xlws.FILTER(LTP_Formulas!AW:AW,LTP_Formulas!$A:$A=LTP_Aggregated!AS14,0))</f>
        <v>0</v>
      </c>
      <c r="AU14" cm="1">
        <f t="array" ref="AU14">SUM(_xlfn._xlws.FILTER(LTP_Formulas!AX:AX,LTP_Formulas!$A:$A=LTP_Aggregated!AT14,0))</f>
        <v>0</v>
      </c>
      <c r="AV14" cm="1">
        <f t="array" ref="AV14">SUM(_xlfn._xlws.FILTER(LTP_Formulas!AY:AY,LTP_Formulas!$A:$A=LTP_Aggregated!AU14,0))</f>
        <v>0</v>
      </c>
      <c r="AW14" cm="1">
        <f t="array" ref="AW14">SUM(_xlfn._xlws.FILTER(LTP_Formulas!AZ:AZ,LTP_Formulas!$A:$A=LTP_Aggregated!AV14,0))</f>
        <v>0</v>
      </c>
      <c r="AX14" cm="1">
        <f t="array" ref="AX14">SUM(_xlfn._xlws.FILTER(LTP_Formulas!BA:BA,LTP_Formulas!$A:$A=LTP_Aggregated!AW14,0))</f>
        <v>0</v>
      </c>
    </row>
    <row r="15" spans="1:50">
      <c r="A15" t="str">
        <v>C_FG</v>
      </c>
      <c r="B15" cm="1">
        <f t="array" ref="B15">SUM(_xlfn._xlws.FILTER(LTP_Formulas!E:E,LTP_Formulas!$A:$A=LTP_Aggregated!A15,0))</f>
        <v>5287</v>
      </c>
      <c r="C15" cm="1">
        <f t="array" ref="C15">SUM(_xlfn._xlws.FILTER(LTP_Formulas!F:F,LTP_Formulas!$A:$A=LTP_Aggregated!B15,0))</f>
        <v>0</v>
      </c>
      <c r="D15" cm="1">
        <f t="array" ref="D15">SUM(_xlfn._xlws.FILTER(LTP_Formulas!G:G,LTP_Formulas!$A:$A=LTP_Aggregated!C15,0))</f>
        <v>0</v>
      </c>
      <c r="E15" cm="1">
        <f t="array" ref="E15">SUM(_xlfn._xlws.FILTER(LTP_Formulas!H:H,LTP_Formulas!$A:$A=LTP_Aggregated!D15,0))</f>
        <v>0</v>
      </c>
      <c r="F15" cm="1">
        <f t="array" ref="F15">SUM(_xlfn._xlws.FILTER(LTP_Formulas!I:I,LTP_Formulas!$A:$A=LTP_Aggregated!E15,0))</f>
        <v>0</v>
      </c>
      <c r="G15" cm="1">
        <f t="array" ref="G15">SUM(_xlfn._xlws.FILTER(LTP_Formulas!J:J,LTP_Formulas!$A:$A=LTP_Aggregated!F15,0))</f>
        <v>0</v>
      </c>
      <c r="H15" cm="1">
        <f t="array" ref="H15">SUM(_xlfn._xlws.FILTER(LTP_Formulas!K:K,LTP_Formulas!$A:$A=LTP_Aggregated!G15,0))</f>
        <v>0</v>
      </c>
      <c r="I15" cm="1">
        <f t="array" ref="I15">SUM(_xlfn._xlws.FILTER(LTP_Formulas!L:L,LTP_Formulas!$A:$A=LTP_Aggregated!H15,0))</f>
        <v>0</v>
      </c>
      <c r="J15" cm="1">
        <f t="array" ref="J15">SUM(_xlfn._xlws.FILTER(LTP_Formulas!M:M,LTP_Formulas!$A:$A=LTP_Aggregated!I15,0))</f>
        <v>0</v>
      </c>
      <c r="K15" cm="1">
        <f t="array" ref="K15">SUM(_xlfn._xlws.FILTER(LTP_Formulas!N:N,LTP_Formulas!$A:$A=LTP_Aggregated!J15,0))</f>
        <v>0</v>
      </c>
      <c r="L15" cm="1">
        <f t="array" ref="L15">SUM(_xlfn._xlws.FILTER(LTP_Formulas!O:O,LTP_Formulas!$A:$A=LTP_Aggregated!K15,0))</f>
        <v>0</v>
      </c>
      <c r="M15" cm="1">
        <f t="array" ref="M15">SUM(_xlfn._xlws.FILTER(LTP_Formulas!P:P,LTP_Formulas!$A:$A=LTP_Aggregated!L15,0))</f>
        <v>0</v>
      </c>
      <c r="N15" cm="1">
        <f t="array" ref="N15">SUM(_xlfn._xlws.FILTER(LTP_Formulas!Q:Q,LTP_Formulas!$A:$A=LTP_Aggregated!M15,0))</f>
        <v>0</v>
      </c>
      <c r="O15" cm="1">
        <f t="array" ref="O15">SUM(_xlfn._xlws.FILTER(LTP_Formulas!R:R,LTP_Formulas!$A:$A=LTP_Aggregated!N15,0))</f>
        <v>0</v>
      </c>
      <c r="P15" cm="1">
        <f t="array" ref="P15">SUM(_xlfn._xlws.FILTER(LTP_Formulas!S:S,LTP_Formulas!$A:$A=LTP_Aggregated!O15,0))</f>
        <v>0</v>
      </c>
      <c r="Q15" cm="1">
        <f t="array" ref="Q15">SUM(_xlfn._xlws.FILTER(LTP_Formulas!T:T,LTP_Formulas!$A:$A=LTP_Aggregated!P15,0))</f>
        <v>0</v>
      </c>
      <c r="R15" cm="1">
        <f t="array" ref="R15">SUM(_xlfn._xlws.FILTER(LTP_Formulas!U:U,LTP_Formulas!$A:$A=LTP_Aggregated!Q15,0))</f>
        <v>0</v>
      </c>
      <c r="S15" cm="1">
        <f t="array" ref="S15">SUM(_xlfn._xlws.FILTER(LTP_Formulas!V:V,LTP_Formulas!$A:$A=LTP_Aggregated!R15,0))</f>
        <v>0</v>
      </c>
      <c r="T15" cm="1">
        <f t="array" ref="T15">SUM(_xlfn._xlws.FILTER(LTP_Formulas!W:W,LTP_Formulas!$A:$A=LTP_Aggregated!S15,0))</f>
        <v>0</v>
      </c>
      <c r="U15" cm="1">
        <f t="array" ref="U15">SUM(_xlfn._xlws.FILTER(LTP_Formulas!X:X,LTP_Formulas!$A:$A=LTP_Aggregated!T15,0))</f>
        <v>0</v>
      </c>
      <c r="V15" cm="1">
        <f t="array" ref="V15">SUM(_xlfn._xlws.FILTER(LTP_Formulas!Y:Y,LTP_Formulas!$A:$A=LTP_Aggregated!U15,0))</f>
        <v>0</v>
      </c>
      <c r="W15" cm="1">
        <f t="array" ref="W15">SUM(_xlfn._xlws.FILTER(LTP_Formulas!Z:Z,LTP_Formulas!$A:$A=LTP_Aggregated!V15,0))</f>
        <v>0</v>
      </c>
      <c r="X15" cm="1">
        <f t="array" ref="X15">SUM(_xlfn._xlws.FILTER(LTP_Formulas!AA:AA,LTP_Formulas!$A:$A=LTP_Aggregated!W15,0))</f>
        <v>0</v>
      </c>
      <c r="Y15" cm="1">
        <f t="array" ref="Y15">SUM(_xlfn._xlws.FILTER(LTP_Formulas!AB:AB,LTP_Formulas!$A:$A=LTP_Aggregated!X15,0))</f>
        <v>0</v>
      </c>
      <c r="Z15" cm="1">
        <f t="array" ref="Z15">SUM(_xlfn._xlws.FILTER(LTP_Formulas!AC:AC,LTP_Formulas!$A:$A=LTP_Aggregated!Y15,0))</f>
        <v>0</v>
      </c>
      <c r="AA15" cm="1">
        <f t="array" ref="AA15">SUM(_xlfn._xlws.FILTER(LTP_Formulas!AD:AD,LTP_Formulas!$A:$A=LTP_Aggregated!Z15,0))</f>
        <v>0</v>
      </c>
      <c r="AB15" cm="1">
        <f t="array" ref="AB15">SUM(_xlfn._xlws.FILTER(LTP_Formulas!AE:AE,LTP_Formulas!$A:$A=LTP_Aggregated!AA15,0))</f>
        <v>0</v>
      </c>
      <c r="AC15" cm="1">
        <f t="array" ref="AC15">SUM(_xlfn._xlws.FILTER(LTP_Formulas!AF:AF,LTP_Formulas!$A:$A=LTP_Aggregated!AB15,0))</f>
        <v>0</v>
      </c>
      <c r="AD15" cm="1">
        <f t="array" ref="AD15">SUM(_xlfn._xlws.FILTER(LTP_Formulas!AG:AG,LTP_Formulas!$A:$A=LTP_Aggregated!AC15,0))</f>
        <v>0</v>
      </c>
      <c r="AE15" cm="1">
        <f t="array" ref="AE15">SUM(_xlfn._xlws.FILTER(LTP_Formulas!AH:AH,LTP_Formulas!$A:$A=LTP_Aggregated!AD15,0))</f>
        <v>0</v>
      </c>
      <c r="AF15" cm="1">
        <f t="array" ref="AF15">SUM(_xlfn._xlws.FILTER(LTP_Formulas!AI:AI,LTP_Formulas!$A:$A=LTP_Aggregated!AE15,0))</f>
        <v>0</v>
      </c>
      <c r="AG15" cm="1">
        <f t="array" ref="AG15">SUM(_xlfn._xlws.FILTER(LTP_Formulas!AJ:AJ,LTP_Formulas!$A:$A=LTP_Aggregated!AF15,0))</f>
        <v>0</v>
      </c>
      <c r="AH15" cm="1">
        <f t="array" ref="AH15">SUM(_xlfn._xlws.FILTER(LTP_Formulas!AK:AK,LTP_Formulas!$A:$A=LTP_Aggregated!AG15,0))</f>
        <v>0</v>
      </c>
      <c r="AI15" cm="1">
        <f t="array" ref="AI15">SUM(_xlfn._xlws.FILTER(LTP_Formulas!AL:AL,LTP_Formulas!$A:$A=LTP_Aggregated!AH15,0))</f>
        <v>0</v>
      </c>
      <c r="AJ15" cm="1">
        <f t="array" ref="AJ15">SUM(_xlfn._xlws.FILTER(LTP_Formulas!AM:AM,LTP_Formulas!$A:$A=LTP_Aggregated!AI15,0))</f>
        <v>0</v>
      </c>
      <c r="AK15" cm="1">
        <f t="array" ref="AK15">SUM(_xlfn._xlws.FILTER(LTP_Formulas!AN:AN,LTP_Formulas!$A:$A=LTP_Aggregated!AJ15,0))</f>
        <v>0</v>
      </c>
      <c r="AL15" cm="1">
        <f t="array" ref="AL15">SUM(_xlfn._xlws.FILTER(LTP_Formulas!AO:AO,LTP_Formulas!$A:$A=LTP_Aggregated!AK15,0))</f>
        <v>0</v>
      </c>
      <c r="AM15" cm="1">
        <f t="array" ref="AM15">SUM(_xlfn._xlws.FILTER(LTP_Formulas!AP:AP,LTP_Formulas!$A:$A=LTP_Aggregated!AL15,0))</f>
        <v>0</v>
      </c>
      <c r="AN15" cm="1">
        <f t="array" ref="AN15">SUM(_xlfn._xlws.FILTER(LTP_Formulas!AQ:AQ,LTP_Formulas!$A:$A=LTP_Aggregated!AM15,0))</f>
        <v>0</v>
      </c>
      <c r="AO15" cm="1">
        <f t="array" ref="AO15">SUM(_xlfn._xlws.FILTER(LTP_Formulas!AR:AR,LTP_Formulas!$A:$A=LTP_Aggregated!AN15,0))</f>
        <v>0</v>
      </c>
      <c r="AP15" cm="1">
        <f t="array" ref="AP15">SUM(_xlfn._xlws.FILTER(LTP_Formulas!AS:AS,LTP_Formulas!$A:$A=LTP_Aggregated!AO15,0))</f>
        <v>0</v>
      </c>
      <c r="AQ15" cm="1">
        <f t="array" ref="AQ15">SUM(_xlfn._xlws.FILTER(LTP_Formulas!AT:AT,LTP_Formulas!$A:$A=LTP_Aggregated!AP15,0))</f>
        <v>0</v>
      </c>
      <c r="AR15" cm="1">
        <f t="array" ref="AR15">SUM(_xlfn._xlws.FILTER(LTP_Formulas!AU:AU,LTP_Formulas!$A:$A=LTP_Aggregated!AQ15,0))</f>
        <v>0</v>
      </c>
      <c r="AS15" cm="1">
        <f t="array" ref="AS15">SUM(_xlfn._xlws.FILTER(LTP_Formulas!AV:AV,LTP_Formulas!$A:$A=LTP_Aggregated!AR15,0))</f>
        <v>0</v>
      </c>
      <c r="AT15" cm="1">
        <f t="array" ref="AT15">SUM(_xlfn._xlws.FILTER(LTP_Formulas!AW:AW,LTP_Formulas!$A:$A=LTP_Aggregated!AS15,0))</f>
        <v>0</v>
      </c>
      <c r="AU15" cm="1">
        <f t="array" ref="AU15">SUM(_xlfn._xlws.FILTER(LTP_Formulas!AX:AX,LTP_Formulas!$A:$A=LTP_Aggregated!AT15,0))</f>
        <v>0</v>
      </c>
      <c r="AV15" cm="1">
        <f t="array" ref="AV15">SUM(_xlfn._xlws.FILTER(LTP_Formulas!AY:AY,LTP_Formulas!$A:$A=LTP_Aggregated!AU15,0))</f>
        <v>0</v>
      </c>
      <c r="AW15" cm="1">
        <f t="array" ref="AW15">SUM(_xlfn._xlws.FILTER(LTP_Formulas!AZ:AZ,LTP_Formulas!$A:$A=LTP_Aggregated!AV15,0))</f>
        <v>0</v>
      </c>
      <c r="AX15" cm="1">
        <f t="array" ref="AX15">SUM(_xlfn._xlws.FILTER(LTP_Formulas!BA:BA,LTP_Formulas!$A:$A=LTP_Aggregated!AW15,0))</f>
        <v>0</v>
      </c>
    </row>
    <row r="16" spans="1:50">
      <c r="A16" t="str">
        <v>L_FG</v>
      </c>
      <c r="B16" cm="1">
        <f t="array" ref="B16">SUM(_xlfn._xlws.FILTER(LTP_Formulas!E:E,LTP_Formulas!$A:$A=LTP_Aggregated!A16,0))</f>
        <v>254</v>
      </c>
      <c r="C16" cm="1">
        <f t="array" ref="C16">SUM(_xlfn._xlws.FILTER(LTP_Formulas!F:F,LTP_Formulas!$A:$A=LTP_Aggregated!B16,0))</f>
        <v>0</v>
      </c>
      <c r="D16" cm="1">
        <f t="array" ref="D16">SUM(_xlfn._xlws.FILTER(LTP_Formulas!G:G,LTP_Formulas!$A:$A=LTP_Aggregated!C16,0))</f>
        <v>0</v>
      </c>
      <c r="E16" cm="1">
        <f t="array" ref="E16">SUM(_xlfn._xlws.FILTER(LTP_Formulas!H:H,LTP_Formulas!$A:$A=LTP_Aggregated!D16,0))</f>
        <v>0</v>
      </c>
      <c r="F16" cm="1">
        <f t="array" ref="F16">SUM(_xlfn._xlws.FILTER(LTP_Formulas!I:I,LTP_Formulas!$A:$A=LTP_Aggregated!E16,0))</f>
        <v>0</v>
      </c>
      <c r="G16" cm="1">
        <f t="array" ref="G16">SUM(_xlfn._xlws.FILTER(LTP_Formulas!J:J,LTP_Formulas!$A:$A=LTP_Aggregated!F16,0))</f>
        <v>0</v>
      </c>
      <c r="H16" cm="1">
        <f t="array" ref="H16">SUM(_xlfn._xlws.FILTER(LTP_Formulas!K:K,LTP_Formulas!$A:$A=LTP_Aggregated!G16,0))</f>
        <v>0</v>
      </c>
      <c r="I16" cm="1">
        <f t="array" ref="I16">SUM(_xlfn._xlws.FILTER(LTP_Formulas!L:L,LTP_Formulas!$A:$A=LTP_Aggregated!H16,0))</f>
        <v>0</v>
      </c>
      <c r="J16" cm="1">
        <f t="array" ref="J16">SUM(_xlfn._xlws.FILTER(LTP_Formulas!M:M,LTP_Formulas!$A:$A=LTP_Aggregated!I16,0))</f>
        <v>0</v>
      </c>
      <c r="K16" cm="1">
        <f t="array" ref="K16">SUM(_xlfn._xlws.FILTER(LTP_Formulas!N:N,LTP_Formulas!$A:$A=LTP_Aggregated!J16,0))</f>
        <v>0</v>
      </c>
      <c r="L16" cm="1">
        <f t="array" ref="L16">SUM(_xlfn._xlws.FILTER(LTP_Formulas!O:O,LTP_Formulas!$A:$A=LTP_Aggregated!K16,0))</f>
        <v>0</v>
      </c>
      <c r="M16" cm="1">
        <f t="array" ref="M16">SUM(_xlfn._xlws.FILTER(LTP_Formulas!P:P,LTP_Formulas!$A:$A=LTP_Aggregated!L16,0))</f>
        <v>0</v>
      </c>
      <c r="N16" cm="1">
        <f t="array" ref="N16">SUM(_xlfn._xlws.FILTER(LTP_Formulas!Q:Q,LTP_Formulas!$A:$A=LTP_Aggregated!M16,0))</f>
        <v>0</v>
      </c>
      <c r="O16" cm="1">
        <f t="array" ref="O16">SUM(_xlfn._xlws.FILTER(LTP_Formulas!R:R,LTP_Formulas!$A:$A=LTP_Aggregated!N16,0))</f>
        <v>0</v>
      </c>
      <c r="P16" cm="1">
        <f t="array" ref="P16">SUM(_xlfn._xlws.FILTER(LTP_Formulas!S:S,LTP_Formulas!$A:$A=LTP_Aggregated!O16,0))</f>
        <v>0</v>
      </c>
      <c r="Q16" cm="1">
        <f t="array" ref="Q16">SUM(_xlfn._xlws.FILTER(LTP_Formulas!T:T,LTP_Formulas!$A:$A=LTP_Aggregated!P16,0))</f>
        <v>0</v>
      </c>
      <c r="R16" cm="1">
        <f t="array" ref="R16">SUM(_xlfn._xlws.FILTER(LTP_Formulas!U:U,LTP_Formulas!$A:$A=LTP_Aggregated!Q16,0))</f>
        <v>0</v>
      </c>
      <c r="S16" cm="1">
        <f t="array" ref="S16">SUM(_xlfn._xlws.FILTER(LTP_Formulas!V:V,LTP_Formulas!$A:$A=LTP_Aggregated!R16,0))</f>
        <v>0</v>
      </c>
      <c r="T16" cm="1">
        <f t="array" ref="T16">SUM(_xlfn._xlws.FILTER(LTP_Formulas!W:W,LTP_Formulas!$A:$A=LTP_Aggregated!S16,0))</f>
        <v>0</v>
      </c>
      <c r="U16" cm="1">
        <f t="array" ref="U16">SUM(_xlfn._xlws.FILTER(LTP_Formulas!X:X,LTP_Formulas!$A:$A=LTP_Aggregated!T16,0))</f>
        <v>0</v>
      </c>
      <c r="V16" cm="1">
        <f t="array" ref="V16">SUM(_xlfn._xlws.FILTER(LTP_Formulas!Y:Y,LTP_Formulas!$A:$A=LTP_Aggregated!U16,0))</f>
        <v>0</v>
      </c>
      <c r="W16" cm="1">
        <f t="array" ref="W16">SUM(_xlfn._xlws.FILTER(LTP_Formulas!Z:Z,LTP_Formulas!$A:$A=LTP_Aggregated!V16,0))</f>
        <v>0</v>
      </c>
      <c r="X16" cm="1">
        <f t="array" ref="X16">SUM(_xlfn._xlws.FILTER(LTP_Formulas!AA:AA,LTP_Formulas!$A:$A=LTP_Aggregated!W16,0))</f>
        <v>0</v>
      </c>
      <c r="Y16" cm="1">
        <f t="array" ref="Y16">SUM(_xlfn._xlws.FILTER(LTP_Formulas!AB:AB,LTP_Formulas!$A:$A=LTP_Aggregated!X16,0))</f>
        <v>0</v>
      </c>
      <c r="Z16" cm="1">
        <f t="array" ref="Z16">SUM(_xlfn._xlws.FILTER(LTP_Formulas!AC:AC,LTP_Formulas!$A:$A=LTP_Aggregated!Y16,0))</f>
        <v>0</v>
      </c>
      <c r="AA16" cm="1">
        <f t="array" ref="AA16">SUM(_xlfn._xlws.FILTER(LTP_Formulas!AD:AD,LTP_Formulas!$A:$A=LTP_Aggregated!Z16,0))</f>
        <v>0</v>
      </c>
      <c r="AB16" cm="1">
        <f t="array" ref="AB16">SUM(_xlfn._xlws.FILTER(LTP_Formulas!AE:AE,LTP_Formulas!$A:$A=LTP_Aggregated!AA16,0))</f>
        <v>0</v>
      </c>
      <c r="AC16" cm="1">
        <f t="array" ref="AC16">SUM(_xlfn._xlws.FILTER(LTP_Formulas!AF:AF,LTP_Formulas!$A:$A=LTP_Aggregated!AB16,0))</f>
        <v>0</v>
      </c>
      <c r="AD16" cm="1">
        <f t="array" ref="AD16">SUM(_xlfn._xlws.FILTER(LTP_Formulas!AG:AG,LTP_Formulas!$A:$A=LTP_Aggregated!AC16,0))</f>
        <v>0</v>
      </c>
      <c r="AE16" cm="1">
        <f t="array" ref="AE16">SUM(_xlfn._xlws.FILTER(LTP_Formulas!AH:AH,LTP_Formulas!$A:$A=LTP_Aggregated!AD16,0))</f>
        <v>0</v>
      </c>
      <c r="AF16" cm="1">
        <f t="array" ref="AF16">SUM(_xlfn._xlws.FILTER(LTP_Formulas!AI:AI,LTP_Formulas!$A:$A=LTP_Aggregated!AE16,0))</f>
        <v>0</v>
      </c>
      <c r="AG16" cm="1">
        <f t="array" ref="AG16">SUM(_xlfn._xlws.FILTER(LTP_Formulas!AJ:AJ,LTP_Formulas!$A:$A=LTP_Aggregated!AF16,0))</f>
        <v>0</v>
      </c>
      <c r="AH16" cm="1">
        <f t="array" ref="AH16">SUM(_xlfn._xlws.FILTER(LTP_Formulas!AK:AK,LTP_Formulas!$A:$A=LTP_Aggregated!AG16,0))</f>
        <v>0</v>
      </c>
      <c r="AI16" cm="1">
        <f t="array" ref="AI16">SUM(_xlfn._xlws.FILTER(LTP_Formulas!AL:AL,LTP_Formulas!$A:$A=LTP_Aggregated!AH16,0))</f>
        <v>0</v>
      </c>
      <c r="AJ16" cm="1">
        <f t="array" ref="AJ16">SUM(_xlfn._xlws.FILTER(LTP_Formulas!AM:AM,LTP_Formulas!$A:$A=LTP_Aggregated!AI16,0))</f>
        <v>0</v>
      </c>
      <c r="AK16" cm="1">
        <f t="array" ref="AK16">SUM(_xlfn._xlws.FILTER(LTP_Formulas!AN:AN,LTP_Formulas!$A:$A=LTP_Aggregated!AJ16,0))</f>
        <v>0</v>
      </c>
      <c r="AL16" cm="1">
        <f t="array" ref="AL16">SUM(_xlfn._xlws.FILTER(LTP_Formulas!AO:AO,LTP_Formulas!$A:$A=LTP_Aggregated!AK16,0))</f>
        <v>0</v>
      </c>
      <c r="AM16" cm="1">
        <f t="array" ref="AM16">SUM(_xlfn._xlws.FILTER(LTP_Formulas!AP:AP,LTP_Formulas!$A:$A=LTP_Aggregated!AL16,0))</f>
        <v>0</v>
      </c>
      <c r="AN16" cm="1">
        <f t="array" ref="AN16">SUM(_xlfn._xlws.FILTER(LTP_Formulas!AQ:AQ,LTP_Formulas!$A:$A=LTP_Aggregated!AM16,0))</f>
        <v>0</v>
      </c>
      <c r="AO16" cm="1">
        <f t="array" ref="AO16">SUM(_xlfn._xlws.FILTER(LTP_Formulas!AR:AR,LTP_Formulas!$A:$A=LTP_Aggregated!AN16,0))</f>
        <v>0</v>
      </c>
      <c r="AP16" cm="1">
        <f t="array" ref="AP16">SUM(_xlfn._xlws.FILTER(LTP_Formulas!AS:AS,LTP_Formulas!$A:$A=LTP_Aggregated!AO16,0))</f>
        <v>0</v>
      </c>
      <c r="AQ16" cm="1">
        <f t="array" ref="AQ16">SUM(_xlfn._xlws.FILTER(LTP_Formulas!AT:AT,LTP_Formulas!$A:$A=LTP_Aggregated!AP16,0))</f>
        <v>0</v>
      </c>
      <c r="AR16" cm="1">
        <f t="array" ref="AR16">SUM(_xlfn._xlws.FILTER(LTP_Formulas!AU:AU,LTP_Formulas!$A:$A=LTP_Aggregated!AQ16,0))</f>
        <v>0</v>
      </c>
      <c r="AS16" cm="1">
        <f t="array" ref="AS16">SUM(_xlfn._xlws.FILTER(LTP_Formulas!AV:AV,LTP_Formulas!$A:$A=LTP_Aggregated!AR16,0))</f>
        <v>0</v>
      </c>
      <c r="AT16" cm="1">
        <f t="array" ref="AT16">SUM(_xlfn._xlws.FILTER(LTP_Formulas!AW:AW,LTP_Formulas!$A:$A=LTP_Aggregated!AS16,0))</f>
        <v>0</v>
      </c>
      <c r="AU16" cm="1">
        <f t="array" ref="AU16">SUM(_xlfn._xlws.FILTER(LTP_Formulas!AX:AX,LTP_Formulas!$A:$A=LTP_Aggregated!AT16,0))</f>
        <v>0</v>
      </c>
      <c r="AV16" cm="1">
        <f t="array" ref="AV16">SUM(_xlfn._xlws.FILTER(LTP_Formulas!AY:AY,LTP_Formulas!$A:$A=LTP_Aggregated!AU16,0))</f>
        <v>0</v>
      </c>
      <c r="AW16" cm="1">
        <f t="array" ref="AW16">SUM(_xlfn._xlws.FILTER(LTP_Formulas!AZ:AZ,LTP_Formulas!$A:$A=LTP_Aggregated!AV16,0))</f>
        <v>0</v>
      </c>
      <c r="AX16" cm="1">
        <f t="array" ref="AX16">SUM(_xlfn._xlws.FILTER(LTP_Formulas!BA:BA,LTP_Formulas!$A:$A=LTP_Aggregated!AW16,0))</f>
        <v>0</v>
      </c>
    </row>
    <row r="17" spans="1:50">
      <c r="A17" t="str">
        <v>J_FG</v>
      </c>
      <c r="B17" cm="1">
        <f t="array" ref="B17">SUM(_xlfn._xlws.FILTER(LTP_Formulas!E:E,LTP_Formulas!$A:$A=LTP_Aggregated!A17,0))</f>
        <v>495</v>
      </c>
      <c r="C17" cm="1">
        <f t="array" ref="C17">SUM(_xlfn._xlws.FILTER(LTP_Formulas!F:F,LTP_Formulas!$A:$A=LTP_Aggregated!B17,0))</f>
        <v>0</v>
      </c>
      <c r="D17" cm="1">
        <f t="array" ref="D17">SUM(_xlfn._xlws.FILTER(LTP_Formulas!G:G,LTP_Formulas!$A:$A=LTP_Aggregated!C17,0))</f>
        <v>0</v>
      </c>
      <c r="E17" cm="1">
        <f t="array" ref="E17">SUM(_xlfn._xlws.FILTER(LTP_Formulas!H:H,LTP_Formulas!$A:$A=LTP_Aggregated!D17,0))</f>
        <v>0</v>
      </c>
      <c r="F17" cm="1">
        <f t="array" ref="F17">SUM(_xlfn._xlws.FILTER(LTP_Formulas!I:I,LTP_Formulas!$A:$A=LTP_Aggregated!E17,0))</f>
        <v>0</v>
      </c>
      <c r="G17" cm="1">
        <f t="array" ref="G17">SUM(_xlfn._xlws.FILTER(LTP_Formulas!J:J,LTP_Formulas!$A:$A=LTP_Aggregated!F17,0))</f>
        <v>0</v>
      </c>
      <c r="H17" cm="1">
        <f t="array" ref="H17">SUM(_xlfn._xlws.FILTER(LTP_Formulas!K:K,LTP_Formulas!$A:$A=LTP_Aggregated!G17,0))</f>
        <v>0</v>
      </c>
      <c r="I17" cm="1">
        <f t="array" ref="I17">SUM(_xlfn._xlws.FILTER(LTP_Formulas!L:L,LTP_Formulas!$A:$A=LTP_Aggregated!H17,0))</f>
        <v>0</v>
      </c>
      <c r="J17" cm="1">
        <f t="array" ref="J17">SUM(_xlfn._xlws.FILTER(LTP_Formulas!M:M,LTP_Formulas!$A:$A=LTP_Aggregated!I17,0))</f>
        <v>0</v>
      </c>
      <c r="K17" cm="1">
        <f t="array" ref="K17">SUM(_xlfn._xlws.FILTER(LTP_Formulas!N:N,LTP_Formulas!$A:$A=LTP_Aggregated!J17,0))</f>
        <v>0</v>
      </c>
      <c r="L17" cm="1">
        <f t="array" ref="L17">SUM(_xlfn._xlws.FILTER(LTP_Formulas!O:O,LTP_Formulas!$A:$A=LTP_Aggregated!K17,0))</f>
        <v>0</v>
      </c>
      <c r="M17" cm="1">
        <f t="array" ref="M17">SUM(_xlfn._xlws.FILTER(LTP_Formulas!P:P,LTP_Formulas!$A:$A=LTP_Aggregated!L17,0))</f>
        <v>0</v>
      </c>
      <c r="N17" cm="1">
        <f t="array" ref="N17">SUM(_xlfn._xlws.FILTER(LTP_Formulas!Q:Q,LTP_Formulas!$A:$A=LTP_Aggregated!M17,0))</f>
        <v>0</v>
      </c>
      <c r="O17" cm="1">
        <f t="array" ref="O17">SUM(_xlfn._xlws.FILTER(LTP_Formulas!R:R,LTP_Formulas!$A:$A=LTP_Aggregated!N17,0))</f>
        <v>0</v>
      </c>
      <c r="P17" cm="1">
        <f t="array" ref="P17">SUM(_xlfn._xlws.FILTER(LTP_Formulas!S:S,LTP_Formulas!$A:$A=LTP_Aggregated!O17,0))</f>
        <v>0</v>
      </c>
      <c r="Q17" cm="1">
        <f t="array" ref="Q17">SUM(_xlfn._xlws.FILTER(LTP_Formulas!T:T,LTP_Formulas!$A:$A=LTP_Aggregated!P17,0))</f>
        <v>0</v>
      </c>
      <c r="R17" cm="1">
        <f t="array" ref="R17">SUM(_xlfn._xlws.FILTER(LTP_Formulas!U:U,LTP_Formulas!$A:$A=LTP_Aggregated!Q17,0))</f>
        <v>0</v>
      </c>
      <c r="S17" cm="1">
        <f t="array" ref="S17">SUM(_xlfn._xlws.FILTER(LTP_Formulas!V:V,LTP_Formulas!$A:$A=LTP_Aggregated!R17,0))</f>
        <v>0</v>
      </c>
      <c r="T17" cm="1">
        <f t="array" ref="T17">SUM(_xlfn._xlws.FILTER(LTP_Formulas!W:W,LTP_Formulas!$A:$A=LTP_Aggregated!S17,0))</f>
        <v>0</v>
      </c>
      <c r="U17" cm="1">
        <f t="array" ref="U17">SUM(_xlfn._xlws.FILTER(LTP_Formulas!X:X,LTP_Formulas!$A:$A=LTP_Aggregated!T17,0))</f>
        <v>0</v>
      </c>
      <c r="V17" cm="1">
        <f t="array" ref="V17">SUM(_xlfn._xlws.FILTER(LTP_Formulas!Y:Y,LTP_Formulas!$A:$A=LTP_Aggregated!U17,0))</f>
        <v>0</v>
      </c>
      <c r="W17" cm="1">
        <f t="array" ref="W17">SUM(_xlfn._xlws.FILTER(LTP_Formulas!Z:Z,LTP_Formulas!$A:$A=LTP_Aggregated!V17,0))</f>
        <v>0</v>
      </c>
      <c r="X17" cm="1">
        <f t="array" ref="X17">SUM(_xlfn._xlws.FILTER(LTP_Formulas!AA:AA,LTP_Formulas!$A:$A=LTP_Aggregated!W17,0))</f>
        <v>0</v>
      </c>
      <c r="Y17" cm="1">
        <f t="array" ref="Y17">SUM(_xlfn._xlws.FILTER(LTP_Formulas!AB:AB,LTP_Formulas!$A:$A=LTP_Aggregated!X17,0))</f>
        <v>0</v>
      </c>
      <c r="Z17" cm="1">
        <f t="array" ref="Z17">SUM(_xlfn._xlws.FILTER(LTP_Formulas!AC:AC,LTP_Formulas!$A:$A=LTP_Aggregated!Y17,0))</f>
        <v>0</v>
      </c>
      <c r="AA17" cm="1">
        <f t="array" ref="AA17">SUM(_xlfn._xlws.FILTER(LTP_Formulas!AD:AD,LTP_Formulas!$A:$A=LTP_Aggregated!Z17,0))</f>
        <v>0</v>
      </c>
      <c r="AB17" cm="1">
        <f t="array" ref="AB17">SUM(_xlfn._xlws.FILTER(LTP_Formulas!AE:AE,LTP_Formulas!$A:$A=LTP_Aggregated!AA17,0))</f>
        <v>0</v>
      </c>
      <c r="AC17" cm="1">
        <f t="array" ref="AC17">SUM(_xlfn._xlws.FILTER(LTP_Formulas!AF:AF,LTP_Formulas!$A:$A=LTP_Aggregated!AB17,0))</f>
        <v>0</v>
      </c>
      <c r="AD17" cm="1">
        <f t="array" ref="AD17">SUM(_xlfn._xlws.FILTER(LTP_Formulas!AG:AG,LTP_Formulas!$A:$A=LTP_Aggregated!AC17,0))</f>
        <v>0</v>
      </c>
      <c r="AE17" cm="1">
        <f t="array" ref="AE17">SUM(_xlfn._xlws.FILTER(LTP_Formulas!AH:AH,LTP_Formulas!$A:$A=LTP_Aggregated!AD17,0))</f>
        <v>0</v>
      </c>
      <c r="AF17" cm="1">
        <f t="array" ref="AF17">SUM(_xlfn._xlws.FILTER(LTP_Formulas!AI:AI,LTP_Formulas!$A:$A=LTP_Aggregated!AE17,0))</f>
        <v>0</v>
      </c>
      <c r="AG17" cm="1">
        <f t="array" ref="AG17">SUM(_xlfn._xlws.FILTER(LTP_Formulas!AJ:AJ,LTP_Formulas!$A:$A=LTP_Aggregated!AF17,0))</f>
        <v>0</v>
      </c>
      <c r="AH17" cm="1">
        <f t="array" ref="AH17">SUM(_xlfn._xlws.FILTER(LTP_Formulas!AK:AK,LTP_Formulas!$A:$A=LTP_Aggregated!AG17,0))</f>
        <v>0</v>
      </c>
      <c r="AI17" cm="1">
        <f t="array" ref="AI17">SUM(_xlfn._xlws.FILTER(LTP_Formulas!AL:AL,LTP_Formulas!$A:$A=LTP_Aggregated!AH17,0))</f>
        <v>0</v>
      </c>
      <c r="AJ17" cm="1">
        <f t="array" ref="AJ17">SUM(_xlfn._xlws.FILTER(LTP_Formulas!AM:AM,LTP_Formulas!$A:$A=LTP_Aggregated!AI17,0))</f>
        <v>0</v>
      </c>
      <c r="AK17" cm="1">
        <f t="array" ref="AK17">SUM(_xlfn._xlws.FILTER(LTP_Formulas!AN:AN,LTP_Formulas!$A:$A=LTP_Aggregated!AJ17,0))</f>
        <v>0</v>
      </c>
      <c r="AL17" cm="1">
        <f t="array" ref="AL17">SUM(_xlfn._xlws.FILTER(LTP_Formulas!AO:AO,LTP_Formulas!$A:$A=LTP_Aggregated!AK17,0))</f>
        <v>0</v>
      </c>
      <c r="AM17" cm="1">
        <f t="array" ref="AM17">SUM(_xlfn._xlws.FILTER(LTP_Formulas!AP:AP,LTP_Formulas!$A:$A=LTP_Aggregated!AL17,0))</f>
        <v>0</v>
      </c>
      <c r="AN17" cm="1">
        <f t="array" ref="AN17">SUM(_xlfn._xlws.FILTER(LTP_Formulas!AQ:AQ,LTP_Formulas!$A:$A=LTP_Aggregated!AM17,0))</f>
        <v>0</v>
      </c>
      <c r="AO17" cm="1">
        <f t="array" ref="AO17">SUM(_xlfn._xlws.FILTER(LTP_Formulas!AR:AR,LTP_Formulas!$A:$A=LTP_Aggregated!AN17,0))</f>
        <v>0</v>
      </c>
      <c r="AP17" cm="1">
        <f t="array" ref="AP17">SUM(_xlfn._xlws.FILTER(LTP_Formulas!AS:AS,LTP_Formulas!$A:$A=LTP_Aggregated!AO17,0))</f>
        <v>0</v>
      </c>
      <c r="AQ17" cm="1">
        <f t="array" ref="AQ17">SUM(_xlfn._xlws.FILTER(LTP_Formulas!AT:AT,LTP_Formulas!$A:$A=LTP_Aggregated!AP17,0))</f>
        <v>0</v>
      </c>
      <c r="AR17" cm="1">
        <f t="array" ref="AR17">SUM(_xlfn._xlws.FILTER(LTP_Formulas!AU:AU,LTP_Formulas!$A:$A=LTP_Aggregated!AQ17,0))</f>
        <v>0</v>
      </c>
      <c r="AS17" cm="1">
        <f t="array" ref="AS17">SUM(_xlfn._xlws.FILTER(LTP_Formulas!AV:AV,LTP_Formulas!$A:$A=LTP_Aggregated!AR17,0))</f>
        <v>0</v>
      </c>
      <c r="AT17" cm="1">
        <f t="array" ref="AT17">SUM(_xlfn._xlws.FILTER(LTP_Formulas!AW:AW,LTP_Formulas!$A:$A=LTP_Aggregated!AS17,0))</f>
        <v>0</v>
      </c>
      <c r="AU17" cm="1">
        <f t="array" ref="AU17">SUM(_xlfn._xlws.FILTER(LTP_Formulas!AX:AX,LTP_Formulas!$A:$A=LTP_Aggregated!AT17,0))</f>
        <v>0</v>
      </c>
      <c r="AV17" cm="1">
        <f t="array" ref="AV17">SUM(_xlfn._xlws.FILTER(LTP_Formulas!AY:AY,LTP_Formulas!$A:$A=LTP_Aggregated!AU17,0))</f>
        <v>0</v>
      </c>
      <c r="AW17" cm="1">
        <f t="array" ref="AW17">SUM(_xlfn._xlws.FILTER(LTP_Formulas!AZ:AZ,LTP_Formulas!$A:$A=LTP_Aggregated!AV17,0))</f>
        <v>0</v>
      </c>
      <c r="AX17" cm="1">
        <f t="array" ref="AX17">SUM(_xlfn._xlws.FILTER(LTP_Formulas!BA:BA,LTP_Formulas!$A:$A=LTP_Aggregated!AW17,0))</f>
        <v>0</v>
      </c>
    </row>
    <row r="18" spans="1:50">
      <c r="A18" t="str">
        <v>M_FG</v>
      </c>
      <c r="B18" cm="1">
        <f t="array" ref="B18">SUM(_xlfn._xlws.FILTER(LTP_Formulas!E:E,LTP_Formulas!$A:$A=LTP_Aggregated!A18,0))</f>
        <v>24929</v>
      </c>
      <c r="C18" cm="1">
        <f t="array" ref="C18">SUM(_xlfn._xlws.FILTER(LTP_Formulas!F:F,LTP_Formulas!$A:$A=LTP_Aggregated!B18,0))</f>
        <v>0</v>
      </c>
      <c r="D18" cm="1">
        <f t="array" ref="D18">SUM(_xlfn._xlws.FILTER(LTP_Formulas!G:G,LTP_Formulas!$A:$A=LTP_Aggregated!C18,0))</f>
        <v>0</v>
      </c>
      <c r="E18" cm="1">
        <f t="array" ref="E18">SUM(_xlfn._xlws.FILTER(LTP_Formulas!H:H,LTP_Formulas!$A:$A=LTP_Aggregated!D18,0))</f>
        <v>0</v>
      </c>
      <c r="F18" cm="1">
        <f t="array" ref="F18">SUM(_xlfn._xlws.FILTER(LTP_Formulas!I:I,LTP_Formulas!$A:$A=LTP_Aggregated!E18,0))</f>
        <v>0</v>
      </c>
      <c r="G18" cm="1">
        <f t="array" ref="G18">SUM(_xlfn._xlws.FILTER(LTP_Formulas!J:J,LTP_Formulas!$A:$A=LTP_Aggregated!F18,0))</f>
        <v>0</v>
      </c>
      <c r="H18" cm="1">
        <f t="array" ref="H18">SUM(_xlfn._xlws.FILTER(LTP_Formulas!K:K,LTP_Formulas!$A:$A=LTP_Aggregated!G18,0))</f>
        <v>0</v>
      </c>
      <c r="I18" cm="1">
        <f t="array" ref="I18">SUM(_xlfn._xlws.FILTER(LTP_Formulas!L:L,LTP_Formulas!$A:$A=LTP_Aggregated!H18,0))</f>
        <v>0</v>
      </c>
      <c r="J18" cm="1">
        <f t="array" ref="J18">SUM(_xlfn._xlws.FILTER(LTP_Formulas!M:M,LTP_Formulas!$A:$A=LTP_Aggregated!I18,0))</f>
        <v>0</v>
      </c>
      <c r="K18" cm="1">
        <f t="array" ref="K18">SUM(_xlfn._xlws.FILTER(LTP_Formulas!N:N,LTP_Formulas!$A:$A=LTP_Aggregated!J18,0))</f>
        <v>0</v>
      </c>
      <c r="L18" cm="1">
        <f t="array" ref="L18">SUM(_xlfn._xlws.FILTER(LTP_Formulas!O:O,LTP_Formulas!$A:$A=LTP_Aggregated!K18,0))</f>
        <v>0</v>
      </c>
      <c r="M18" cm="1">
        <f t="array" ref="M18">SUM(_xlfn._xlws.FILTER(LTP_Formulas!P:P,LTP_Formulas!$A:$A=LTP_Aggregated!L18,0))</f>
        <v>0</v>
      </c>
      <c r="N18" cm="1">
        <f t="array" ref="N18">SUM(_xlfn._xlws.FILTER(LTP_Formulas!Q:Q,LTP_Formulas!$A:$A=LTP_Aggregated!M18,0))</f>
        <v>0</v>
      </c>
      <c r="O18" cm="1">
        <f t="array" ref="O18">SUM(_xlfn._xlws.FILTER(LTP_Formulas!R:R,LTP_Formulas!$A:$A=LTP_Aggregated!N18,0))</f>
        <v>0</v>
      </c>
      <c r="P18" cm="1">
        <f t="array" ref="P18">SUM(_xlfn._xlws.FILTER(LTP_Formulas!S:S,LTP_Formulas!$A:$A=LTP_Aggregated!O18,0))</f>
        <v>0</v>
      </c>
      <c r="Q18" cm="1">
        <f t="array" ref="Q18">SUM(_xlfn._xlws.FILTER(LTP_Formulas!T:T,LTP_Formulas!$A:$A=LTP_Aggregated!P18,0))</f>
        <v>0</v>
      </c>
      <c r="R18" cm="1">
        <f t="array" ref="R18">SUM(_xlfn._xlws.FILTER(LTP_Formulas!U:U,LTP_Formulas!$A:$A=LTP_Aggregated!Q18,0))</f>
        <v>0</v>
      </c>
      <c r="S18" cm="1">
        <f t="array" ref="S18">SUM(_xlfn._xlws.FILTER(LTP_Formulas!V:V,LTP_Formulas!$A:$A=LTP_Aggregated!R18,0))</f>
        <v>0</v>
      </c>
      <c r="T18" cm="1">
        <f t="array" ref="T18">SUM(_xlfn._xlws.FILTER(LTP_Formulas!W:W,LTP_Formulas!$A:$A=LTP_Aggregated!S18,0))</f>
        <v>0</v>
      </c>
      <c r="U18" cm="1">
        <f t="array" ref="U18">SUM(_xlfn._xlws.FILTER(LTP_Formulas!X:X,LTP_Formulas!$A:$A=LTP_Aggregated!T18,0))</f>
        <v>0</v>
      </c>
      <c r="V18" cm="1">
        <f t="array" ref="V18">SUM(_xlfn._xlws.FILTER(LTP_Formulas!Y:Y,LTP_Formulas!$A:$A=LTP_Aggregated!U18,0))</f>
        <v>0</v>
      </c>
      <c r="W18" cm="1">
        <f t="array" ref="W18">SUM(_xlfn._xlws.FILTER(LTP_Formulas!Z:Z,LTP_Formulas!$A:$A=LTP_Aggregated!V18,0))</f>
        <v>0</v>
      </c>
      <c r="X18" cm="1">
        <f t="array" ref="X18">SUM(_xlfn._xlws.FILTER(LTP_Formulas!AA:AA,LTP_Formulas!$A:$A=LTP_Aggregated!W18,0))</f>
        <v>0</v>
      </c>
      <c r="Y18" cm="1">
        <f t="array" ref="Y18">SUM(_xlfn._xlws.FILTER(LTP_Formulas!AB:AB,LTP_Formulas!$A:$A=LTP_Aggregated!X18,0))</f>
        <v>0</v>
      </c>
      <c r="Z18" cm="1">
        <f t="array" ref="Z18">SUM(_xlfn._xlws.FILTER(LTP_Formulas!AC:AC,LTP_Formulas!$A:$A=LTP_Aggregated!Y18,0))</f>
        <v>0</v>
      </c>
      <c r="AA18" cm="1">
        <f t="array" ref="AA18">SUM(_xlfn._xlws.FILTER(LTP_Formulas!AD:AD,LTP_Formulas!$A:$A=LTP_Aggregated!Z18,0))</f>
        <v>0</v>
      </c>
      <c r="AB18" cm="1">
        <f t="array" ref="AB18">SUM(_xlfn._xlws.FILTER(LTP_Formulas!AE:AE,LTP_Formulas!$A:$A=LTP_Aggregated!AA18,0))</f>
        <v>0</v>
      </c>
      <c r="AC18" cm="1">
        <f t="array" ref="AC18">SUM(_xlfn._xlws.FILTER(LTP_Formulas!AF:AF,LTP_Formulas!$A:$A=LTP_Aggregated!AB18,0))</f>
        <v>0</v>
      </c>
      <c r="AD18" cm="1">
        <f t="array" ref="AD18">SUM(_xlfn._xlws.FILTER(LTP_Formulas!AG:AG,LTP_Formulas!$A:$A=LTP_Aggregated!AC18,0))</f>
        <v>0</v>
      </c>
      <c r="AE18" cm="1">
        <f t="array" ref="AE18">SUM(_xlfn._xlws.FILTER(LTP_Formulas!AH:AH,LTP_Formulas!$A:$A=LTP_Aggregated!AD18,0))</f>
        <v>0</v>
      </c>
      <c r="AF18" cm="1">
        <f t="array" ref="AF18">SUM(_xlfn._xlws.FILTER(LTP_Formulas!AI:AI,LTP_Formulas!$A:$A=LTP_Aggregated!AE18,0))</f>
        <v>0</v>
      </c>
      <c r="AG18" cm="1">
        <f t="array" ref="AG18">SUM(_xlfn._xlws.FILTER(LTP_Formulas!AJ:AJ,LTP_Formulas!$A:$A=LTP_Aggregated!AF18,0))</f>
        <v>0</v>
      </c>
      <c r="AH18" cm="1">
        <f t="array" ref="AH18">SUM(_xlfn._xlws.FILTER(LTP_Formulas!AK:AK,LTP_Formulas!$A:$A=LTP_Aggregated!AG18,0))</f>
        <v>0</v>
      </c>
      <c r="AI18" cm="1">
        <f t="array" ref="AI18">SUM(_xlfn._xlws.FILTER(LTP_Formulas!AL:AL,LTP_Formulas!$A:$A=LTP_Aggregated!AH18,0))</f>
        <v>0</v>
      </c>
      <c r="AJ18" cm="1">
        <f t="array" ref="AJ18">SUM(_xlfn._xlws.FILTER(LTP_Formulas!AM:AM,LTP_Formulas!$A:$A=LTP_Aggregated!AI18,0))</f>
        <v>0</v>
      </c>
      <c r="AK18" cm="1">
        <f t="array" ref="AK18">SUM(_xlfn._xlws.FILTER(LTP_Formulas!AN:AN,LTP_Formulas!$A:$A=LTP_Aggregated!AJ18,0))</f>
        <v>0</v>
      </c>
      <c r="AL18" cm="1">
        <f t="array" ref="AL18">SUM(_xlfn._xlws.FILTER(LTP_Formulas!AO:AO,LTP_Formulas!$A:$A=LTP_Aggregated!AK18,0))</f>
        <v>0</v>
      </c>
      <c r="AM18" cm="1">
        <f t="array" ref="AM18">SUM(_xlfn._xlws.FILTER(LTP_Formulas!AP:AP,LTP_Formulas!$A:$A=LTP_Aggregated!AL18,0))</f>
        <v>0</v>
      </c>
      <c r="AN18" cm="1">
        <f t="array" ref="AN18">SUM(_xlfn._xlws.FILTER(LTP_Formulas!AQ:AQ,LTP_Formulas!$A:$A=LTP_Aggregated!AM18,0))</f>
        <v>0</v>
      </c>
      <c r="AO18" cm="1">
        <f t="array" ref="AO18">SUM(_xlfn._xlws.FILTER(LTP_Formulas!AR:AR,LTP_Formulas!$A:$A=LTP_Aggregated!AN18,0))</f>
        <v>0</v>
      </c>
      <c r="AP18" cm="1">
        <f t="array" ref="AP18">SUM(_xlfn._xlws.FILTER(LTP_Formulas!AS:AS,LTP_Formulas!$A:$A=LTP_Aggregated!AO18,0))</f>
        <v>0</v>
      </c>
      <c r="AQ18" cm="1">
        <f t="array" ref="AQ18">SUM(_xlfn._xlws.FILTER(LTP_Formulas!AT:AT,LTP_Formulas!$A:$A=LTP_Aggregated!AP18,0))</f>
        <v>0</v>
      </c>
      <c r="AR18" cm="1">
        <f t="array" ref="AR18">SUM(_xlfn._xlws.FILTER(LTP_Formulas!AU:AU,LTP_Formulas!$A:$A=LTP_Aggregated!AQ18,0))</f>
        <v>0</v>
      </c>
      <c r="AS18" cm="1">
        <f t="array" ref="AS18">SUM(_xlfn._xlws.FILTER(LTP_Formulas!AV:AV,LTP_Formulas!$A:$A=LTP_Aggregated!AR18,0))</f>
        <v>0</v>
      </c>
      <c r="AT18" cm="1">
        <f t="array" ref="AT18">SUM(_xlfn._xlws.FILTER(LTP_Formulas!AW:AW,LTP_Formulas!$A:$A=LTP_Aggregated!AS18,0))</f>
        <v>0</v>
      </c>
      <c r="AU18" cm="1">
        <f t="array" ref="AU18">SUM(_xlfn._xlws.FILTER(LTP_Formulas!AX:AX,LTP_Formulas!$A:$A=LTP_Aggregated!AT18,0))</f>
        <v>0</v>
      </c>
      <c r="AV18" cm="1">
        <f t="array" ref="AV18">SUM(_xlfn._xlws.FILTER(LTP_Formulas!AY:AY,LTP_Formulas!$A:$A=LTP_Aggregated!AU18,0))</f>
        <v>0</v>
      </c>
      <c r="AW18" cm="1">
        <f t="array" ref="AW18">SUM(_xlfn._xlws.FILTER(LTP_Formulas!AZ:AZ,LTP_Formulas!$A:$A=LTP_Aggregated!AV18,0))</f>
        <v>0</v>
      </c>
      <c r="AX18" cm="1">
        <f t="array" ref="AX18">SUM(_xlfn._xlws.FILTER(LTP_Formulas!BA:BA,LTP_Formulas!$A:$A=LTP_Aggregated!AW18,0))</f>
        <v>0</v>
      </c>
    </row>
    <row r="19" spans="1:50">
      <c r="A19" t="str">
        <v>N_FG</v>
      </c>
      <c r="B19" cm="1">
        <f t="array" ref="B19">SUM(_xlfn._xlws.FILTER(LTP_Formulas!E:E,LTP_Formulas!$A:$A=LTP_Aggregated!A19,0))</f>
        <v>18030</v>
      </c>
      <c r="C19" cm="1">
        <f t="array" ref="C19">SUM(_xlfn._xlws.FILTER(LTP_Formulas!F:F,LTP_Formulas!$A:$A=LTP_Aggregated!B19,0))</f>
        <v>0</v>
      </c>
      <c r="D19" cm="1">
        <f t="array" ref="D19">SUM(_xlfn._xlws.FILTER(LTP_Formulas!G:G,LTP_Formulas!$A:$A=LTP_Aggregated!C19,0))</f>
        <v>0</v>
      </c>
      <c r="E19" cm="1">
        <f t="array" ref="E19">SUM(_xlfn._xlws.FILTER(LTP_Formulas!H:H,LTP_Formulas!$A:$A=LTP_Aggregated!D19,0))</f>
        <v>0</v>
      </c>
      <c r="F19" cm="1">
        <f t="array" ref="F19">SUM(_xlfn._xlws.FILTER(LTP_Formulas!I:I,LTP_Formulas!$A:$A=LTP_Aggregated!E19,0))</f>
        <v>0</v>
      </c>
      <c r="G19" cm="1">
        <f t="array" ref="G19">SUM(_xlfn._xlws.FILTER(LTP_Formulas!J:J,LTP_Formulas!$A:$A=LTP_Aggregated!F19,0))</f>
        <v>0</v>
      </c>
      <c r="H19" cm="1">
        <f t="array" ref="H19">SUM(_xlfn._xlws.FILTER(LTP_Formulas!K:K,LTP_Formulas!$A:$A=LTP_Aggregated!G19,0))</f>
        <v>0</v>
      </c>
      <c r="I19" cm="1">
        <f t="array" ref="I19">SUM(_xlfn._xlws.FILTER(LTP_Formulas!L:L,LTP_Formulas!$A:$A=LTP_Aggregated!H19,0))</f>
        <v>0</v>
      </c>
      <c r="J19" cm="1">
        <f t="array" ref="J19">SUM(_xlfn._xlws.FILTER(LTP_Formulas!M:M,LTP_Formulas!$A:$A=LTP_Aggregated!I19,0))</f>
        <v>0</v>
      </c>
      <c r="K19" cm="1">
        <f t="array" ref="K19">SUM(_xlfn._xlws.FILTER(LTP_Formulas!N:N,LTP_Formulas!$A:$A=LTP_Aggregated!J19,0))</f>
        <v>0</v>
      </c>
      <c r="L19" cm="1">
        <f t="array" ref="L19">SUM(_xlfn._xlws.FILTER(LTP_Formulas!O:O,LTP_Formulas!$A:$A=LTP_Aggregated!K19,0))</f>
        <v>0</v>
      </c>
      <c r="M19" cm="1">
        <f t="array" ref="M19">SUM(_xlfn._xlws.FILTER(LTP_Formulas!P:P,LTP_Formulas!$A:$A=LTP_Aggregated!L19,0))</f>
        <v>0</v>
      </c>
      <c r="N19" cm="1">
        <f t="array" ref="N19">SUM(_xlfn._xlws.FILTER(LTP_Formulas!Q:Q,LTP_Formulas!$A:$A=LTP_Aggregated!M19,0))</f>
        <v>0</v>
      </c>
      <c r="O19" cm="1">
        <f t="array" ref="O19">SUM(_xlfn._xlws.FILTER(LTP_Formulas!R:R,LTP_Formulas!$A:$A=LTP_Aggregated!N19,0))</f>
        <v>0</v>
      </c>
      <c r="P19" cm="1">
        <f t="array" ref="P19">SUM(_xlfn._xlws.FILTER(LTP_Formulas!S:S,LTP_Formulas!$A:$A=LTP_Aggregated!O19,0))</f>
        <v>0</v>
      </c>
      <c r="Q19" cm="1">
        <f t="array" ref="Q19">SUM(_xlfn._xlws.FILTER(LTP_Formulas!T:T,LTP_Formulas!$A:$A=LTP_Aggregated!P19,0))</f>
        <v>0</v>
      </c>
      <c r="R19" cm="1">
        <f t="array" ref="R19">SUM(_xlfn._xlws.FILTER(LTP_Formulas!U:U,LTP_Formulas!$A:$A=LTP_Aggregated!Q19,0))</f>
        <v>0</v>
      </c>
      <c r="S19" cm="1">
        <f t="array" ref="S19">SUM(_xlfn._xlws.FILTER(LTP_Formulas!V:V,LTP_Formulas!$A:$A=LTP_Aggregated!R19,0))</f>
        <v>0</v>
      </c>
      <c r="T19" cm="1">
        <f t="array" ref="T19">SUM(_xlfn._xlws.FILTER(LTP_Formulas!W:W,LTP_Formulas!$A:$A=LTP_Aggregated!S19,0))</f>
        <v>0</v>
      </c>
      <c r="U19" cm="1">
        <f t="array" ref="U19">SUM(_xlfn._xlws.FILTER(LTP_Formulas!X:X,LTP_Formulas!$A:$A=LTP_Aggregated!T19,0))</f>
        <v>0</v>
      </c>
      <c r="V19" cm="1">
        <f t="array" ref="V19">SUM(_xlfn._xlws.FILTER(LTP_Formulas!Y:Y,LTP_Formulas!$A:$A=LTP_Aggregated!U19,0))</f>
        <v>0</v>
      </c>
      <c r="W19" cm="1">
        <f t="array" ref="W19">SUM(_xlfn._xlws.FILTER(LTP_Formulas!Z:Z,LTP_Formulas!$A:$A=LTP_Aggregated!V19,0))</f>
        <v>0</v>
      </c>
      <c r="X19" cm="1">
        <f t="array" ref="X19">SUM(_xlfn._xlws.FILTER(LTP_Formulas!AA:AA,LTP_Formulas!$A:$A=LTP_Aggregated!W19,0))</f>
        <v>0</v>
      </c>
      <c r="Y19" cm="1">
        <f t="array" ref="Y19">SUM(_xlfn._xlws.FILTER(LTP_Formulas!AB:AB,LTP_Formulas!$A:$A=LTP_Aggregated!X19,0))</f>
        <v>0</v>
      </c>
      <c r="Z19" cm="1">
        <f t="array" ref="Z19">SUM(_xlfn._xlws.FILTER(LTP_Formulas!AC:AC,LTP_Formulas!$A:$A=LTP_Aggregated!Y19,0))</f>
        <v>0</v>
      </c>
      <c r="AA19" cm="1">
        <f t="array" ref="AA19">SUM(_xlfn._xlws.FILTER(LTP_Formulas!AD:AD,LTP_Formulas!$A:$A=LTP_Aggregated!Z19,0))</f>
        <v>0</v>
      </c>
      <c r="AB19" cm="1">
        <f t="array" ref="AB19">SUM(_xlfn._xlws.FILTER(LTP_Formulas!AE:AE,LTP_Formulas!$A:$A=LTP_Aggregated!AA19,0))</f>
        <v>0</v>
      </c>
      <c r="AC19" cm="1">
        <f t="array" ref="AC19">SUM(_xlfn._xlws.FILTER(LTP_Formulas!AF:AF,LTP_Formulas!$A:$A=LTP_Aggregated!AB19,0))</f>
        <v>0</v>
      </c>
      <c r="AD19" cm="1">
        <f t="array" ref="AD19">SUM(_xlfn._xlws.FILTER(LTP_Formulas!AG:AG,LTP_Formulas!$A:$A=LTP_Aggregated!AC19,0))</f>
        <v>0</v>
      </c>
      <c r="AE19" cm="1">
        <f t="array" ref="AE19">SUM(_xlfn._xlws.FILTER(LTP_Formulas!AH:AH,LTP_Formulas!$A:$A=LTP_Aggregated!AD19,0))</f>
        <v>0</v>
      </c>
      <c r="AF19" cm="1">
        <f t="array" ref="AF19">SUM(_xlfn._xlws.FILTER(LTP_Formulas!AI:AI,LTP_Formulas!$A:$A=LTP_Aggregated!AE19,0))</f>
        <v>0</v>
      </c>
      <c r="AG19" cm="1">
        <f t="array" ref="AG19">SUM(_xlfn._xlws.FILTER(LTP_Formulas!AJ:AJ,LTP_Formulas!$A:$A=LTP_Aggregated!AF19,0))</f>
        <v>0</v>
      </c>
      <c r="AH19" cm="1">
        <f t="array" ref="AH19">SUM(_xlfn._xlws.FILTER(LTP_Formulas!AK:AK,LTP_Formulas!$A:$A=LTP_Aggregated!AG19,0))</f>
        <v>0</v>
      </c>
      <c r="AI19" cm="1">
        <f t="array" ref="AI19">SUM(_xlfn._xlws.FILTER(LTP_Formulas!AL:AL,LTP_Formulas!$A:$A=LTP_Aggregated!AH19,0))</f>
        <v>0</v>
      </c>
      <c r="AJ19" cm="1">
        <f t="array" ref="AJ19">SUM(_xlfn._xlws.FILTER(LTP_Formulas!AM:AM,LTP_Formulas!$A:$A=LTP_Aggregated!AI19,0))</f>
        <v>0</v>
      </c>
      <c r="AK19" cm="1">
        <f t="array" ref="AK19">SUM(_xlfn._xlws.FILTER(LTP_Formulas!AN:AN,LTP_Formulas!$A:$A=LTP_Aggregated!AJ19,0))</f>
        <v>0</v>
      </c>
      <c r="AL19" cm="1">
        <f t="array" ref="AL19">SUM(_xlfn._xlws.FILTER(LTP_Formulas!AO:AO,LTP_Formulas!$A:$A=LTP_Aggregated!AK19,0))</f>
        <v>0</v>
      </c>
      <c r="AM19" cm="1">
        <f t="array" ref="AM19">SUM(_xlfn._xlws.FILTER(LTP_Formulas!AP:AP,LTP_Formulas!$A:$A=LTP_Aggregated!AL19,0))</f>
        <v>0</v>
      </c>
      <c r="AN19" cm="1">
        <f t="array" ref="AN19">SUM(_xlfn._xlws.FILTER(LTP_Formulas!AQ:AQ,LTP_Formulas!$A:$A=LTP_Aggregated!AM19,0))</f>
        <v>0</v>
      </c>
      <c r="AO19" cm="1">
        <f t="array" ref="AO19">SUM(_xlfn._xlws.FILTER(LTP_Formulas!AR:AR,LTP_Formulas!$A:$A=LTP_Aggregated!AN19,0))</f>
        <v>0</v>
      </c>
      <c r="AP19" cm="1">
        <f t="array" ref="AP19">SUM(_xlfn._xlws.FILTER(LTP_Formulas!AS:AS,LTP_Formulas!$A:$A=LTP_Aggregated!AO19,0))</f>
        <v>0</v>
      </c>
      <c r="AQ19" cm="1">
        <f t="array" ref="AQ19">SUM(_xlfn._xlws.FILTER(LTP_Formulas!AT:AT,LTP_Formulas!$A:$A=LTP_Aggregated!AP19,0))</f>
        <v>0</v>
      </c>
      <c r="AR19" cm="1">
        <f t="array" ref="AR19">SUM(_xlfn._xlws.FILTER(LTP_Formulas!AU:AU,LTP_Formulas!$A:$A=LTP_Aggregated!AQ19,0))</f>
        <v>0</v>
      </c>
      <c r="AS19" cm="1">
        <f t="array" ref="AS19">SUM(_xlfn._xlws.FILTER(LTP_Formulas!AV:AV,LTP_Formulas!$A:$A=LTP_Aggregated!AR19,0))</f>
        <v>0</v>
      </c>
      <c r="AT19" cm="1">
        <f t="array" ref="AT19">SUM(_xlfn._xlws.FILTER(LTP_Formulas!AW:AW,LTP_Formulas!$A:$A=LTP_Aggregated!AS19,0))</f>
        <v>0</v>
      </c>
      <c r="AU19" cm="1">
        <f t="array" ref="AU19">SUM(_xlfn._xlws.FILTER(LTP_Formulas!AX:AX,LTP_Formulas!$A:$A=LTP_Aggregated!AT19,0))</f>
        <v>0</v>
      </c>
      <c r="AV19" cm="1">
        <f t="array" ref="AV19">SUM(_xlfn._xlws.FILTER(LTP_Formulas!AY:AY,LTP_Formulas!$A:$A=LTP_Aggregated!AU19,0))</f>
        <v>0</v>
      </c>
      <c r="AW19" cm="1">
        <f t="array" ref="AW19">SUM(_xlfn._xlws.FILTER(LTP_Formulas!AZ:AZ,LTP_Formulas!$A:$A=LTP_Aggregated!AV19,0))</f>
        <v>0</v>
      </c>
      <c r="AX19" cm="1">
        <f t="array" ref="AX19">SUM(_xlfn._xlws.FILTER(LTP_Formulas!BA:BA,LTP_Formulas!$A:$A=LTP_Aggregated!AW19,0))</f>
        <v>0</v>
      </c>
    </row>
    <row r="20" spans="1:50">
      <c r="A20" t="str">
        <v>O_FG</v>
      </c>
      <c r="B20" cm="1">
        <f t="array" ref="B20">SUM(_xlfn._xlws.FILTER(LTP_Formulas!E:E,LTP_Formulas!$A:$A=LTP_Aggregated!A20,0))</f>
        <v>447</v>
      </c>
      <c r="C20" cm="1">
        <f t="array" ref="C20">SUM(_xlfn._xlws.FILTER(LTP_Formulas!F:F,LTP_Formulas!$A:$A=LTP_Aggregated!B20,0))</f>
        <v>0</v>
      </c>
      <c r="D20" cm="1">
        <f t="array" ref="D20">SUM(_xlfn._xlws.FILTER(LTP_Formulas!G:G,LTP_Formulas!$A:$A=LTP_Aggregated!C20,0))</f>
        <v>0</v>
      </c>
      <c r="E20" cm="1">
        <f t="array" ref="E20">SUM(_xlfn._xlws.FILTER(LTP_Formulas!H:H,LTP_Formulas!$A:$A=LTP_Aggregated!D20,0))</f>
        <v>0</v>
      </c>
      <c r="F20" cm="1">
        <f t="array" ref="F20">SUM(_xlfn._xlws.FILTER(LTP_Formulas!I:I,LTP_Formulas!$A:$A=LTP_Aggregated!E20,0))</f>
        <v>0</v>
      </c>
      <c r="G20" cm="1">
        <f t="array" ref="G20">SUM(_xlfn._xlws.FILTER(LTP_Formulas!J:J,LTP_Formulas!$A:$A=LTP_Aggregated!F20,0))</f>
        <v>0</v>
      </c>
      <c r="H20" cm="1">
        <f t="array" ref="H20">SUM(_xlfn._xlws.FILTER(LTP_Formulas!K:K,LTP_Formulas!$A:$A=LTP_Aggregated!G20,0))</f>
        <v>0</v>
      </c>
      <c r="I20" cm="1">
        <f t="array" ref="I20">SUM(_xlfn._xlws.FILTER(LTP_Formulas!L:L,LTP_Formulas!$A:$A=LTP_Aggregated!H20,0))</f>
        <v>0</v>
      </c>
      <c r="J20" cm="1">
        <f t="array" ref="J20">SUM(_xlfn._xlws.FILTER(LTP_Formulas!M:M,LTP_Formulas!$A:$A=LTP_Aggregated!I20,0))</f>
        <v>0</v>
      </c>
      <c r="K20" cm="1">
        <f t="array" ref="K20">SUM(_xlfn._xlws.FILTER(LTP_Formulas!N:N,LTP_Formulas!$A:$A=LTP_Aggregated!J20,0))</f>
        <v>0</v>
      </c>
      <c r="L20" cm="1">
        <f t="array" ref="L20">SUM(_xlfn._xlws.FILTER(LTP_Formulas!O:O,LTP_Formulas!$A:$A=LTP_Aggregated!K20,0))</f>
        <v>0</v>
      </c>
      <c r="M20" cm="1">
        <f t="array" ref="M20">SUM(_xlfn._xlws.FILTER(LTP_Formulas!P:P,LTP_Formulas!$A:$A=LTP_Aggregated!L20,0))</f>
        <v>0</v>
      </c>
      <c r="N20" cm="1">
        <f t="array" ref="N20">SUM(_xlfn._xlws.FILTER(LTP_Formulas!Q:Q,LTP_Formulas!$A:$A=LTP_Aggregated!M20,0))</f>
        <v>0</v>
      </c>
      <c r="O20" cm="1">
        <f t="array" ref="O20">SUM(_xlfn._xlws.FILTER(LTP_Formulas!R:R,LTP_Formulas!$A:$A=LTP_Aggregated!N20,0))</f>
        <v>0</v>
      </c>
      <c r="P20" cm="1">
        <f t="array" ref="P20">SUM(_xlfn._xlws.FILTER(LTP_Formulas!S:S,LTP_Formulas!$A:$A=LTP_Aggregated!O20,0))</f>
        <v>0</v>
      </c>
      <c r="Q20" cm="1">
        <f t="array" ref="Q20">SUM(_xlfn._xlws.FILTER(LTP_Formulas!T:T,LTP_Formulas!$A:$A=LTP_Aggregated!P20,0))</f>
        <v>0</v>
      </c>
      <c r="R20" cm="1">
        <f t="array" ref="R20">SUM(_xlfn._xlws.FILTER(LTP_Formulas!U:U,LTP_Formulas!$A:$A=LTP_Aggregated!Q20,0))</f>
        <v>0</v>
      </c>
      <c r="S20" cm="1">
        <f t="array" ref="S20">SUM(_xlfn._xlws.FILTER(LTP_Formulas!V:V,LTP_Formulas!$A:$A=LTP_Aggregated!R20,0))</f>
        <v>0</v>
      </c>
      <c r="T20" cm="1">
        <f t="array" ref="T20">SUM(_xlfn._xlws.FILTER(LTP_Formulas!W:W,LTP_Formulas!$A:$A=LTP_Aggregated!S20,0))</f>
        <v>0</v>
      </c>
      <c r="U20" cm="1">
        <f t="array" ref="U20">SUM(_xlfn._xlws.FILTER(LTP_Formulas!X:X,LTP_Formulas!$A:$A=LTP_Aggregated!T20,0))</f>
        <v>0</v>
      </c>
      <c r="V20" cm="1">
        <f t="array" ref="V20">SUM(_xlfn._xlws.FILTER(LTP_Formulas!Y:Y,LTP_Formulas!$A:$A=LTP_Aggregated!U20,0))</f>
        <v>0</v>
      </c>
      <c r="W20" cm="1">
        <f t="array" ref="W20">SUM(_xlfn._xlws.FILTER(LTP_Formulas!Z:Z,LTP_Formulas!$A:$A=LTP_Aggregated!V20,0))</f>
        <v>0</v>
      </c>
      <c r="X20" cm="1">
        <f t="array" ref="X20">SUM(_xlfn._xlws.FILTER(LTP_Formulas!AA:AA,LTP_Formulas!$A:$A=LTP_Aggregated!W20,0))</f>
        <v>0</v>
      </c>
      <c r="Y20" cm="1">
        <f t="array" ref="Y20">SUM(_xlfn._xlws.FILTER(LTP_Formulas!AB:AB,LTP_Formulas!$A:$A=LTP_Aggregated!X20,0))</f>
        <v>0</v>
      </c>
      <c r="Z20" cm="1">
        <f t="array" ref="Z20">SUM(_xlfn._xlws.FILTER(LTP_Formulas!AC:AC,LTP_Formulas!$A:$A=LTP_Aggregated!Y20,0))</f>
        <v>0</v>
      </c>
      <c r="AA20" cm="1">
        <f t="array" ref="AA20">SUM(_xlfn._xlws.FILTER(LTP_Formulas!AD:AD,LTP_Formulas!$A:$A=LTP_Aggregated!Z20,0))</f>
        <v>0</v>
      </c>
      <c r="AB20" cm="1">
        <f t="array" ref="AB20">SUM(_xlfn._xlws.FILTER(LTP_Formulas!AE:AE,LTP_Formulas!$A:$A=LTP_Aggregated!AA20,0))</f>
        <v>0</v>
      </c>
      <c r="AC20" cm="1">
        <f t="array" ref="AC20">SUM(_xlfn._xlws.FILTER(LTP_Formulas!AF:AF,LTP_Formulas!$A:$A=LTP_Aggregated!AB20,0))</f>
        <v>0</v>
      </c>
      <c r="AD20" cm="1">
        <f t="array" ref="AD20">SUM(_xlfn._xlws.FILTER(LTP_Formulas!AG:AG,LTP_Formulas!$A:$A=LTP_Aggregated!AC20,0))</f>
        <v>0</v>
      </c>
      <c r="AE20" cm="1">
        <f t="array" ref="AE20">SUM(_xlfn._xlws.FILTER(LTP_Formulas!AH:AH,LTP_Formulas!$A:$A=LTP_Aggregated!AD20,0))</f>
        <v>0</v>
      </c>
      <c r="AF20" cm="1">
        <f t="array" ref="AF20">SUM(_xlfn._xlws.FILTER(LTP_Formulas!AI:AI,LTP_Formulas!$A:$A=LTP_Aggregated!AE20,0))</f>
        <v>0</v>
      </c>
      <c r="AG20" cm="1">
        <f t="array" ref="AG20">SUM(_xlfn._xlws.FILTER(LTP_Formulas!AJ:AJ,LTP_Formulas!$A:$A=LTP_Aggregated!AF20,0))</f>
        <v>0</v>
      </c>
      <c r="AH20" cm="1">
        <f t="array" ref="AH20">SUM(_xlfn._xlws.FILTER(LTP_Formulas!AK:AK,LTP_Formulas!$A:$A=LTP_Aggregated!AG20,0))</f>
        <v>0</v>
      </c>
      <c r="AI20" cm="1">
        <f t="array" ref="AI20">SUM(_xlfn._xlws.FILTER(LTP_Formulas!AL:AL,LTP_Formulas!$A:$A=LTP_Aggregated!AH20,0))</f>
        <v>0</v>
      </c>
      <c r="AJ20" cm="1">
        <f t="array" ref="AJ20">SUM(_xlfn._xlws.FILTER(LTP_Formulas!AM:AM,LTP_Formulas!$A:$A=LTP_Aggregated!AI20,0))</f>
        <v>0</v>
      </c>
      <c r="AK20" cm="1">
        <f t="array" ref="AK20">SUM(_xlfn._xlws.FILTER(LTP_Formulas!AN:AN,LTP_Formulas!$A:$A=LTP_Aggregated!AJ20,0))</f>
        <v>0</v>
      </c>
      <c r="AL20" cm="1">
        <f t="array" ref="AL20">SUM(_xlfn._xlws.FILTER(LTP_Formulas!AO:AO,LTP_Formulas!$A:$A=LTP_Aggregated!AK20,0))</f>
        <v>0</v>
      </c>
      <c r="AM20" cm="1">
        <f t="array" ref="AM20">SUM(_xlfn._xlws.FILTER(LTP_Formulas!AP:AP,LTP_Formulas!$A:$A=LTP_Aggregated!AL20,0))</f>
        <v>0</v>
      </c>
      <c r="AN20" cm="1">
        <f t="array" ref="AN20">SUM(_xlfn._xlws.FILTER(LTP_Formulas!AQ:AQ,LTP_Formulas!$A:$A=LTP_Aggregated!AM20,0))</f>
        <v>0</v>
      </c>
      <c r="AO20" cm="1">
        <f t="array" ref="AO20">SUM(_xlfn._xlws.FILTER(LTP_Formulas!AR:AR,LTP_Formulas!$A:$A=LTP_Aggregated!AN20,0))</f>
        <v>0</v>
      </c>
      <c r="AP20" cm="1">
        <f t="array" ref="AP20">SUM(_xlfn._xlws.FILTER(LTP_Formulas!AS:AS,LTP_Formulas!$A:$A=LTP_Aggregated!AO20,0))</f>
        <v>0</v>
      </c>
      <c r="AQ20" cm="1">
        <f t="array" ref="AQ20">SUM(_xlfn._xlws.FILTER(LTP_Formulas!AT:AT,LTP_Formulas!$A:$A=LTP_Aggregated!AP20,0))</f>
        <v>0</v>
      </c>
      <c r="AR20" cm="1">
        <f t="array" ref="AR20">SUM(_xlfn._xlws.FILTER(LTP_Formulas!AU:AU,LTP_Formulas!$A:$A=LTP_Aggregated!AQ20,0))</f>
        <v>0</v>
      </c>
      <c r="AS20" cm="1">
        <f t="array" ref="AS20">SUM(_xlfn._xlws.FILTER(LTP_Formulas!AV:AV,LTP_Formulas!$A:$A=LTP_Aggregated!AR20,0))</f>
        <v>0</v>
      </c>
      <c r="AT20" cm="1">
        <f t="array" ref="AT20">SUM(_xlfn._xlws.FILTER(LTP_Formulas!AW:AW,LTP_Formulas!$A:$A=LTP_Aggregated!AS20,0))</f>
        <v>0</v>
      </c>
      <c r="AU20" cm="1">
        <f t="array" ref="AU20">SUM(_xlfn._xlws.FILTER(LTP_Formulas!AX:AX,LTP_Formulas!$A:$A=LTP_Aggregated!AT20,0))</f>
        <v>0</v>
      </c>
      <c r="AV20" cm="1">
        <f t="array" ref="AV20">SUM(_xlfn._xlws.FILTER(LTP_Formulas!AY:AY,LTP_Formulas!$A:$A=LTP_Aggregated!AU20,0))</f>
        <v>0</v>
      </c>
      <c r="AW20" cm="1">
        <f t="array" ref="AW20">SUM(_xlfn._xlws.FILTER(LTP_Formulas!AZ:AZ,LTP_Formulas!$A:$A=LTP_Aggregated!AV20,0))</f>
        <v>0</v>
      </c>
      <c r="AX20" cm="1">
        <f t="array" ref="AX20">SUM(_xlfn._xlws.FILTER(LTP_Formulas!BA:BA,LTP_Formulas!$A:$A=LTP_Aggregated!AW20,0))</f>
        <v>0</v>
      </c>
    </row>
    <row r="21" spans="1:50">
      <c r="A21" t="str">
        <v>S_FG</v>
      </c>
      <c r="B21" cm="1">
        <f t="array" ref="B21">SUM(_xlfn._xlws.FILTER(LTP_Formulas!E:E,LTP_Formulas!$A:$A=LTP_Aggregated!A21,0))</f>
        <v>1662</v>
      </c>
      <c r="C21" cm="1">
        <f t="array" ref="C21">SUM(_xlfn._xlws.FILTER(LTP_Formulas!F:F,LTP_Formulas!$A:$A=LTP_Aggregated!B21,0))</f>
        <v>0</v>
      </c>
      <c r="D21" cm="1">
        <f t="array" ref="D21">SUM(_xlfn._xlws.FILTER(LTP_Formulas!G:G,LTP_Formulas!$A:$A=LTP_Aggregated!C21,0))</f>
        <v>0</v>
      </c>
      <c r="E21" cm="1">
        <f t="array" ref="E21">SUM(_xlfn._xlws.FILTER(LTP_Formulas!H:H,LTP_Formulas!$A:$A=LTP_Aggregated!D21,0))</f>
        <v>0</v>
      </c>
      <c r="F21" cm="1">
        <f t="array" ref="F21">SUM(_xlfn._xlws.FILTER(LTP_Formulas!I:I,LTP_Formulas!$A:$A=LTP_Aggregated!E21,0))</f>
        <v>0</v>
      </c>
      <c r="G21" cm="1">
        <f t="array" ref="G21">SUM(_xlfn._xlws.FILTER(LTP_Formulas!J:J,LTP_Formulas!$A:$A=LTP_Aggregated!F21,0))</f>
        <v>0</v>
      </c>
      <c r="H21" cm="1">
        <f t="array" ref="H21">SUM(_xlfn._xlws.FILTER(LTP_Formulas!K:K,LTP_Formulas!$A:$A=LTP_Aggregated!G21,0))</f>
        <v>0</v>
      </c>
      <c r="I21" cm="1">
        <f t="array" ref="I21">SUM(_xlfn._xlws.FILTER(LTP_Formulas!L:L,LTP_Formulas!$A:$A=LTP_Aggregated!H21,0))</f>
        <v>0</v>
      </c>
      <c r="J21" cm="1">
        <f t="array" ref="J21">SUM(_xlfn._xlws.FILTER(LTP_Formulas!M:M,LTP_Formulas!$A:$A=LTP_Aggregated!I21,0))</f>
        <v>0</v>
      </c>
      <c r="K21" cm="1">
        <f t="array" ref="K21">SUM(_xlfn._xlws.FILTER(LTP_Formulas!N:N,LTP_Formulas!$A:$A=LTP_Aggregated!J21,0))</f>
        <v>0</v>
      </c>
      <c r="L21" cm="1">
        <f t="array" ref="L21">SUM(_xlfn._xlws.FILTER(LTP_Formulas!O:O,LTP_Formulas!$A:$A=LTP_Aggregated!K21,0))</f>
        <v>0</v>
      </c>
      <c r="M21" cm="1">
        <f t="array" ref="M21">SUM(_xlfn._xlws.FILTER(LTP_Formulas!P:P,LTP_Formulas!$A:$A=LTP_Aggregated!L21,0))</f>
        <v>0</v>
      </c>
      <c r="N21" cm="1">
        <f t="array" ref="N21">SUM(_xlfn._xlws.FILTER(LTP_Formulas!Q:Q,LTP_Formulas!$A:$A=LTP_Aggregated!M21,0))</f>
        <v>0</v>
      </c>
      <c r="O21" cm="1">
        <f t="array" ref="O21">SUM(_xlfn._xlws.FILTER(LTP_Formulas!R:R,LTP_Formulas!$A:$A=LTP_Aggregated!N21,0))</f>
        <v>0</v>
      </c>
      <c r="P21" cm="1">
        <f t="array" ref="P21">SUM(_xlfn._xlws.FILTER(LTP_Formulas!S:S,LTP_Formulas!$A:$A=LTP_Aggregated!O21,0))</f>
        <v>0</v>
      </c>
      <c r="Q21" cm="1">
        <f t="array" ref="Q21">SUM(_xlfn._xlws.FILTER(LTP_Formulas!T:T,LTP_Formulas!$A:$A=LTP_Aggregated!P21,0))</f>
        <v>0</v>
      </c>
      <c r="R21" cm="1">
        <f t="array" ref="R21">SUM(_xlfn._xlws.FILTER(LTP_Formulas!U:U,LTP_Formulas!$A:$A=LTP_Aggregated!Q21,0))</f>
        <v>0</v>
      </c>
      <c r="S21" cm="1">
        <f t="array" ref="S21">SUM(_xlfn._xlws.FILTER(LTP_Formulas!V:V,LTP_Formulas!$A:$A=LTP_Aggregated!R21,0))</f>
        <v>0</v>
      </c>
      <c r="T21" cm="1">
        <f t="array" ref="T21">SUM(_xlfn._xlws.FILTER(LTP_Formulas!W:W,LTP_Formulas!$A:$A=LTP_Aggregated!S21,0))</f>
        <v>0</v>
      </c>
      <c r="U21" cm="1">
        <f t="array" ref="U21">SUM(_xlfn._xlws.FILTER(LTP_Formulas!X:X,LTP_Formulas!$A:$A=LTP_Aggregated!T21,0))</f>
        <v>0</v>
      </c>
      <c r="V21" cm="1">
        <f t="array" ref="V21">SUM(_xlfn._xlws.FILTER(LTP_Formulas!Y:Y,LTP_Formulas!$A:$A=LTP_Aggregated!U21,0))</f>
        <v>0</v>
      </c>
      <c r="W21" cm="1">
        <f t="array" ref="W21">SUM(_xlfn._xlws.FILTER(LTP_Formulas!Z:Z,LTP_Formulas!$A:$A=LTP_Aggregated!V21,0))</f>
        <v>0</v>
      </c>
      <c r="X21" cm="1">
        <f t="array" ref="X21">SUM(_xlfn._xlws.FILTER(LTP_Formulas!AA:AA,LTP_Formulas!$A:$A=LTP_Aggregated!W21,0))</f>
        <v>0</v>
      </c>
      <c r="Y21" cm="1">
        <f t="array" ref="Y21">SUM(_xlfn._xlws.FILTER(LTP_Formulas!AB:AB,LTP_Formulas!$A:$A=LTP_Aggregated!X21,0))</f>
        <v>0</v>
      </c>
      <c r="Z21" cm="1">
        <f t="array" ref="Z21">SUM(_xlfn._xlws.FILTER(LTP_Formulas!AC:AC,LTP_Formulas!$A:$A=LTP_Aggregated!Y21,0))</f>
        <v>0</v>
      </c>
      <c r="AA21" cm="1">
        <f t="array" ref="AA21">SUM(_xlfn._xlws.FILTER(LTP_Formulas!AD:AD,LTP_Formulas!$A:$A=LTP_Aggregated!Z21,0))</f>
        <v>0</v>
      </c>
      <c r="AB21" cm="1">
        <f t="array" ref="AB21">SUM(_xlfn._xlws.FILTER(LTP_Formulas!AE:AE,LTP_Formulas!$A:$A=LTP_Aggregated!AA21,0))</f>
        <v>0</v>
      </c>
      <c r="AC21" cm="1">
        <f t="array" ref="AC21">SUM(_xlfn._xlws.FILTER(LTP_Formulas!AF:AF,LTP_Formulas!$A:$A=LTP_Aggregated!AB21,0))</f>
        <v>0</v>
      </c>
      <c r="AD21" cm="1">
        <f t="array" ref="AD21">SUM(_xlfn._xlws.FILTER(LTP_Formulas!AG:AG,LTP_Formulas!$A:$A=LTP_Aggregated!AC21,0))</f>
        <v>0</v>
      </c>
      <c r="AE21" cm="1">
        <f t="array" ref="AE21">SUM(_xlfn._xlws.FILTER(LTP_Formulas!AH:AH,LTP_Formulas!$A:$A=LTP_Aggregated!AD21,0))</f>
        <v>0</v>
      </c>
      <c r="AF21" cm="1">
        <f t="array" ref="AF21">SUM(_xlfn._xlws.FILTER(LTP_Formulas!AI:AI,LTP_Formulas!$A:$A=LTP_Aggregated!AE21,0))</f>
        <v>0</v>
      </c>
      <c r="AG21" cm="1">
        <f t="array" ref="AG21">SUM(_xlfn._xlws.FILTER(LTP_Formulas!AJ:AJ,LTP_Formulas!$A:$A=LTP_Aggregated!AF21,0))</f>
        <v>0</v>
      </c>
      <c r="AH21" cm="1">
        <f t="array" ref="AH21">SUM(_xlfn._xlws.FILTER(LTP_Formulas!AK:AK,LTP_Formulas!$A:$A=LTP_Aggregated!AG21,0))</f>
        <v>0</v>
      </c>
      <c r="AI21" cm="1">
        <f t="array" ref="AI21">SUM(_xlfn._xlws.FILTER(LTP_Formulas!AL:AL,LTP_Formulas!$A:$A=LTP_Aggregated!AH21,0))</f>
        <v>0</v>
      </c>
      <c r="AJ21" cm="1">
        <f t="array" ref="AJ21">SUM(_xlfn._xlws.FILTER(LTP_Formulas!AM:AM,LTP_Formulas!$A:$A=LTP_Aggregated!AI21,0))</f>
        <v>0</v>
      </c>
      <c r="AK21" cm="1">
        <f t="array" ref="AK21">SUM(_xlfn._xlws.FILTER(LTP_Formulas!AN:AN,LTP_Formulas!$A:$A=LTP_Aggregated!AJ21,0))</f>
        <v>0</v>
      </c>
      <c r="AL21" cm="1">
        <f t="array" ref="AL21">SUM(_xlfn._xlws.FILTER(LTP_Formulas!AO:AO,LTP_Formulas!$A:$A=LTP_Aggregated!AK21,0))</f>
        <v>0</v>
      </c>
      <c r="AM21" cm="1">
        <f t="array" ref="AM21">SUM(_xlfn._xlws.FILTER(LTP_Formulas!AP:AP,LTP_Formulas!$A:$A=LTP_Aggregated!AL21,0))</f>
        <v>0</v>
      </c>
      <c r="AN21" cm="1">
        <f t="array" ref="AN21">SUM(_xlfn._xlws.FILTER(LTP_Formulas!AQ:AQ,LTP_Formulas!$A:$A=LTP_Aggregated!AM21,0))</f>
        <v>0</v>
      </c>
      <c r="AO21" cm="1">
        <f t="array" ref="AO21">SUM(_xlfn._xlws.FILTER(LTP_Formulas!AR:AR,LTP_Formulas!$A:$A=LTP_Aggregated!AN21,0))</f>
        <v>0</v>
      </c>
      <c r="AP21" cm="1">
        <f t="array" ref="AP21">SUM(_xlfn._xlws.FILTER(LTP_Formulas!AS:AS,LTP_Formulas!$A:$A=LTP_Aggregated!AO21,0))</f>
        <v>0</v>
      </c>
      <c r="AQ21" cm="1">
        <f t="array" ref="AQ21">SUM(_xlfn._xlws.FILTER(LTP_Formulas!AT:AT,LTP_Formulas!$A:$A=LTP_Aggregated!AP21,0))</f>
        <v>0</v>
      </c>
      <c r="AR21" cm="1">
        <f t="array" ref="AR21">SUM(_xlfn._xlws.FILTER(LTP_Formulas!AU:AU,LTP_Formulas!$A:$A=LTP_Aggregated!AQ21,0))</f>
        <v>0</v>
      </c>
      <c r="AS21" cm="1">
        <f t="array" ref="AS21">SUM(_xlfn._xlws.FILTER(LTP_Formulas!AV:AV,LTP_Formulas!$A:$A=LTP_Aggregated!AR21,0))</f>
        <v>0</v>
      </c>
      <c r="AT21" cm="1">
        <f t="array" ref="AT21">SUM(_xlfn._xlws.FILTER(LTP_Formulas!AW:AW,LTP_Formulas!$A:$A=LTP_Aggregated!AS21,0))</f>
        <v>0</v>
      </c>
      <c r="AU21" cm="1">
        <f t="array" ref="AU21">SUM(_xlfn._xlws.FILTER(LTP_Formulas!AX:AX,LTP_Formulas!$A:$A=LTP_Aggregated!AT21,0))</f>
        <v>0</v>
      </c>
      <c r="AV21" cm="1">
        <f t="array" ref="AV21">SUM(_xlfn._xlws.FILTER(LTP_Formulas!AY:AY,LTP_Formulas!$A:$A=LTP_Aggregated!AU21,0))</f>
        <v>0</v>
      </c>
      <c r="AW21" cm="1">
        <f t="array" ref="AW21">SUM(_xlfn._xlws.FILTER(LTP_Formulas!AZ:AZ,LTP_Formulas!$A:$A=LTP_Aggregated!AV21,0))</f>
        <v>0</v>
      </c>
      <c r="AX21" cm="1">
        <f t="array" ref="AX21">SUM(_xlfn._xlws.FILTER(LTP_Formulas!BA:BA,LTP_Formulas!$A:$A=LTP_Aggregated!AW21,0))</f>
        <v>0</v>
      </c>
    </row>
    <row r="22" spans="1:50">
      <c r="A22" t="str">
        <v>A_FG</v>
      </c>
      <c r="B22" cm="1">
        <f t="array" ref="B22">SUM(_xlfn._xlws.FILTER(LTP_Formulas!E:E,LTP_Formulas!$A:$A=LTP_Aggregated!A22,0))</f>
        <v>7025</v>
      </c>
      <c r="C22" cm="1">
        <f t="array" ref="C22">SUM(_xlfn._xlws.FILTER(LTP_Formulas!F:F,LTP_Formulas!$A:$A=LTP_Aggregated!B22,0))</f>
        <v>0</v>
      </c>
      <c r="D22" cm="1">
        <f t="array" ref="D22">SUM(_xlfn._xlws.FILTER(LTP_Formulas!G:G,LTP_Formulas!$A:$A=LTP_Aggregated!C22,0))</f>
        <v>0</v>
      </c>
      <c r="E22" cm="1">
        <f t="array" ref="E22">SUM(_xlfn._xlws.FILTER(LTP_Formulas!H:H,LTP_Formulas!$A:$A=LTP_Aggregated!D22,0))</f>
        <v>0</v>
      </c>
      <c r="F22" cm="1">
        <f t="array" ref="F22">SUM(_xlfn._xlws.FILTER(LTP_Formulas!I:I,LTP_Formulas!$A:$A=LTP_Aggregated!E22,0))</f>
        <v>0</v>
      </c>
      <c r="G22" cm="1">
        <f t="array" ref="G22">SUM(_xlfn._xlws.FILTER(LTP_Formulas!J:J,LTP_Formulas!$A:$A=LTP_Aggregated!F22,0))</f>
        <v>0</v>
      </c>
      <c r="H22" cm="1">
        <f t="array" ref="H22">SUM(_xlfn._xlws.FILTER(LTP_Formulas!K:K,LTP_Formulas!$A:$A=LTP_Aggregated!G22,0))</f>
        <v>0</v>
      </c>
      <c r="I22" cm="1">
        <f t="array" ref="I22">SUM(_xlfn._xlws.FILTER(LTP_Formulas!L:L,LTP_Formulas!$A:$A=LTP_Aggregated!H22,0))</f>
        <v>0</v>
      </c>
      <c r="J22" cm="1">
        <f t="array" ref="J22">SUM(_xlfn._xlws.FILTER(LTP_Formulas!M:M,LTP_Formulas!$A:$A=LTP_Aggregated!I22,0))</f>
        <v>0</v>
      </c>
      <c r="K22" cm="1">
        <f t="array" ref="K22">SUM(_xlfn._xlws.FILTER(LTP_Formulas!N:N,LTP_Formulas!$A:$A=LTP_Aggregated!J22,0))</f>
        <v>0</v>
      </c>
      <c r="L22" cm="1">
        <f t="array" ref="L22">SUM(_xlfn._xlws.FILTER(LTP_Formulas!O:O,LTP_Formulas!$A:$A=LTP_Aggregated!K22,0))</f>
        <v>0</v>
      </c>
      <c r="M22" cm="1">
        <f t="array" ref="M22">SUM(_xlfn._xlws.FILTER(LTP_Formulas!P:P,LTP_Formulas!$A:$A=LTP_Aggregated!L22,0))</f>
        <v>0</v>
      </c>
      <c r="N22" cm="1">
        <f t="array" ref="N22">SUM(_xlfn._xlws.FILTER(LTP_Formulas!Q:Q,LTP_Formulas!$A:$A=LTP_Aggregated!M22,0))</f>
        <v>0</v>
      </c>
      <c r="O22" cm="1">
        <f t="array" ref="O22">SUM(_xlfn._xlws.FILTER(LTP_Formulas!R:R,LTP_Formulas!$A:$A=LTP_Aggregated!N22,0))</f>
        <v>0</v>
      </c>
      <c r="P22" cm="1">
        <f t="array" ref="P22">SUM(_xlfn._xlws.FILTER(LTP_Formulas!S:S,LTP_Formulas!$A:$A=LTP_Aggregated!O22,0))</f>
        <v>0</v>
      </c>
      <c r="Q22" cm="1">
        <f t="array" ref="Q22">SUM(_xlfn._xlws.FILTER(LTP_Formulas!T:T,LTP_Formulas!$A:$A=LTP_Aggregated!P22,0))</f>
        <v>0</v>
      </c>
      <c r="R22" cm="1">
        <f t="array" ref="R22">SUM(_xlfn._xlws.FILTER(LTP_Formulas!U:U,LTP_Formulas!$A:$A=LTP_Aggregated!Q22,0))</f>
        <v>0</v>
      </c>
      <c r="S22" cm="1">
        <f t="array" ref="S22">SUM(_xlfn._xlws.FILTER(LTP_Formulas!V:V,LTP_Formulas!$A:$A=LTP_Aggregated!R22,0))</f>
        <v>0</v>
      </c>
      <c r="T22" cm="1">
        <f t="array" ref="T22">SUM(_xlfn._xlws.FILTER(LTP_Formulas!W:W,LTP_Formulas!$A:$A=LTP_Aggregated!S22,0))</f>
        <v>0</v>
      </c>
      <c r="U22" cm="1">
        <f t="array" ref="U22">SUM(_xlfn._xlws.FILTER(LTP_Formulas!X:X,LTP_Formulas!$A:$A=LTP_Aggregated!T22,0))</f>
        <v>0</v>
      </c>
      <c r="V22" cm="1">
        <f t="array" ref="V22">SUM(_xlfn._xlws.FILTER(LTP_Formulas!Y:Y,LTP_Formulas!$A:$A=LTP_Aggregated!U22,0))</f>
        <v>0</v>
      </c>
      <c r="W22" cm="1">
        <f t="array" ref="W22">SUM(_xlfn._xlws.FILTER(LTP_Formulas!Z:Z,LTP_Formulas!$A:$A=LTP_Aggregated!V22,0))</f>
        <v>0</v>
      </c>
      <c r="X22" cm="1">
        <f t="array" ref="X22">SUM(_xlfn._xlws.FILTER(LTP_Formulas!AA:AA,LTP_Formulas!$A:$A=LTP_Aggregated!W22,0))</f>
        <v>0</v>
      </c>
      <c r="Y22" cm="1">
        <f t="array" ref="Y22">SUM(_xlfn._xlws.FILTER(LTP_Formulas!AB:AB,LTP_Formulas!$A:$A=LTP_Aggregated!X22,0))</f>
        <v>0</v>
      </c>
      <c r="Z22" cm="1">
        <f t="array" ref="Z22">SUM(_xlfn._xlws.FILTER(LTP_Formulas!AC:AC,LTP_Formulas!$A:$A=LTP_Aggregated!Y22,0))</f>
        <v>0</v>
      </c>
      <c r="AA22" cm="1">
        <f t="array" ref="AA22">SUM(_xlfn._xlws.FILTER(LTP_Formulas!AD:AD,LTP_Formulas!$A:$A=LTP_Aggregated!Z22,0))</f>
        <v>0</v>
      </c>
      <c r="AB22" cm="1">
        <f t="array" ref="AB22">SUM(_xlfn._xlws.FILTER(LTP_Formulas!AE:AE,LTP_Formulas!$A:$A=LTP_Aggregated!AA22,0))</f>
        <v>0</v>
      </c>
      <c r="AC22" cm="1">
        <f t="array" ref="AC22">SUM(_xlfn._xlws.FILTER(LTP_Formulas!AF:AF,LTP_Formulas!$A:$A=LTP_Aggregated!AB22,0))</f>
        <v>0</v>
      </c>
      <c r="AD22" cm="1">
        <f t="array" ref="AD22">SUM(_xlfn._xlws.FILTER(LTP_Formulas!AG:AG,LTP_Formulas!$A:$A=LTP_Aggregated!AC22,0))</f>
        <v>0</v>
      </c>
      <c r="AE22" cm="1">
        <f t="array" ref="AE22">SUM(_xlfn._xlws.FILTER(LTP_Formulas!AH:AH,LTP_Formulas!$A:$A=LTP_Aggregated!AD22,0))</f>
        <v>0</v>
      </c>
      <c r="AF22" cm="1">
        <f t="array" ref="AF22">SUM(_xlfn._xlws.FILTER(LTP_Formulas!AI:AI,LTP_Formulas!$A:$A=LTP_Aggregated!AE22,0))</f>
        <v>0</v>
      </c>
      <c r="AG22" cm="1">
        <f t="array" ref="AG22">SUM(_xlfn._xlws.FILTER(LTP_Formulas!AJ:AJ,LTP_Formulas!$A:$A=LTP_Aggregated!AF22,0))</f>
        <v>0</v>
      </c>
      <c r="AH22" cm="1">
        <f t="array" ref="AH22">SUM(_xlfn._xlws.FILTER(LTP_Formulas!AK:AK,LTP_Formulas!$A:$A=LTP_Aggregated!AG22,0))</f>
        <v>0</v>
      </c>
      <c r="AI22" cm="1">
        <f t="array" ref="AI22">SUM(_xlfn._xlws.FILTER(LTP_Formulas!AL:AL,LTP_Formulas!$A:$A=LTP_Aggregated!AH22,0))</f>
        <v>0</v>
      </c>
      <c r="AJ22" cm="1">
        <f t="array" ref="AJ22">SUM(_xlfn._xlws.FILTER(LTP_Formulas!AM:AM,LTP_Formulas!$A:$A=LTP_Aggregated!AI22,0))</f>
        <v>0</v>
      </c>
      <c r="AK22" cm="1">
        <f t="array" ref="AK22">SUM(_xlfn._xlws.FILTER(LTP_Formulas!AN:AN,LTP_Formulas!$A:$A=LTP_Aggregated!AJ22,0))</f>
        <v>0</v>
      </c>
      <c r="AL22" cm="1">
        <f t="array" ref="AL22">SUM(_xlfn._xlws.FILTER(LTP_Formulas!AO:AO,LTP_Formulas!$A:$A=LTP_Aggregated!AK22,0))</f>
        <v>0</v>
      </c>
      <c r="AM22" cm="1">
        <f t="array" ref="AM22">SUM(_xlfn._xlws.FILTER(LTP_Formulas!AP:AP,LTP_Formulas!$A:$A=LTP_Aggregated!AL22,0))</f>
        <v>0</v>
      </c>
      <c r="AN22" cm="1">
        <f t="array" ref="AN22">SUM(_xlfn._xlws.FILTER(LTP_Formulas!AQ:AQ,LTP_Formulas!$A:$A=LTP_Aggregated!AM22,0))</f>
        <v>0</v>
      </c>
      <c r="AO22" cm="1">
        <f t="array" ref="AO22">SUM(_xlfn._xlws.FILTER(LTP_Formulas!AR:AR,LTP_Formulas!$A:$A=LTP_Aggregated!AN22,0))</f>
        <v>0</v>
      </c>
      <c r="AP22" cm="1">
        <f t="array" ref="AP22">SUM(_xlfn._xlws.FILTER(LTP_Formulas!AS:AS,LTP_Formulas!$A:$A=LTP_Aggregated!AO22,0))</f>
        <v>0</v>
      </c>
      <c r="AQ22" cm="1">
        <f t="array" ref="AQ22">SUM(_xlfn._xlws.FILTER(LTP_Formulas!AT:AT,LTP_Formulas!$A:$A=LTP_Aggregated!AP22,0))</f>
        <v>0</v>
      </c>
      <c r="AR22" cm="1">
        <f t="array" ref="AR22">SUM(_xlfn._xlws.FILTER(LTP_Formulas!AU:AU,LTP_Formulas!$A:$A=LTP_Aggregated!AQ22,0))</f>
        <v>0</v>
      </c>
      <c r="AS22" cm="1">
        <f t="array" ref="AS22">SUM(_xlfn._xlws.FILTER(LTP_Formulas!AV:AV,LTP_Formulas!$A:$A=LTP_Aggregated!AR22,0))</f>
        <v>0</v>
      </c>
      <c r="AT22" cm="1">
        <f t="array" ref="AT22">SUM(_xlfn._xlws.FILTER(LTP_Formulas!AW:AW,LTP_Formulas!$A:$A=LTP_Aggregated!AS22,0))</f>
        <v>0</v>
      </c>
      <c r="AU22" cm="1">
        <f t="array" ref="AU22">SUM(_xlfn._xlws.FILTER(LTP_Formulas!AX:AX,LTP_Formulas!$A:$A=LTP_Aggregated!AT22,0))</f>
        <v>0</v>
      </c>
      <c r="AV22" cm="1">
        <f t="array" ref="AV22">SUM(_xlfn._xlws.FILTER(LTP_Formulas!AY:AY,LTP_Formulas!$A:$A=LTP_Aggregated!AU22,0))</f>
        <v>0</v>
      </c>
      <c r="AW22" cm="1">
        <f t="array" ref="AW22">SUM(_xlfn._xlws.FILTER(LTP_Formulas!AZ:AZ,LTP_Formulas!$A:$A=LTP_Aggregated!AV22,0))</f>
        <v>0</v>
      </c>
      <c r="AX22" cm="1">
        <f t="array" ref="AX22">SUM(_xlfn._xlws.FILTER(LTP_Formulas!BA:BA,LTP_Formulas!$A:$A=LTP_Aggregated!AW22,0))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LTP_Formulas</vt:lpstr>
      <vt:lpstr>LTP_Aggregated</vt:lpstr>
    </vt:vector>
  </TitlesOfParts>
  <Company>Adient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Jelačić</dc:creator>
  <cp:lastModifiedBy>Nikola Jelačić</cp:lastModifiedBy>
  <dcterms:created xsi:type="dcterms:W3CDTF">2026-02-03T07:49:50Z</dcterms:created>
  <dcterms:modified xsi:type="dcterms:W3CDTF">2026-02-03T08:14:45Z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2026-02-03T08:03:25Z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dc97943c-c59b-4b99-b468-5588d66679fa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